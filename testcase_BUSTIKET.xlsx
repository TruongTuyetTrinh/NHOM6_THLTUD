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840" activeTab="1"/>
  </bookViews>
  <sheets>
    <sheet name="Project Overview" sheetId="1" r:id="rId1"/>
    <sheet name="Revision" sheetId="2" r:id="rId2"/>
    <sheet name="Test Overall" sheetId="3" r:id="rId3"/>
    <sheet name="LOGINREGISTER" sheetId="4" r:id="rId4"/>
    <sheet name="Search Trip Screen" sheetId="5" r:id="rId5"/>
    <sheet name="Chat screen" sheetId="6" r:id="rId6"/>
    <sheet name="Reviews and Feedback screen" sheetId="7" r:id="rId7"/>
    <sheet name="Reserve Vehicle Screen" sheetId="8" r:id="rId8"/>
    <sheet name="View schedule screen" sheetId="9" r:id="rId9"/>
    <sheet name="Ticket information screen" sheetId="10" r:id="rId10"/>
    <sheet name="Ticket Management Screen" sheetId="11" r:id="rId11"/>
    <sheet name="Notifications" sheetId="12" r:id="rId12"/>
    <sheet name="Instruction"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<sst xmlns="http://schemas.openxmlformats.org/spreadsheetml/2006/main" count="3036" uniqueCount="811">
  <si>
    <t>th</t>
  </si>
  <si>
    <r>
      <rPr>
        <sz val="18"/>
        <color rgb="FF000000"/>
        <rFont val="Fira Sans Extra Condensed"/>
        <charset val="134"/>
      </rPr>
      <t xml:space="preserve">SYSTEM TEST CASE TEMPLATE
</t>
    </r>
    <r>
      <rPr>
        <sz val="12"/>
        <color rgb="FF000000"/>
        <rFont val="Fira Sans Extra Condensed"/>
        <charset val="134"/>
      </rPr>
      <t>Version 0.2</t>
    </r>
  </si>
  <si>
    <t>GENERAL INFORMATION</t>
  </si>
  <si>
    <t>Project Name</t>
  </si>
  <si>
    <t>Bus Ticketing</t>
  </si>
  <si>
    <t>Project Code</t>
  </si>
  <si>
    <t>BTM-0625</t>
  </si>
  <si>
    <t>Start Date</t>
  </si>
  <si>
    <t>08/16/2025</t>
  </si>
  <si>
    <t>End Date</t>
  </si>
  <si>
    <t>11/27/2025</t>
  </si>
  <si>
    <t>KEY MEMBERS</t>
  </si>
  <si>
    <t>Project Manager</t>
  </si>
  <si>
    <t>Truong Tuyet Trinh</t>
  </si>
  <si>
    <t>Business Analyst</t>
  </si>
  <si>
    <t>Phạm Hoài Thương</t>
  </si>
  <si>
    <t>Scrum Master</t>
  </si>
  <si>
    <t>Võ Xuân Nhi</t>
  </si>
  <si>
    <t>Project Technical Lead</t>
  </si>
  <si>
    <t>Nguyen Doan Thuyen</t>
  </si>
  <si>
    <t>QC Lead</t>
  </si>
  <si>
    <t>DOCUMENT REVISION HISTORY</t>
  </si>
  <si>
    <t>No.</t>
  </si>
  <si>
    <t>Version No.</t>
  </si>
  <si>
    <t>Creation Date</t>
  </si>
  <si>
    <t>Description</t>
  </si>
  <si>
    <t>Author</t>
  </si>
  <si>
    <t>Reviewed By 
Date</t>
  </si>
  <si>
    <t>Approved By 
Date</t>
  </si>
  <si>
    <t>Remarks</t>
  </si>
  <si>
    <t>0.1</t>
  </si>
  <si>
    <t>09/16/2025</t>
  </si>
  <si>
    <t>Create test cases for bus ticketing system</t>
  </si>
  <si>
    <t>Trương Tuyết Trinh</t>
  </si>
  <si>
    <t>09/18/2025</t>
  </si>
  <si>
    <t>09/22/2025</t>
  </si>
  <si>
    <t>Initial version</t>
  </si>
  <si>
    <t>0.2</t>
  </si>
  <si>
    <t>09/27/2025</t>
  </si>
  <si>
    <t>Added test cases for the login, trip search, and the rating and feedback functionality.</t>
  </si>
  <si>
    <t>09/29/2025</t>
  </si>
  <si>
    <t>09/30/2025</t>
  </si>
  <si>
    <t>0.3</t>
  </si>
  <si>
    <t>09/28/2025</t>
  </si>
  <si>
    <t>Refined test cases for the login and the rating and feedback functionality..</t>
  </si>
  <si>
    <t>0.4</t>
  </si>
  <si>
    <t>Created test cases for the chat and trip search functionality.</t>
  </si>
  <si>
    <t>0.5</t>
  </si>
  <si>
    <t>- Added test cases for the ticket management module
- Created additional test cases for the user home page and ticket booking page.</t>
  </si>
  <si>
    <t>0.6</t>
  </si>
  <si>
    <t xml:space="preserve">
- Created test cases for the notification and schedule viewing features.</t>
  </si>
  <si>
    <t>CHECKLIST TEMPLATE REVISION HISTORY</t>
  </si>
  <si>
    <t>Create a checklist for system testing</t>
  </si>
  <si>
    <t>9/22/2025</t>
  </si>
  <si>
    <t>Draft version</t>
  </si>
  <si>
    <t>10/15/2025</t>
  </si>
  <si>
    <t>Update the testing checklist</t>
  </si>
  <si>
    <t>Bùi Thị Mai Dương</t>
  </si>
  <si>
    <t>11/17/2025</t>
  </si>
  <si>
    <t>11/29/2025</t>
  </si>
  <si>
    <t>SYSTEM TEST CASE OVERALL</t>
  </si>
  <si>
    <t>Sheet name</t>
  </si>
  <si>
    <t>Latest Date of Test</t>
  </si>
  <si>
    <t>Total Test case</t>
  </si>
  <si>
    <t>Round 1</t>
  </si>
  <si>
    <t>Round 2</t>
  </si>
  <si>
    <t>Round 3</t>
  </si>
  <si>
    <t>Chrome</t>
  </si>
  <si>
    <t>Coc Coc</t>
  </si>
  <si>
    <t>Passed</t>
  </si>
  <si>
    <t>Failed</t>
  </si>
  <si>
    <t>LOGIN/REGISTER</t>
  </si>
  <si>
    <t>11/15/2025</t>
  </si>
  <si>
    <t>&lt;Tested: This function is related to function at current sprint (sprint 2)&gt;</t>
  </si>
  <si>
    <t>Search Trip Screen</t>
  </si>
  <si>
    <t>Reviews and feedback screen</t>
  </si>
  <si>
    <t>Chat screen</t>
  </si>
  <si>
    <t>Reserve Vehicle Screen</t>
  </si>
  <si>
    <t>10/30/2025</t>
  </si>
  <si>
    <t>View schedule screen</t>
  </si>
  <si>
    <t>11/18/2025</t>
  </si>
  <si>
    <t>Ticket information screen</t>
  </si>
  <si>
    <t>Ticket management screen</t>
  </si>
  <si>
    <t>Notifications</t>
  </si>
  <si>
    <t>11/22/2025</t>
  </si>
  <si>
    <t>Total</t>
  </si>
  <si>
    <t xml:space="preserve">SYSTEM TEST CASE </t>
  </si>
  <si>
    <t>SUM</t>
  </si>
  <si>
    <t>Modified Date</t>
  </si>
  <si>
    <t>SRS/ User Stories ID</t>
  </si>
  <si>
    <t>Test case ID Range</t>
  </si>
  <si>
    <t xml:space="preserve">Chrome </t>
  </si>
  <si>
    <t xml:space="preserve">Coc Coc </t>
  </si>
  <si>
    <t>09/15/2025</t>
  </si>
  <si>
    <t>User Story 301</t>
  </si>
  <si>
    <t>ID-001~ID-014</t>
  </si>
  <si>
    <t>PASSED</t>
  </si>
  <si>
    <t>FAILED</t>
  </si>
  <si>
    <t>BLOCKED</t>
  </si>
  <si>
    <t>NOT RUN</t>
  </si>
  <si>
    <t>Number of Test case</t>
  </si>
  <si>
    <t xml:space="preserve">Main Category </t>
  </si>
  <si>
    <t>Sub Category</t>
  </si>
  <si>
    <t>Pre-conditions</t>
  </si>
  <si>
    <t>Test Description</t>
  </si>
  <si>
    <t>Steps to Perform (include Data test)</t>
  </si>
  <si>
    <t>Expected Results</t>
  </si>
  <si>
    <t>Testing result</t>
  </si>
  <si>
    <t>Result Recorded Date</t>
  </si>
  <si>
    <t>Who checked</t>
  </si>
  <si>
    <t>Bug ID</t>
  </si>
  <si>
    <t>Login</t>
  </si>
  <si>
    <t>Valid Login</t>
  </si>
  <si>
    <t>User has an existing account</t>
  </si>
  <si>
    <t>Verify login with valid credentials</t>
  </si>
  <si>
    <t>1. Open login page
2. Enter valid name&amp; password
3. Click Login</t>
  </si>
  <si>
    <t>User is successfully logged in</t>
  </si>
  <si>
    <t>Tuyet Trinh</t>
  </si>
  <si>
    <t>10/25/2025</t>
  </si>
  <si>
    <t xml:space="preserve"> Invalid Login</t>
  </si>
  <si>
    <t>User entered wrong password</t>
  </si>
  <si>
    <t>Verify login with incorrect password</t>
  </si>
  <si>
    <t>1. Open login page
2. Enter valid name &amp; incorrect password
3. Click Login</t>
  </si>
  <si>
    <t>Error message: "Invalid credentials"</t>
  </si>
  <si>
    <t xml:space="preserve">	Invalid Login</t>
  </si>
  <si>
    <t>Non-existent Account</t>
  </si>
  <si>
    <t>Identify unregistered account login information</t>
  </si>
  <si>
    <t>1. Open login page
2. Enter user name&amp; any password
3. Click Login</t>
  </si>
  <si>
    <t>Error message: "Account does not exist"</t>
  </si>
  <si>
    <t>B-001</t>
  </si>
  <si>
    <t>Verify login with wrong password multiple times</t>
  </si>
  <si>
    <t>Error message: "CAPTCHA" or temporarily lock account for 1 minute.</t>
  </si>
  <si>
    <t>User entered wrong name</t>
  </si>
  <si>
    <t>Verify login with incorrect name</t>
  </si>
  <si>
    <t>1. Open login page
2. Enter incorrect name &amp; valid password
3. Click Login</t>
  </si>
  <si>
    <t>B-002</t>
  </si>
  <si>
    <t>B-005</t>
  </si>
  <si>
    <t>Empty Required Fields</t>
  </si>
  <si>
    <t>N/A</t>
  </si>
  <si>
    <t>Verify login with empty fields</t>
  </si>
  <si>
    <t>1. Open login page
2. Leave name &amp; password blank
3. Click Login</t>
  </si>
  <si>
    <t>Error message: "Fields cannot be empty"</t>
  </si>
  <si>
    <t>B-003</t>
  </si>
  <si>
    <t>B-006</t>
  </si>
  <si>
    <t>Register</t>
  </si>
  <si>
    <t>Valid Register</t>
  </si>
  <si>
    <t>Verify registration with valid details</t>
  </si>
  <si>
    <t>1. Open register page
2. Enter valid full name,  email, phone number, name,  password, 
3. Click Register</t>
  </si>
  <si>
    <t>User account is successfully created</t>
  </si>
  <si>
    <t>10/02/2025</t>
  </si>
  <si>
    <t>Duplicate Email</t>
  </si>
  <si>
    <t>Email is already registered</t>
  </si>
  <si>
    <t>Verify registration with an already registered email</t>
  </si>
  <si>
    <t>1. Open register page
2. Enter existing email &amp; password
3. Click Register</t>
  </si>
  <si>
    <t>Error message: "Email already in use"</t>
  </si>
  <si>
    <t>Duplicate phone number</t>
  </si>
  <si>
    <t>Phone number is already registered</t>
  </si>
  <si>
    <t>Verify registration with an already registered phone number</t>
  </si>
  <si>
    <t>1. Open register page
2. Enter existing phone number &amp; password
3. Click Register</t>
  </si>
  <si>
    <t>Error message: "Phone number already in use"</t>
  </si>
  <si>
    <t xml:space="preserve"> Empty Fields
</t>
  </si>
  <si>
    <t>Verify registration with empty fields</t>
  </si>
  <si>
    <t>1. Open register page
2. Leave fields blank
3. Click Register</t>
  </si>
  <si>
    <t>10/05/2025</t>
  </si>
  <si>
    <t>11/06/2025</t>
  </si>
  <si>
    <t xml:space="preserve">Empty a field
</t>
  </si>
  <si>
    <t>User enters blank full name field</t>
  </si>
  <si>
    <t>Verify registration with an empty field</t>
  </si>
  <si>
    <t>1. Open the registration page
2. Leave the name field blank
3. Click Register</t>
  </si>
  <si>
    <t>Password does not match</t>
  </si>
  <si>
    <t>User confirms password does not match</t>
  </si>
  <si>
    <t>Verify registered password</t>
  </si>
  <si>
    <t>1. Open register page
2. Enter password
3. Click Register</t>
  </si>
  <si>
    <t>Error message: "Passwords do not match"</t>
  </si>
  <si>
    <t>B-004</t>
  </si>
  <si>
    <t>B-007</t>
  </si>
  <si>
    <t>Performance</t>
  </si>
  <si>
    <t>Page load time</t>
  </si>
  <si>
    <t>Standard internet connection</t>
  </si>
  <si>
    <t>Verify login page loading performance</t>
  </si>
  <si>
    <t>1. Clear cache. 
2. Reload Login page. 
3. Measure loading time.</t>
  </si>
  <si>
    <t>Page loads quickly. No blank screen or delayed rendering.</t>
  </si>
  <si>
    <t>Security</t>
  </si>
  <si>
    <t>Session invalidation after logout</t>
  </si>
  <si>
    <t>User has logged in and then logged out</t>
  </si>
  <si>
    <t>Ensure user cannot access protected pages using Back button after logout</t>
  </si>
  <si>
    <t>1. Log in successfully. 
2. Log out. 
3. Press Back on the browser. 
4. Attempt to visit a protected URL manually.</t>
  </si>
  <si>
    <t>User is redirected back to Login page. Session is invalidated, and protected pages cannot be accessed without logging in again.</t>
  </si>
  <si>
    <t>User Story 302</t>
  </si>
  <si>
    <t>ID-001~ID-013</t>
  </si>
  <si>
    <t>Open [Search] screen</t>
  </si>
  <si>
    <t>UI Elements Display</t>
  </si>
  <si>
    <t>The user has logged in successfully.</t>
  </si>
  <si>
    <t>Verify that all UI elements are displayed correctly</t>
  </si>
  <si>
    <t>1. Open the website and navigate to the Search screen.                            2. Observe if all elements (input fields, buttons, icons, etc.) are visible.</t>
  </si>
  <si>
    <t>All elements (e.g., "From", "To", "Date", "Search button", navigation bar icons) should be displayed correctly.</t>
  </si>
  <si>
    <t>11/07/2025</t>
  </si>
  <si>
    <t>11/12/2025</t>
  </si>
  <si>
    <t>Input Functionality</t>
  </si>
  <si>
    <t>Verify that the "From" input field works correctly</t>
  </si>
  <si>
    <t>1. Open the app and navigate to the Search screen.               2. Tap on the "From" input field.                                                3. Enter a location name (e.g., "Da Nang").                                   4. Observe if the input is accepted correctly.</t>
  </si>
  <si>
    <t>The input field should accept text input, display the entered text properly, and suggest relevant locations if applicable.</t>
  </si>
  <si>
    <t>B-010</t>
  </si>
  <si>
    <t>B-015</t>
  </si>
  <si>
    <t>Verify that the "To" input field works correctly</t>
  </si>
  <si>
    <t>1. Open the app and navigate to the Search screen.                             2. Tap on the "To" input field.                                                                    3. Enter a location name (e.g., "Da Lat").                                                   4. Observe if the input is accepted correctly.</t>
  </si>
  <si>
    <t>B-011</t>
  </si>
  <si>
    <t>Departure date selection function</t>
  </si>
  <si>
    <t>Verify that the Date Picker works correctly</t>
  </si>
  <si>
    <t>1. Open the app and navigate to the Search screen.                    2. Tap on the Date field.                                                                   3. Select a date from the date picker.                                            4. Observe if the selected date is displayed in the input field.</t>
  </si>
  <si>
    <t>The selected date should be displayed correctly in the "Date" field in the correct format (DD/MM/YYYY).
The date selected must be today or a future date, not a date in the past.</t>
  </si>
  <si>
    <t>B-012</t>
  </si>
  <si>
    <t>B-016</t>
  </si>
  <si>
    <t>Verify that the "Ticket number" input field works correctly</t>
  </si>
  <si>
    <t>1. Open the app and navigate to the Search screen.                             2. Tap on the "Ticket number" input field.                                                                    3. Enter a location name (e.g., "Da Lat").                                                   4. Observe if the input is accepted correctly.</t>
  </si>
  <si>
    <t>The input field must accept text input, display correct text entered, and the ticket number must be greater than or equal to 1</t>
  </si>
  <si>
    <t>Trip Type – Valid</t>
  </si>
  <si>
    <t>Verify that the user can select only one trip type</t>
  </si>
  <si>
    <t>1. Open the app and navigate to the Search screen.                  2. Select a field "Round Trip" or "One Way".                              3. Observe whether the selected field is displayed.</t>
  </si>
  <si>
    <t>The website will display the selected button, and you can select both and not both, only one of the two can be selected.</t>
  </si>
  <si>
    <t>Verify with a blank field</t>
  </si>
  <si>
    <t>1. Open the app and navigate to the Search screen.
2. Select "Round Trip" or "One Way"
3. Leave "From" blank, Enter valid values ​​in the "To" and "Date" fields, then enter a valid "ticket number".
4. Press "Enter".
5. View the search results.</t>
  </si>
  <si>
    <t xml:space="preserve">Valid Search </t>
  </si>
  <si>
    <t>Verify valid trip information search</t>
  </si>
  <si>
    <t>1. Open the app and navigate to the Search screen.
2. Select "Round Trip" or "One Way"
3. Enter valid values ​​in the "From", "To" and "Date" fields, then enter a valid "ticket number".
4. Press "Enter".
5. View the search results.</t>
  </si>
  <si>
    <t>The website will display the correct search trip information, and add search filters.</t>
  </si>
  <si>
    <t xml:space="preserve">Search Results </t>
  </si>
  <si>
    <t>The user has logged in successfully, filled out the search information and got the search ride</t>
  </si>
  <si>
    <t>Verify display notification when there is no flight</t>
  </si>
  <si>
    <t>Display: "No matching trips found"</t>
  </si>
  <si>
    <t>B-013</t>
  </si>
  <si>
    <t>Trip details</t>
  </si>
  <si>
    <t>Verify shows trip details when clicked</t>
  </si>
  <si>
    <t>1. Tap on the trip you want to select
2. Click on "Transfer"</t>
  </si>
  <si>
    <t>Display full information "Pick up/drop off at your door" including: pick up time, pick up time and notes on pick up area and luggage.</t>
  </si>
  <si>
    <t>1. Tap on the trip you want to select
2. Click on "Policy"</t>
  </si>
  <si>
    <t>Display policy information including: "Cancellation policy, boarding requirements, carry-on baggage, pick-up tickets"</t>
  </si>
  <si>
    <t>Trip Selection</t>
  </si>
  <si>
    <t>Verify the "Select Flight" button works</t>
  </si>
  <si>
    <t>1. Tap on the trip you want to select
2. Click on "Select Flight"</t>
  </si>
  <si>
    <t>Switch to Seat Selection screen</t>
  </si>
  <si>
    <t>Filter Functionality</t>
  </si>
  <si>
    <t>Verify filter working exactly</t>
  </si>
  <si>
    <t>1. Go to filter, select "Departure time" (e.g. Early morning 00:00 - 06:00), "Select vehicle type" (e.g. Seat), Select "Row" (e.g. Front row), select "Floor" (e.g. Upper floor)
2. Press enter</t>
  </si>
  <si>
    <t>Displays the selected information accurately</t>
  </si>
  <si>
    <t>B-014</t>
  </si>
  <si>
    <t>Date Picker Functionality</t>
  </si>
  <si>
    <t>App is installed and user is logged in</t>
  </si>
  <si>
    <t>Search Button Functionality</t>
  </si>
  <si>
    <t>Verify that the Search button functions correctly</t>
  </si>
  <si>
    <t>1. Open the app and navigate to the Search screen.                              2. Enter valid values in "From", "To", and "Date" fields.                     3. Tap the "Search" button.                                                          4. Observe the search results.</t>
  </si>
  <si>
    <t>The app should display a list of available buses for the selected route and date. The transition should be smooth with no lag.</t>
  </si>
  <si>
    <t>UI &amp; Data Display</t>
  </si>
  <si>
    <t>Bus search results displayed</t>
  </si>
  <si>
    <t>Verify the user can see bus details</t>
  </si>
  <si>
    <t xml:space="preserve">1.Search any valid route
2.Click on a bus result </t>
  </si>
  <si>
    <t>Display bus details:
Bus operatorDeparture timeEstimated arrivalSeat availability</t>
  </si>
  <si>
    <t>User Story 304</t>
  </si>
  <si>
    <t>ID-001~ID-008</t>
  </si>
  <si>
    <t>Open [Chat] screen</t>
  </si>
  <si>
    <t>Access Functionality</t>
  </si>
  <si>
    <t>Verify Message access from profile</t>
  </si>
  <si>
    <t>1. Tap "Avatar"
2. Tap "Message"</t>
  </si>
  <si>
    <t>Go to the "Messages" screen</t>
  </si>
  <si>
    <t>Verify screen when there is no message</t>
  </si>
  <si>
    <t>1. Open Chat screen
2. Select DaNaGo Bus (no prior chat)</t>
  </si>
  <si>
    <t>Show "No chat history","Start conversation with DaNaGo Bus"</t>
  </si>
  <si>
    <t>B-019</t>
  </si>
  <si>
    <t>B-021</t>
  </si>
  <si>
    <t>Send Message  Functionality</t>
  </si>
  <si>
    <t>Verify message sent successfully</t>
  </si>
  <si>
    <t>1. Select "New chat"
2. Enter the information you want to ask e.g. "Does the car pick you up at the hotel?"
3. Press Submit</t>
  </si>
  <si>
    <t>Message displayed on chat</t>
  </si>
  <si>
    <t>B-017</t>
  </si>
  <si>
    <t xml:space="preserve">Cancel Functionality </t>
  </si>
  <si>
    <t>The user has logged in successfully, had a conversation</t>
  </si>
  <si>
    <t>Verify chat deletion successful</t>
  </si>
  <si>
    <t>1. Click on the 3 dots icon in the left corner of the conversation                                                                                 2. Select "Delete conversation".</t>
  </si>
  <si>
    <t>Confirmation dialog: "Delete this conversation?" ,After confirm: Chat history cleared</t>
  </si>
  <si>
    <t>B-020</t>
  </si>
  <si>
    <t>Send Message Validation</t>
  </si>
  <si>
    <t>Verify system prevents user from sending empty messages</t>
  </si>
  <si>
    <t>1.Open chat with DaNaGo Bus
2.Leave the input box empty
3.Click the “Send” icon</t>
  </si>
  <si>
    <t>Screen auto-scrolls down showing the latest message</t>
  </si>
  <si>
    <t>User has existing chat history</t>
  </si>
  <si>
    <t>Verify previous messages load correctly</t>
  </si>
  <si>
    <t>1.Open Chat screen
2.Select DaNaGo Bus (existing conversation)</t>
  </si>
  <si>
    <t>Full chat history displayed</t>
  </si>
  <si>
    <t>New Chat Functionality</t>
  </si>
  <si>
    <t>The user has logged in successfully</t>
  </si>
  <si>
    <t>Verify system creates a new conversation when none exists</t>
  </si>
  <si>
    <t>1.Open Chat
2.Choose “New Chat”
3.Input question (e.g., “Tôi muốn hỏi về lịch trình hôm nay”)
4.Tap send</t>
  </si>
  <si>
    <t>New conversation created
Message appears in chat
Conversation added to history list</t>
  </si>
  <si>
    <t>Access Menu</t>
  </si>
  <si>
    <t>Verify menu options appear when tapping on the 3-dots icon</t>
  </si>
  <si>
    <t>1.Open a conversation
2.Tap 3-dots icon</t>
  </si>
  <si>
    <t>Menu displays: “New chat”, “Delete conversation”</t>
  </si>
  <si>
    <t>User Story 303</t>
  </si>
  <si>
    <t>ID-001~ID-012</t>
  </si>
  <si>
    <t>Open [Comments and reviews] screen</t>
  </si>
  <si>
    <t>Logged in, have booking history</t>
  </si>
  <si>
    <t>1. Open the "My Tickets" screen.
2. Select "Rate your trip"</t>
  </si>
  <si>
    <t>Show review filters</t>
  </si>
  <si>
    <t>Verify the selected information is correct</t>
  </si>
  <si>
    <t>1. Open the “Review” screen
2. Select the level of filtering (e.g. 4 stars or higher)
3. Press enter</t>
  </si>
  <si>
    <t>Display information of the bus company with the selected rating level</t>
  </si>
  <si>
    <t>Rating stars  Functionality</t>
  </si>
  <si>
    <t>Verify select number of stars (1-5)</t>
  </si>
  <si>
    <t>1. Click on the trip select "Details"
2. Click in order: from 1 star to 5 stars</t>
  </si>
  <si>
    <t>Stars are highlighted accordingly, yellow for selected stars, can be changed before sending, default not selected</t>
  </si>
  <si>
    <t>B-008</t>
  </si>
  <si>
    <t>Open [Comments and reviews]] screen</t>
  </si>
  <si>
    <t>Comment input</t>
  </si>
  <si>
    <t xml:space="preserve">Verify comment </t>
  </si>
  <si>
    <t>1. Click on the trip, select "Details".
2. Enter comment</t>
  </si>
  <si>
    <t>Allows up to 280 characters to be entered</t>
  </si>
  <si>
    <t>Submit Rating</t>
  </si>
  <si>
    <t>Verify review submission is successful</t>
  </si>
  <si>
    <t>1. Select 5 stars
2. Type: "Very good!"
3. Click the Submit Review button</t>
  </si>
  <si>
    <t>Display correct commented information</t>
  </si>
  <si>
    <t>B-009</t>
  </si>
  <si>
    <t>Verify behavior when selected filter returns no results</t>
  </si>
  <si>
    <t>1.Open the “Review” screen
2.Select a high filter (e.g., 5 stars)
3.Ensure no trip matches the selected rating</t>
  </si>
  <si>
    <t>Display message: “No search results found”.</t>
  </si>
  <si>
    <t>Verify each trip item displays complete UI information</t>
  </si>
  <si>
    <t>1.Open the “Review” screen
2.Select rating filter 3–5 stars</t>
  </si>
  <si>
    <t>Trip cards display image, bus name, price, and rating correctly.</t>
  </si>
  <si>
    <t>View details</t>
  </si>
  <si>
    <t>Verify selecting a trip opens its detail</t>
  </si>
  <si>
    <t>1.Click on a trip card</t>
  </si>
  <si>
    <t>Navigates to Feedback_detail screen showing detailed reviews.</t>
  </si>
  <si>
    <t>Validation</t>
  </si>
  <si>
    <t>Verify user cannot submit an empty comment</t>
  </si>
  <si>
    <t>1.Open the Feedback_detail screen
2.Leave the comment box empty
3.Click Submit</t>
  </si>
  <si>
    <t>Error message: “Please enter your comment”.</t>
  </si>
  <si>
    <t>Ensure user cannot input more than 280 characters</t>
  </si>
  <si>
    <t>1.Enter a comment with 300 characters
2.Click Submit</t>
  </si>
  <si>
    <t>Input is restricted OR message appears: “Maximum 280 characters allowed”.</t>
  </si>
  <si>
    <t>Ensure star rating is required</t>
  </si>
  <si>
    <t>1.Open Feedback_detail screen
2.Do not select any star
3.Click Submit</t>
  </si>
  <si>
    <t>Error message: “Please select a rating”.</t>
  </si>
  <si>
    <t>Verify user can submit valid rating and comment</t>
  </si>
  <si>
    <t>1.Select 5 stars
2.Enter a 50-character comment
3.Click Submit</t>
  </si>
  <si>
    <t>Review is saved and displayed in the review list</t>
  </si>
  <si>
    <t>User Story 305</t>
  </si>
  <si>
    <t>ID-001~ID-003</t>
  </si>
  <si>
    <t>User Story 315</t>
  </si>
  <si>
    <t>ID-004~ID-008</t>
  </si>
  <si>
    <t>User Story 317</t>
  </si>
  <si>
    <t>ID-009~ID-0016</t>
  </si>
  <si>
    <t>App is installed and user is on this screen</t>
  </si>
  <si>
    <t>1. Open the app and navigate to the "Reserve Vehicle" screen.
2. Observe all elements: labels, input fields, buttons, icons, and vehicle type dropdown.</t>
  </si>
  <si>
    <t>All UI elements (e.g., "Preferred Date", "Full Name", "Email", "Contact", "Vehicle Type", "Reserve" button, Back ←, Help ?) must be visible, properly aligned, and in correct language (English).</t>
  </si>
  <si>
    <t>10/01/2025</t>
  </si>
  <si>
    <t>10/10/2025</t>
  </si>
  <si>
    <t>10/27/2025</t>
  </si>
  <si>
    <t>Verify that the "Preferred Date" input field works correctly</t>
  </si>
  <si>
    <t>1. Tap on the "Preferred Date" field.
2. Select a future date (e.g., 12/28/2025).
3. Confirm selection.</t>
  </si>
  <si>
    <t>The selected date should be displayed correctly in the input field in "DD/MM/YYYY" format.
The date selected must be today or a future date, not a date in the past.</t>
  </si>
  <si>
    <t>B-022</t>
  </si>
  <si>
    <t>Verify that the "Full Name" input field works correctly</t>
  </si>
  <si>
    <t>1. Tap on "Full Name".
2. Enter "Nguyen Van A".
3. Move to next field.</t>
  </si>
  <si>
    <t>Input is accepted.
Text is displayed correctly.
No character limit error under 50 chars.</t>
  </si>
  <si>
    <t>Verify that the "Email" input field works correctly</t>
  </si>
  <si>
    <t>1. Tap on "Email".
2. Enter "test.user@company.vn".
3. Move to next field.</t>
  </si>
  <si>
    <t>Valid email format accepted.
Keyboard switches to email mode (@ symbol visible).
No error for valid domain.</t>
  </si>
  <si>
    <t>B-023</t>
  </si>
  <si>
    <t>B-026</t>
  </si>
  <si>
    <t>Verify that the "Contact" input field works correctly</t>
  </si>
  <si>
    <t>1. Tap on the "Contact" input field.
2. Enter a phone number (e.g., "0987654321").
3. Move to next field.</t>
  </si>
  <si>
    <t>Only numeric input allowed.
Auto-format: 098 765 4321.
Exactly 10 digits (Vietnam mobile).</t>
  </si>
  <si>
    <t>B-027</t>
  </si>
  <si>
    <t>Navigation Functionality</t>
  </si>
  <si>
    <t>Verify that the back button functions correctly</t>
  </si>
  <si>
    <t>1. Tap on the back arrow (←) at top-left.
2. Observe navigation.</t>
  </si>
  <si>
    <t>App navigates smoothly to the previous screen (e.g., Dashboard).
No crash or delay &gt;1s.</t>
  </si>
  <si>
    <t>B-024</t>
  </si>
  <si>
    <t>Dropdown Functionality</t>
  </si>
  <si>
    <t>Verify that the "Vehicle Type" dropdown works correctly</t>
  </si>
  <si>
    <t>1. Tap on the "Vehicle Type" dropdown.
2. Observe the dropdown list appears.
3Select any option (e.g., "Sedan 4 seats", "SUV 7 seats", "Van 16 seats", e tc.).
4. Observe the selected value.</t>
  </si>
  <si>
    <t>Dropdown list displays all available vehicle types (at least 4–5 options).
Selected vehicle type is displayed correctly in the field after selection.
No crash or lag when opening/closing dropdown.</t>
  </si>
  <si>
    <t>Mandatory Field Validation</t>
  </si>
  <si>
    <t>Verify that user cannot submit when required fields are empty</t>
  </si>
  <si>
    <t>1. Leave all fields empty (or clear all input).
2. Tap the "Reserve" button.</t>
  </si>
  <si>
    <t>"Reserve" button is disabled (greyed out) OR
If button is enabled, show error/toast message: “Please fill in all required fields” (or similar).
Reservation is not submitted.
Highlight empty required fields in red (or show asterisk/red border).</t>
  </si>
  <si>
    <t>Submit Reservation Successfully</t>
  </si>
  <si>
    <t>Verify successful reservation with valid data</t>
  </si>
  <si>
    <t>All fields support valid input (use data from ID-002 to ID-007).
1. Enter valid data:
Preferred Date: 28/12/2025
Full Name: Nguyen Van A
Email: test.user@company.vn
Contact: 0987654321
Vehicle Type: SUV 7 seats
2. Tap the "Reserve" button.</t>
  </si>
  <si>
    <t>Loading indicator appears briefly (≤ 3s).
Success toast/message: “Reservation request sent successfully!” (or similar).
Navigate to Confirmation screen OR back to Dashboard with success notification.
No crash.</t>
  </si>
  <si>
    <t>B-025</t>
  </si>
  <si>
    <t>B-028</t>
  </si>
  <si>
    <t>Help Button Functionality</t>
  </si>
  <si>
    <t>Verify that the Help (?) button works correctly</t>
  </si>
  <si>
    <t>1. Tap the Help (?) icon at top-right.
2. Observe the action.</t>
  </si>
  <si>
    <t>A dialog/pop-up/help sheet appears explaining how to reserve a vehicle OR
Navigate to Help/Support screen OR
Open chat/support channel (if integrated).
Dialog can be closed by tapping outside or “Close” button.
No crash when opening/closing help.</t>
  </si>
  <si>
    <t>Data Validation</t>
  </si>
  <si>
    <t>User on Reserve Vehicle screen</t>
  </si>
  <si>
    <t>Verify invalid email format is rejected</t>
  </si>
  <si>
    <t>1. Enter email: "invalid.email@com" or "test@com" 2. Try to submit or move away</t>
  </si>
  <si>
    <t>Real-time or on-submit error: “Please enter a valid email address”
Field border turns red</t>
  </si>
  <si>
    <t>Verify invalid phone number (&lt;10 or &gt;10 digits) rejected</t>
  </si>
  <si>
    <t>1. Enter phone: 12345 or 09876543210
2. Try to submit</t>
  </si>
  <si>
    <t>Error: “Contact number must be 10 digits”
Auto-format removed if invalid</t>
  </si>
  <si>
    <t>Offline Behavior</t>
  </si>
  <si>
    <t>No internet connection</t>
  </si>
  <si>
    <t>Verify form behavior when offline</t>
  </si>
  <si>
    <t>1. Turn off Wi-Fi/Data 2. Fill form with valid data 3. Tap "Reserve"</t>
  </si>
  <si>
    <t>Graceful message: “No internet connection. Please check your network and try again” OR form saved locally and queued for later submission No crash</t>
  </si>
  <si>
    <t>Verify screen load time</t>
  </si>
  <si>
    <t>1. From Dashboard → Tap "Reserve Vehicle" 2. Measure load time</t>
  </si>
  <si>
    <t>Screen fully loads in ≤ 2 seconds (even with slow 3G)</t>
  </si>
  <si>
    <t>Accessibility</t>
  </si>
  <si>
    <t>VoiceOver/TalkBack enabled</t>
  </si>
  <si>
    <t>Verify screen is accessible (screen reader)</t>
  </si>
  <si>
    <t>1. Enable VoiceOver (iOS) or TalkBack (Android) 2. Navigate all fields and buttons</t>
  </si>
  <si>
    <t>All fields, buttons, dropdown, and icons have correct accessibility labels
VoiceOver reads: “Preferred Date, date picker”, “Vehicle Type, dropdown, SUV 7 seats selected”, “Reserve, button”, etc.
Full navigation possible with swipe/gestures</t>
  </si>
  <si>
    <t>Security &amp; Privacy</t>
  </si>
  <si>
    <t>Verify no sensitive data is masked or secured</t>
  </si>
  <si>
    <t>1. Fill form → background app → return 2. Check if data persists 3. Check logs/network calls</t>
  </si>
  <si>
    <t>Input data not stored in plain text in logs Email/phone not exposed in URL or screenshots Form data cleared or encrypted when app is backgrounded (if required by policy) No sensitive data leakage</t>
  </si>
  <si>
    <t>11/11/2025</t>
  </si>
  <si>
    <t>User Story 306</t>
  </si>
  <si>
    <t>ID-001~ID-007</t>
  </si>
  <si>
    <t>User Story 316</t>
  </si>
  <si>
    <t>ID-008~ID-0010</t>
  </si>
  <si>
    <t>User Story 326</t>
  </si>
  <si>
    <t>ID-0011~ID-012</t>
  </si>
  <si>
    <t>User Story 336</t>
  </si>
  <si>
    <t>ID-0013~ID-014</t>
  </si>
  <si>
    <t>View Schedule Screen</t>
  </si>
  <si>
    <t>App is installed, user is logged in.</t>
  </si>
  <si>
    <t>1. Open the app and navigate to the "View Schedule" screen.
2. Observe all elements: date picker, search button, filter dropdown, schedule list, refresh icon.</t>
  </si>
  <si>
    <t>All UI elements must be visible:
- "Select Date" field
- Search button
- Filter by Vehicle Type
- Schedule List (grid/table)
- Refresh icon
- No overlapping or cut-off text</t>
  </si>
  <si>
    <t>Date Selection Functionality</t>
  </si>
  <si>
    <t>Verify that the date picker works correctly and restricts past dates</t>
  </si>
  <si>
    <t>1. Tap on the "Select Date" field.
2. Try to select 10/16/2025 (yesterday).
3. Select 10/17/2025 (today).</t>
  </si>
  <si>
    <t>Past dates are grayed out and unselectable.
Future and today dates are selectable.
Selected date displayed in DD/MM/YYYY format.</t>
  </si>
  <si>
    <t>B-029</t>
  </si>
  <si>
    <t>Search Functionality</t>
  </si>
  <si>
    <t>App is installed, user is logged in, bookings exist on 11/15/2025</t>
  </si>
  <si>
    <t>Verify that searching by date displays correct schedule</t>
  </si>
  <si>
    <t>1. Select date: 11/15/2025.
2. Tap Search.
3. Observe the list.</t>
  </si>
  <si>
    <t>Schedule shows:
- Sedan: 09:00–12:00 – Nguyen Van A
- SUV: 14:00–17:00 – Tran Thi B
Each row includes: Vehicle, Time, User, Status</t>
  </si>
  <si>
    <t>B-031</t>
  </si>
  <si>
    <t>Empty Schedule Display</t>
  </si>
  <si>
    <t>App is installed, user is logged in, no bookings on selected date</t>
  </si>
  <si>
    <t>Verify message when no bookings found</t>
  </si>
  <si>
    <t>1. Select date: 11/30/2025 (no data).
2. Tap Search.</t>
  </si>
  <si>
    <t>Centered message: "No reservations found for this date"
List is empty, no ghost rows</t>
  </si>
  <si>
    <t>B-032</t>
  </si>
  <si>
    <t>App is installed, user is logged in, multiple vehicle types booked</t>
  </si>
  <si>
    <t>Verify filter by vehicle type works correctly</t>
  </si>
  <si>
    <t>1. Select date: 11/15/2025.
2. Open Filter → choose SUV.
3. Tap Apply.</t>
  </si>
  <si>
    <t>Only SUV bookings are displayed.
Other types (Sedan, Van) are hidden.
Filter badge shows "SUV"</t>
  </si>
  <si>
    <t>B-033</t>
  </si>
  <si>
    <t>Refresh Functionality</t>
  </si>
  <si>
    <t>App is installed, user is logged in, new booking just added</t>
  </si>
  <si>
    <t>Verify schedule updates after refresh</t>
  </si>
  <si>
    <t>1. Search 11/17/2025 (initially 1 booking).
2. (Background: Admin adds new booking via web).
3. Pull down to refresh or tap Refresh icon.</t>
  </si>
  <si>
    <t>New booking appears in list within 3 seconds. Toast: "Schedule updated"</t>
  </si>
  <si>
    <t>B-030</t>
  </si>
  <si>
    <t>Verify schedule loads from cache when offline</t>
  </si>
  <si>
    <t>1. Open View Schedule while online (load 11/15/2025). 2. Turn off Wi-Fi &amp; mobile data. 3. Reopen screen and search same date.</t>
  </si>
  <si>
    <t>Cached schedule is displayed. Warning banner: "Offline mode – showing last synced data" Refresh disabled</t>
  </si>
  <si>
    <t>Sort by Time</t>
  </si>
  <si>
    <t>App is installed, user is logged in, multiple bookings exist</t>
  </si>
  <si>
    <t>Verify sorting works correctly</t>
  </si>
  <si>
    <t>1. Search 11/15/2025.
2. Tap "Sort" → choose "Time: Ascending" or "Time: Descending".</t>
  </si>
  <si>
    <t>List orders bookings by time correctly.
Ascending shows earliest first, descending shows latest first</t>
  </si>
  <si>
    <t>Sort by Vehicle Type</t>
  </si>
  <si>
    <t>Verify sorting by vehicle type works</t>
  </si>
  <si>
    <t>1. Search 11/15/2025.
2. Tap "Sort" → choose "Vehicle Type".</t>
  </si>
  <si>
    <t>Bookings grouped and ordered by vehicle type (e.g., Sedan, SUV, Van)</t>
  </si>
  <si>
    <t>Search – No Match</t>
  </si>
  <si>
    <t>App is installed, user is logged in</t>
  </si>
  <si>
    <t>Verify behavior when search yields no result</t>
  </si>
  <si>
    <t>1. Select date: 11/20/2025.
2. Tap Search.</t>
  </si>
  <si>
    <t>Centered message: "No reservations found for this date"
List remains empty</t>
  </si>
  <si>
    <t>Pagination / Infinite Scroll</t>
  </si>
  <si>
    <t>App is installed, user is logged in, &gt;20 bookings</t>
  </si>
  <si>
    <t>Verify scroll loads additional bookings</t>
  </si>
  <si>
    <t>1. Search 11/15/2025.
2. Scroll down until end of list.</t>
  </si>
  <si>
    <t>New bookings load dynamically without page reload.
Smooth scrolling, no duplicates</t>
  </si>
  <si>
    <t>Long Text Handling</t>
  </si>
  <si>
    <t>App is installed, user is logged in, bookings with long names/notes</t>
  </si>
  <si>
    <t>Verify UI does not break with long text</t>
  </si>
  <si>
    <t>1. Search 11/15/2025.
2. Observe bookings with long names/notes.</t>
  </si>
  <si>
    <t>Text wraps or truncates correctly with ellipsis.
No overlapping or hidden buttons/icons</t>
  </si>
  <si>
    <t>Accessibility – Screen Reader</t>
  </si>
  <si>
    <t>Verify full accessibility</t>
  </si>
  <si>
    <t>1. Enable screen reader.
2. Navigate View Schedule screen.</t>
  </si>
  <si>
    <t>Screen reader reads all UI elements (date picker, filters, schedule rows, buttons).
Navigation via gestures works</t>
  </si>
  <si>
    <t>Performance – Large Schedule</t>
  </si>
  <si>
    <t>App is installed, user is logged in, &gt;50 bookings</t>
  </si>
  <si>
    <t>Verify smooth performance</t>
  </si>
  <si>
    <t>1. Search 11/15/2025.
2. Scroll quickly through all bookings.</t>
  </si>
  <si>
    <t>No lag, scrolling smooth, UI responsive, memory stable</t>
  </si>
  <si>
    <t>User Story 307</t>
  </si>
  <si>
    <t>ID-001~ID-0014</t>
  </si>
  <si>
    <t>ID-005~ID-0011</t>
  </si>
  <si>
    <t>User Story 327</t>
  </si>
  <si>
    <t>ID-0012~ID-0016</t>
  </si>
  <si>
    <t>Open [Payment methods] screen</t>
  </si>
  <si>
    <t>Payment methods List Display</t>
  </si>
  <si>
    <t>App is installed, user is logged in, and user user must have at least one unpaid booking.</t>
  </si>
  <si>
    <t>Verify that all payment methods are displayed correctly.</t>
  </si>
  <si>
    <t>1. Open Payment Methods screen from unpaid booking.
2. Verify 3 options: Banking, E-Wallet, Physically.
3. Check each: Image (icon), Name, Description.</t>
  </si>
  <si>
    <t>All 3 methods visible.
Icons: Banking (bank logo), E-Wallet (mobile), Cash (cash).
Names: Banking, E-Wallet, Pay with Cash.
Descriptions: Clear, &lt;100 chars, no truncation.</t>
  </si>
  <si>
    <t>10/07/2025</t>
  </si>
  <si>
    <t>10/20/2025</t>
  </si>
  <si>
    <t>11/10/2025</t>
  </si>
  <si>
    <t>Banking Button Functionality</t>
  </si>
  <si>
    <t>Verify that the Banking button works correctly</t>
  </si>
  <si>
    <t>1. Tap Banking.
2. Observe popup/modal.</t>
  </si>
  <si>
    <t>Modal opens with:
- QR Code (scannable)
- Account Name: Company XYZ
- Account No: 1234567890
- Bank: Vietcombank
- Amount: 500,000 VND
- Copy buttons for account info.</t>
  </si>
  <si>
    <t>E-wallet Button Functionality</t>
  </si>
  <si>
    <t>Verify that the E-wallet button works correctly</t>
  </si>
  <si>
    <t>1. Tap E-Wallet.
2. Device has Momo and ZaloPay installed.</t>
  </si>
  <si>
    <t>System app chooser opens: "Complete action using..."
User can select Momo/ZaloPay.
Deep link sends: amount, merchant ID, booking ID.</t>
  </si>
  <si>
    <t>B-034</t>
  </si>
  <si>
    <t>Cash Status Display</t>
  </si>
  <si>
    <t>Verify that the Cash button works correctly</t>
  </si>
  <si>
    <t>1. Tap Pay with Cash.
2. Observe next screen.</t>
  </si>
  <si>
    <t>Navigates to "Cash Payment Instructions" screen:
- Address: 123 ABC Street, District 1
- Contact: 0123 456 789
- Deadline: Pay within 24h
- Button: I’ve Paid</t>
  </si>
  <si>
    <t>Back Button Functionality</t>
  </si>
  <si>
    <t>Verify that the Back button works correctly</t>
  </si>
  <si>
    <t>1. Open the Payment Methods screen from an unpaid booking (e.g., TKT-112025-001).
2. Tap the Back button (←) at the top-left corner.</t>
  </si>
  <si>
    <t>The app should smoothly navigate back to the Bookings History screen.
All form/session data is preserved if reopened.
No crash or lag &gt;1 second.</t>
  </si>
  <si>
    <t>Amount Accuracy</t>
  </si>
  <si>
    <t>Has unpaid booking of 1,250,000 VND</t>
  </si>
  <si>
    <t>Verify displayed amount is exactly the same everywhere</t>
  </si>
  <si>
    <t>1. Open Payment Methods for booking worth 1,250,000 VND 
2. Check amount in all 3 methods</t>
  </si>
  <si>
    <t>Amount displayed as 1,250,000 VND in title and inside every payment method modal/screen
No rounding or discrepancy</t>
  </si>
  <si>
    <t>Expired Booking Handling</t>
  </si>
  <si>
    <t>Booking payment deadline passed (&gt;24h)</t>
  </si>
  <si>
    <t>Verify behaviour when booking has expired</t>
  </si>
  <si>
    <t>1. Open Payment Methods for an expired unpaid booking</t>
  </si>
  <si>
    <t>All 3 payment options disabled/greyed out OR screen shows “Booking expired” banner
“Pay” button from booking details is disabled</t>
  </si>
  <si>
    <t>Offline Behaviour</t>
  </si>
  <si>
    <t>Verify screen behaviour when offline</t>
  </si>
  <si>
    <t>1. Turn off Wi-Fi &amp; mobile data 
2. Open Payment Methods from unpaid booking</t>
  </si>
  <si>
    <t>Banking &amp; Cash options still fully functional and open correctly
E-Wallet option shows friendly message “Internet required for E-Wallet” or is disabled
No crash</t>
  </si>
  <si>
    <t>VoiceOver (iOS) or TalkBack (Android) enabled</t>
  </si>
  <si>
    <t>Verify screen is fully accessible</t>
  </si>
  <si>
    <t>1. Enable screen reader 
2. Navigate entire Payment Methods screen and all modals</t>
  </si>
  <si>
    <t>Every element has correct label:
• “Banking, button”
• “E-Wallet, button”
• “Pay with Cash, button”
• QR modal: “QR Code image, Account number 1234567890, Copy button”
Full navigation &amp; actions possible with swipe/gestures</t>
  </si>
  <si>
    <t>App installed</t>
  </si>
  <si>
    <t>Verify screen &amp; modals load quickly</t>
  </si>
  <si>
    <t>1. From booking → Tap Pay → measure load time of Payment Methods and each modal</t>
  </si>
  <si>
    <t>Entire screen loads ≤ 1.5s
Banking QR modal opens ≤1s
No jank or frozen frames</t>
  </si>
  <si>
    <t>Verify no sensitive data leakage</t>
  </si>
  <si>
    <t>1. Open Banking modal → background app → take screenshot → return to app 
2. Check logs (if possible)</t>
  </si>
  <si>
    <t>Account number not visible in recent apps thumbnail/screenshot
No plain-text account details in logcat or crash reports
QR image cleared from memory when modal closed</t>
  </si>
  <si>
    <t>Invalid E-Wallet Installed</t>
  </si>
  <si>
    <t>App installed, user logged in</t>
  </si>
  <si>
    <t>Verify app handles missing E-wallet apps</t>
  </si>
  <si>
    <t>1. Tap E-Wallet when Momo/ZaloPay not installed.</t>
  </si>
  <si>
    <t>App shows friendly message: “E-Wallet app not found. Please install Momo/ZaloPay.”
No crash or freeze.</t>
  </si>
  <si>
    <t>Partial Payment Handling</t>
  </si>
  <si>
    <t>Booking allows partial payments</t>
  </si>
  <si>
    <t>Verify partial payment flows</t>
  </si>
  <si>
    <t>1. Select booking with partial payment allowed.
2. Complete partial payment via Banking or E-wallet.</t>
  </si>
  <si>
    <t>Partial amount deducted correctly.
Remaining balance displayed.
Payment status updates in Booking History.</t>
  </si>
  <si>
    <t>Multi-Booking Payment</t>
  </si>
  <si>
    <t>Multiple unpaid bookings</t>
  </si>
  <si>
    <t>Verify simultaneous payment of multiple bookings</t>
  </si>
  <si>
    <t>1. Select 2 unpaid bookings.
2. Tap Pay → choose Banking/E-wallet.</t>
  </si>
  <si>
    <t>Both bookings updated as paid.
Amounts correctly reflected.
No modal overlap or crash.</t>
  </si>
  <si>
    <t>QR Code Scan Accuracy</t>
  </si>
  <si>
    <t>Banking modal open</t>
  </si>
  <si>
    <t>Verify QR code contains correct info</t>
  </si>
  <si>
    <t>1. Scan QR code from Banking modal with a scanner app.</t>
  </si>
  <si>
    <t>Scanner reads:
- Correct account number
- Correct amount
- Correct booking ID</t>
  </si>
  <si>
    <t>Notification After Payment</t>
  </si>
  <si>
    <t>Booking just paid</t>
  </si>
  <si>
    <t>Verify app triggers post-payment notifications</t>
  </si>
  <si>
    <t>1. Complete payment.
2. Observe Notification Center / push notifications.</t>
  </si>
  <si>
    <t>Notification: “Payment successful for TKT-XXXX” appears.
Badge updates if app is open.
Push received if enabled.</t>
  </si>
  <si>
    <t>User Story 308</t>
  </si>
  <si>
    <t>ID-001~ID-0009</t>
  </si>
  <si>
    <t>User Story 318</t>
  </si>
  <si>
    <t>ID-0010~ID-0018</t>
  </si>
  <si>
    <t>Ticket Management Screen</t>
  </si>
  <si>
    <t>App is installed, user is logged in, has at least one active ticket</t>
  </si>
  <si>
    <t>1. Open the app and navigate to the "Ticket Management" screen.
2. Observe: ticket list, search bar, filter dropdown, action buttons (Edit, Cancel), status tags, refresh icon.</t>
  </si>
  <si>
    <t>All UI elements visible:
- Ticket List (card view)
- Search by ID/Date
- Filter: All, Confirmed, Cancelled, Expired
- Edit ✏️, Cancel ❌ per ticket
- Status badges (green/red/gray)
- Refresh icon</t>
  </si>
  <si>
    <t>Cancel Ticket (&gt;24h)</t>
  </si>
  <si>
    <t>User has ticket for 11/22/2025, current time is 11/20/2025 10:00 AM</t>
  </si>
  <si>
    <t>Verify ticket can be cancelled more than 24 hours before start</t>
  </si>
  <si>
    <t>1. Locate ticket TKT-112225-001 (11/22/2025, 09:00–12:00).
2. Tap Cancel.
3. Confirm in popup: "Yes, cancel".</t>
  </si>
  <si>
    <t>Status → Cancelled (red badge).
Toast: "Ticket cancelled successfully".
Email sent to user.
Vehicle freed in View Schedule.</t>
  </si>
  <si>
    <t>B-035</t>
  </si>
  <si>
    <t>B-038</t>
  </si>
  <si>
    <t>Cancel Ticket (&lt;24h)</t>
  </si>
  <si>
    <t>Ticket starts at 09:00 on 11/22/2025, current time is 11/21/2025 10:30 AM</t>
  </si>
  <si>
    <t>Verify cancellation is blocked less than 24 hours before</t>
  </si>
  <si>
    <t>1. Locate ticket TKT-112225-002.
2. Tap Cancel.
3. Try to confirm.</t>
  </si>
  <si>
    <t>Error popup: "Cannot cancel ticket less than 24 hours before start time".
Button remains enabled but action blocked.
Ticket status unchanged.</t>
  </si>
  <si>
    <t>B-036</t>
  </si>
  <si>
    <t>B-039</t>
  </si>
  <si>
    <t>Edit Ticket Time</t>
  </si>
  <si>
    <t>Ticket is &gt;24h away, no time conflict</t>
  </si>
  <si>
    <t>Verify time edit is allowed and updates schedule</t>
  </si>
  <si>
    <t>1. Open ticket TKT-112225-001.
2. Tap Edit ✏️.
3. Change time: 09:00–12:00 → 14:00–17:00.
4. Tap Save.</t>
  </si>
  <si>
    <t>Time updated in list and View Schedule.
Success toast: "Ticket updated".
Email: "Your reservation time has been changed".
Old slot freed.</t>
  </si>
  <si>
    <t>Edit Conflict</t>
  </si>
  <si>
    <t>New time slot already booked</t>
  </si>
  <si>
    <t>Verify edit is blocked if new time is taken</t>
  </si>
  <si>
    <t>1. Try to edit TKT-112225-001 to 09:00–12:00 (already booked by another user).
2. Tap Save.</t>
  </si>
  <si>
    <t>Error: "Selected time slot is not available".
Original time retained.
Conflicting booking highlighted.</t>
  </si>
  <si>
    <t>Search by Ticket ID</t>
  </si>
  <si>
    <t>Multiple tickets exist</t>
  </si>
  <si>
    <t>Verify search by Ticket ID returns exact match</t>
  </si>
  <si>
    <t>1. Tap Search bar.
2. Enter TKT-112025-001.
3. Press Enter.</t>
  </si>
  <si>
    <t>Only TKT-112025-001 is shown.
Case-insensitive (accepts tkt-112025-001).
Partial match shows suggestions.</t>
  </si>
  <si>
    <t>Search by Date</t>
  </si>
  <si>
    <t>Tickets on multiple dates</t>
  </si>
  <si>
    <t>Verify search by date filters correctly</t>
  </si>
  <si>
    <t>1. Enter date 11/20/2025 in search.
2. Apply.</t>
  </si>
  <si>
    <t>Only tickets from 20/11/2025 are displayed.
No results → "No tickets found for this date".</t>
  </si>
  <si>
    <t>B-040</t>
  </si>
  <si>
    <t>Filter by Status</t>
  </si>
  <si>
    <t>Tickets with All/Confirmed/Cancelled/Expired</t>
  </si>
  <si>
    <t>Verify status filter works accurately</t>
  </si>
  <si>
    <t>1. Open Filter dropdown.
2. Select Cancelled.
3. Apply.</t>
  </si>
  <si>
    <t>Only Cancelled tickets shown.
Badge count: "3 Cancelled".
Other statuses hidden.
Filter persists after refresh.</t>
  </si>
  <si>
    <t>View Ticket Details</t>
  </si>
  <si>
    <t>Any ticket in list</t>
  </si>
  <si>
    <t>Verify tapping a ticket opens full details</t>
  </si>
  <si>
    <t>1. Tap on TKT-112025-001 in list.
2. Observe detail screen.</t>
  </si>
  <si>
    <t>Full view opens:
- QR Code (scannable)
- Vehicle, Date, Time, User, Status
- Edit/Cancel buttons (if allowed)
- Print option</t>
  </si>
  <si>
    <t>B-037</t>
  </si>
  <si>
    <t>Auto-Expired Ticket</t>
  </si>
  <si>
    <t>Ticket date passed &gt;24h</t>
  </si>
  <si>
    <t>Verify system auto-marks expired tickets</t>
  </si>
  <si>
    <t>1. Have ticket for 11/15/2025 (now 11/17/2025).
2. Open Ticket Management.</t>
  </si>
  <si>
    <t>Status auto-updated to Expired (gray badge).
Edit/Cancel disabled.
No email spam.</t>
  </si>
  <si>
    <t>Offline Access</t>
  </si>
  <si>
    <t>No internet, tickets previously synced</t>
  </si>
  <si>
    <t>Verify tickets are viewable offline</t>
  </si>
  <si>
    <t>1. Load Ticket Management while online.
2. Turn off Wi-Fi &amp; data.
3. Reopen screen.</t>
  </si>
  <si>
    <t>Last synced list is shown.
Warning banner: "Offline – edit/cancel unavailable".
Edit/Cancel buttons disabled.
View &amp; QR still work.</t>
  </si>
  <si>
    <t>Pull-to-Refresh</t>
  </si>
  <si>
    <t>New ticket added by admin</t>
  </si>
  <si>
    <t>Verify list updates with pull-to-refresh</t>
  </si>
  <si>
    <t>1. View current list (3 tickets).
2. (Background: Admin adds new ticket).
3. Pull down to refresh.</t>
  </si>
  <si>
    <t>New ticket appears within 3 seconds.
Toast: "List updated".
Smooth animation.</t>
  </si>
  <si>
    <t>B-041</t>
  </si>
  <si>
    <t>Empty State</t>
  </si>
  <si>
    <t>User has no tickets at all</t>
  </si>
  <si>
    <t>Verify empty state UI and CTA</t>
  </si>
  <si>
    <t>1. Log in as new user with zero tickets
2. Open Ticket Management</t>
  </si>
  <si>
    <t>Clean empty state shown: • Illustration/message “You have no tickets yet” • “Reserve Vehicle” CTA button works</t>
  </si>
  <si>
    <t>Pagination / Scroll Performance</t>
  </si>
  <si>
    <t>User has &gt;30 tickets</t>
  </si>
  <si>
    <t>Verify smooth scrolling with many tickets</t>
  </si>
  <si>
    <t>1. Load screen with 50+ tickets
2. Scroll quickly to bottom and back</t>
  </si>
  <si>
    <t>No lag/jank Lazy loading works Cards render smoothly No memory stable</t>
  </si>
  <si>
    <t>Verify full screen accessibility</t>
  </si>
  <si>
    <t>1. Enable VoiceOver (iOS) or TalkBack (Android)
2. Navigate entire screen</t>
  </si>
  <si>
    <t>All elements readable: • “Ticket TKT-112025-001, 22 Nov 2025, 09:00 to 12:00, Confirmed” • “Edit button”, “Cancel button” • Filter &amp; search have proper labels Full swipe navigation possible</t>
  </si>
  <si>
    <t>QR Code Validity</t>
  </si>
  <si>
    <t>Valid active ticket</t>
  </si>
  <si>
    <t>Verify generated QR contains correct data &amp; is scannable</t>
  </si>
  <si>
    <t>1. Open ticket details
2. Show QR to scanner app or gate system</t>
  </si>
  <si>
    <t>QR contains correct ticket ID, date, time, user info Scans successfully and validates instantly at gate/test scanner</t>
  </si>
  <si>
    <t>Concurrent Edit Conflict</t>
  </si>
  <si>
    <t>Two users editing same ticket simultaneously</t>
  </si>
  <si>
    <t>Verify last-write-wins or lock mechanism</t>
  </si>
  <si>
    <t>1. User A opens edit
2. User B opens same ticket and saves first
3. User A tries to save</t>
  </si>
  <si>
    <t>User A sees “This ticket has been modified by another user. Please refresh.”
Changes discarded or merge prompt appears</t>
  </si>
  <si>
    <t>Bulk Actions (Future)</t>
  </si>
  <si>
    <t>≥3 tickets selected tickets (if feature exists)</t>
  </si>
  <si>
    <t>Verify bulk cancel (if implemented)</t>
  </si>
  <si>
    <t>1. Long-press a ticket → enter selection mode
2. Select 3 tickets
3. Tap Cancel</t>
  </si>
  <si>
    <t>Confirmation dialog All 3 tickets cancelled together Success toast + email batch sent Slots freed correctly</t>
  </si>
  <si>
    <t>User Story 309</t>
  </si>
  <si>
    <t>ID-001~ID-002</t>
  </si>
  <si>
    <t>User Story 319</t>
  </si>
  <si>
    <t>ID-003~ID-0010</t>
  </si>
  <si>
    <t>User Story 329</t>
  </si>
  <si>
    <t>ID-0011~ID-0013</t>
  </si>
  <si>
    <t>User Story 339</t>
  </si>
  <si>
    <t>ID-0014~ID-0020</t>
  </si>
  <si>
    <t>Notification Center</t>
  </si>
  <si>
    <t>UI/UX</t>
  </si>
  <si>
    <t>User logged in</t>
  </si>
  <si>
    <t>Verify Notification Center UI elements</t>
  </si>
  <si>
    <t>1. Tap Bell icon → Open Notification Center</t>
  </si>
  <si>
    <t>Screen shows: title “Notifications”, tabs All/Unread, list with cards, timestamp, read/unread dot, “Clear All” button, empty state if no items</t>
  </si>
  <si>
    <t>User has never received any notification</t>
  </si>
  <si>
    <t>Verify empty state when no notifications</t>
  </si>
  <si>
    <t>1. Open Notification Center with zero notifications</t>
  </si>
  <si>
    <t>Message: “No notifications yet” + illustration + “Keep booking to get updates!”</t>
  </si>
  <si>
    <t>Push Notification</t>
  </si>
  <si>
    <t>Booking just created (e.g., TKT-112025-999)</t>
  </si>
  <si>
    <t>Verify push received instantly after booking</t>
  </si>
  <si>
    <t>1. Complete a new reservation
2. Wait ≤10s</t>
  </si>
  <si>
    <t>Push appears: “Booking confirmed! TKT-112025-999 on 28/11/2025” with app icon</t>
  </si>
  <si>
    <t>Ticket just cancelled (&gt;24h)</t>
  </si>
  <si>
    <t>Verify cancellation push</t>
  </si>
  <si>
    <t>1. Cancel a ticket → confirm</t>
  </si>
  <si>
    <t>Push: “Your ticket TKT-112025-001 has been cancelled”</t>
  </si>
  <si>
    <t>Unpaid booking &gt;12h old</t>
  </si>
  <si>
    <t>Verify payment reminder push</t>
  </si>
  <si>
    <t>1. Have unpaid booking &gt;12h → wait or trigger reminder</t>
  </si>
  <si>
    <t>Push at ~12h &amp; ~2h before expiry: “Reminder: Complete payment for TKT-XXXX within X hours”</t>
  </si>
  <si>
    <t>Deep Linking</t>
  </si>
  <si>
    <t>Push received about specific ticket</t>
  </si>
  <si>
    <t>Verify tapping push opens correct ticket</t>
  </si>
  <si>
    <t>1. Receive any ticket-related push
2. Tap the push from lock screen or notification shade</t>
  </si>
  <si>
    <t>App opens directly to Ticket Detail screen of that ticket (even if app was closed)</t>
  </si>
  <si>
    <t>General push (e.g., promo)</t>
  </si>
  <si>
    <t>Verify generic push opens Notification Center</t>
  </si>
  <si>
    <t>1. Receive “New promotion” push
2. Tap it</t>
  </si>
  <si>
    <t>Interaction</t>
  </si>
  <si>
    <t>≥3 unread notifications</t>
  </si>
  <si>
    <t>Verify single notification can be marked read</t>
  </si>
  <si>
    <t>1. Open Notification Center
2. Tap one unread item</t>
  </si>
  <si>
    <t>Opens Notification Center and auto-scrolls/highlights the new notification</t>
  </si>
  <si>
    <t>≥5 unread notifications</t>
  </si>
  <si>
    <t>Verify “Mark all as read” works</t>
  </si>
  <si>
    <t>1. Tap three-dot menu or “Mark all as read”</t>
  </si>
  <si>
    <t>Item loses bold/unread dot
Badge on bell icon decreases by 1</t>
  </si>
  <si>
    <t>≥3 notifications</t>
  </si>
  <si>
    <t>Verify “Clear All” removes everything</t>
  </si>
  <si>
    <t>1. Tap “Clear All” → Confirm</t>
  </si>
  <si>
    <t>All items become read
Bell badge disappears (0)</t>
  </si>
  <si>
    <t>Settings</t>
  </si>
  <si>
    <t>Verify toggles work and persist</t>
  </si>
  <si>
    <t>1. Settings → Notifications
2. Turn OFF “Booking Updates” → exit → reopen</t>
  </si>
  <si>
    <t>Toggle saved
No booking-related pushes received while OFF</t>
  </si>
  <si>
    <t>System Integration</t>
  </si>
  <si>
    <t>Device in Do Not Disturb mode</t>
  </si>
  <si>
    <t>Verify app respects system DND</t>
  </si>
  <si>
    <t>1. Enable Do Not Disturb on device
2. Trigger a booking confirmation</t>
  </si>
  <si>
    <t>No sound/vibration
Push still delivered silently (visible in shade &amp; center)</t>
  </si>
  <si>
    <t>Offline</t>
  </si>
  <si>
    <t>No internet, previously received notifications</t>
  </si>
  <si>
    <t>Verify notifications still viewable offline</t>
  </si>
  <si>
    <t>1. Open Notification Center while online
2. Turn off internet
3. Reopen center</t>
  </si>
  <si>
    <t>All previously received notifications visible
New banner “You are offline”</t>
  </si>
  <si>
    <t>In-App Alert</t>
  </si>
  <si>
    <t>Just completed payment</t>
  </si>
  <si>
    <t>Verify success in-app banner/alert</t>
  </si>
  <si>
    <t>1. Finish payment</t>
  </si>
  <si>
    <t>Green banner/toast: “Payment successful! Ticket sent to email” with check icon</t>
  </si>
  <si>
    <t>Payment declined</t>
  </si>
  <si>
    <t>Verify failure in-app banner</t>
  </si>
  <si>
    <t>1. Use invalid card → pay</t>
  </si>
  <si>
    <t>Red banner: “Payment failed. Please try another method” with retry button</t>
  </si>
  <si>
    <t>UI Logic</t>
  </si>
  <si>
    <t>Various notifications</t>
  </si>
  <si>
    <t>Verify bell badge always shows correct unread count</t>
  </si>
  <si>
    <t>1. Have 7 unread → mark 2 as read → receive 1 new push</t>
  </si>
  <si>
    <t>Badge updates instantly: 7 → 5 → 6</t>
  </si>
  <si>
    <t>Data Management</t>
  </si>
  <si>
    <t>User has &gt;100 notifications</t>
  </si>
  <si>
    <t>Verify old notifications are auto-cleared</t>
  </si>
  <si>
    <t>1. Trigger &gt;100 notifications over time
2. Open center</t>
  </si>
  <si>
    <t>Only last 50–100 kept (per policy)
Older ones auto-removed silently</t>
  </si>
  <si>
    <t>1. Enable screen reader
2. Open Notification Center</t>
  </si>
  <si>
    <t>Every item readable: “Booking confirmed, 28 Nov 2025, unread”, “Mark as read button”, “Clear All button”
Swipe navigation works perfectly</t>
  </si>
  <si>
    <t>User has 50+ notifications</t>
  </si>
  <si>
    <t>Verify smooth scrolling and no lag</t>
  </si>
  <si>
    <t>1. Open Notification Center with 50+ items
2. Scroll quickly</t>
  </si>
  <si>
    <t>No jank, lazy loading works, memory stable</t>
  </si>
  <si>
    <t>Booking contains user phone/email</t>
  </si>
  <si>
    <t>Verify push does not expose PII</t>
  </si>
  <si>
    <t>1. Trigger booking confirmation push
2. Check push text on lock screen</t>
  </si>
  <si>
    <t>Push shows only ticket ID &amp; date, never phone/email/full name
Complies with privacy policy</t>
  </si>
  <si>
    <t>INSTRUCTION</t>
  </si>
  <si>
    <t>This sheet is to describe/explain how to input/update in fields of the template</t>
  </si>
  <si>
    <t>Title</t>
  </si>
  <si>
    <t>Instruction</t>
  </si>
  <si>
    <t>Item number</t>
  </si>
  <si>
    <t>Ex: 1, 2, 3, 4</t>
  </si>
  <si>
    <t xml:space="preserve">PM </t>
  </si>
  <si>
    <t>BA</t>
  </si>
  <si>
    <t>QC</t>
  </si>
  <si>
    <t>Quality Control</t>
  </si>
  <si>
    <t>Ver.</t>
  </si>
  <si>
    <t>Version number of document</t>
  </si>
  <si>
    <t>Ex: 1.2, 1.3</t>
  </si>
  <si>
    <t>Software requirements specification/ User Stories No. Related to test cases, which just updated</t>
  </si>
  <si>
    <t>Ex: User Story 321</t>
  </si>
  <si>
    <t>For each software requirements specification/ User Stories No., some test cases are added. List id of them on this field.</t>
  </si>
  <si>
    <t>Ex: Add TC 1 ~ 14 for User Story 321, so, input "ID-001~ID-0014" in this field.</t>
  </si>
  <si>
    <t>Date, Creation Date</t>
  </si>
  <si>
    <t>Format of Date is mm/dd/yyyy</t>
  </si>
  <si>
    <t>Ex: 09/19/2017</t>
  </si>
  <si>
    <t>The latest date, when finish testing.  Format is mm/dd/yyyyy</t>
  </si>
  <si>
    <t>Ex: Testing in a week (from 09/20/2017 to 09/26/2017), fill "09/26/2017" in this field.</t>
  </si>
  <si>
    <t xml:space="preserve">Platform </t>
  </si>
  <si>
    <t>As an operating system, an operating environment, under which various smaller application programs/ website can be designed to run.</t>
  </si>
  <si>
    <t xml:space="preserve">Ex: 
1. Google Chrome Version 60.0.3112.113 on Windows 
2. iPhone 5S iOS 8.4.1 </t>
  </si>
  <si>
    <t>A set of main parts, list main functions, which have common point, these test cases belongs.</t>
  </si>
  <si>
    <t>Ex: category "Admin"</t>
  </si>
  <si>
    <t>For each Main category, set of detail parts, list detail functions, which have common point, these test cases belongs.</t>
  </si>
  <si>
    <t>Ex: In category "Admin", has some sub-category: Users information, Reporter information.</t>
  </si>
  <si>
    <t>Any prerequisites or preconditions that must be fulfilled prior to executing the test.</t>
  </si>
  <si>
    <t>Ex: Login successfully prior to Edit profile. So, in Pre-conditions field, input "Login successfully".</t>
  </si>
  <si>
    <t>The summary/ objective of the test case.</t>
  </si>
  <si>
    <t xml:space="preserve">Step-by-step procedure to execute the test (include data information needed to execute the test). </t>
  </si>
  <si>
    <t>The expected result of the test.</t>
  </si>
  <si>
    <t>The actual result of the test, to be filled after executing the test. Passed or Failed. Other statuses can be ‘Not Executed’ if testing is not performed and ‘Blocked’ if testing is blocked.</t>
  </si>
  <si>
    <t>Ex: The actual result is same with expected result, fill "Passed".</t>
  </si>
  <si>
    <t>The date of execution of the test.</t>
  </si>
  <si>
    <t>The name of the person who executed the test.</t>
  </si>
  <si>
    <t>Any comments on the test case or test execution.</t>
  </si>
  <si>
    <t>&lt;Add more rows if needed&gt;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</si>
</sst>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dd/mm/yyyy"/>
    <numFmt numFmtId="179" formatCode="d/m/yyyy"/>
  </numFmts>
  <fonts count="35">
    <font>
      <sz val="10"/>
      <color rgb="FF000000"/>
      <name val="Arial"/>
      <charset val="134"/>
      <scheme val="minor"/>
    </font>
    <font>
      <sz val="10"/>
      <color theme="1"/>
      <name val="Fira Sans Extra Condensed"/>
      <charset val="134"/>
    </font>
    <font>
      <sz val="12"/>
      <color rgb="FF000000"/>
      <name val="Fira Sans Extra Condensed"/>
      <charset val="134"/>
    </font>
    <font>
      <b/>
      <sz val="14"/>
      <color rgb="FF000000"/>
      <name val="Fira Sans Extra Condensed"/>
      <charset val="134"/>
    </font>
    <font>
      <i/>
      <sz val="10"/>
      <color rgb="FF4472C4"/>
      <name val="Fira Sans Extra Condensed"/>
      <charset val="134"/>
    </font>
    <font>
      <b/>
      <sz val="10"/>
      <color rgb="FFFFFFFF"/>
      <name val="Fira Sans Extra Condensed"/>
      <charset val="134"/>
    </font>
    <font>
      <sz val="10"/>
      <color rgb="FF000000"/>
      <name val="Fira Sans Extra Condensed"/>
      <charset val="134"/>
    </font>
    <font>
      <i/>
      <sz val="10"/>
      <color rgb="FF2E75B5"/>
      <name val="Fira Sans Extra Condensed"/>
      <charset val="134"/>
    </font>
    <font>
      <b/>
      <sz val="10"/>
      <color theme="1"/>
      <name val="Fira Sans Extra Condensed"/>
      <charset val="134"/>
    </font>
    <font>
      <sz val="10"/>
      <name val="Arial"/>
      <charset val="134"/>
      <scheme val="minor"/>
    </font>
    <font>
      <sz val="10"/>
      <color theme="1"/>
      <name val="Arial"/>
      <charset val="134"/>
      <scheme val="minor"/>
    </font>
    <font>
      <sz val="10"/>
      <color theme="1"/>
      <name val="Arial"/>
      <charset val="134"/>
    </font>
    <font>
      <b/>
      <sz val="18"/>
      <color rgb="FF000000"/>
      <name val="Fira Sans Extra Condensed"/>
      <charset val="134"/>
    </font>
    <font>
      <b/>
      <sz val="12"/>
      <color rgb="FFFFFFFF"/>
      <name val="Fira Sans Extra Condensed"/>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8"/>
      <color rgb="FF000000"/>
      <name val="Fira Sans Extra Condensed"/>
      <charset val="134"/>
    </font>
  </fonts>
  <fills count="34">
    <fill>
      <patternFill patternType="none"/>
    </fill>
    <fill>
      <patternFill patternType="gray125"/>
    </fill>
    <fill>
      <patternFill patternType="solid">
        <fgColor rgb="FF783F04"/>
        <bgColor rgb="FF783F0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177"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3" borderId="9"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2" fillId="0" borderId="0" applyNumberFormat="0" applyFill="0" applyBorder="0" applyAlignment="0" applyProtection="0">
      <alignment vertical="center"/>
    </xf>
    <xf numFmtId="0" fontId="23" fillId="4" borderId="12" applyNumberFormat="0" applyAlignment="0" applyProtection="0">
      <alignment vertical="center"/>
    </xf>
    <xf numFmtId="0" fontId="24" fillId="5" borderId="13" applyNumberFormat="0" applyAlignment="0" applyProtection="0">
      <alignment vertical="center"/>
    </xf>
    <xf numFmtId="0" fontId="25" fillId="5" borderId="12" applyNumberFormat="0" applyAlignment="0" applyProtection="0">
      <alignment vertical="center"/>
    </xf>
    <xf numFmtId="0" fontId="26" fillId="6" borderId="14" applyNumberFormat="0" applyAlignment="0" applyProtection="0">
      <alignment vertical="center"/>
    </xf>
    <xf numFmtId="0" fontId="27" fillId="0" borderId="15" applyNumberFormat="0" applyFill="0" applyAlignment="0" applyProtection="0">
      <alignment vertical="center"/>
    </xf>
    <xf numFmtId="0" fontId="28" fillId="0" borderId="16" applyNumberFormat="0" applyFill="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cellStyleXfs>
  <cellXfs count="71">
    <xf numFmtId="0" fontId="0" fillId="0" borderId="0" xfId="0" applyFont="1" applyAlignment="1"/>
    <xf numFmtId="0" fontId="1" fillId="0" borderId="0" xfId="0" applyFont="1" applyAlignment="1">
      <alignment vertical="center"/>
    </xf>
    <xf numFmtId="0" fontId="2" fillId="0" borderId="0" xfId="0" applyFont="1" applyAlignment="1">
      <alignment vertical="center" wrapText="1"/>
    </xf>
    <xf numFmtId="0" fontId="2"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vertical="center"/>
    </xf>
    <xf numFmtId="0" fontId="7" fillId="0" borderId="0" xfId="0" applyFont="1" applyAlignment="1">
      <alignment vertical="center"/>
    </xf>
    <xf numFmtId="0" fontId="6" fillId="0" borderId="0" xfId="0" applyFont="1" applyAlignment="1">
      <alignment vertical="center" wrapText="1"/>
    </xf>
    <xf numFmtId="0" fontId="6" fillId="0" borderId="0" xfId="0" applyFont="1" applyAlignment="1">
      <alignment vertical="center"/>
    </xf>
    <xf numFmtId="0" fontId="3" fillId="0" borderId="0" xfId="0" applyFont="1"/>
    <xf numFmtId="0" fontId="1" fillId="0" borderId="0" xfId="0" applyFont="1"/>
    <xf numFmtId="0" fontId="6" fillId="0" borderId="0" xfId="0" applyFont="1" applyAlignment="1">
      <alignment horizontal="center" vertical="center"/>
    </xf>
    <xf numFmtId="0" fontId="6" fillId="0" borderId="0" xfId="0" applyFont="1" applyAlignment="1">
      <alignment horizontal="center"/>
    </xf>
    <xf numFmtId="0" fontId="5" fillId="2" borderId="2" xfId="0" applyFont="1" applyFill="1" applyBorder="1" applyAlignment="1">
      <alignment horizontal="center" vertical="center"/>
    </xf>
    <xf numFmtId="0" fontId="8" fillId="0" borderId="0" xfId="0" applyFont="1" applyAlignment="1">
      <alignment horizontal="center" vertical="center"/>
    </xf>
    <xf numFmtId="0" fontId="6" fillId="0" borderId="1" xfId="0" applyFont="1" applyBorder="1" applyAlignment="1">
      <alignment horizontal="center"/>
    </xf>
    <xf numFmtId="49" fontId="6" fillId="0" borderId="1" xfId="0" applyNumberFormat="1" applyFont="1" applyBorder="1" applyAlignment="1">
      <alignment horizontal="center"/>
    </xf>
    <xf numFmtId="1" fontId="6" fillId="0" borderId="1" xfId="0" applyNumberFormat="1" applyFont="1" applyBorder="1" applyAlignment="1">
      <alignment horizontal="center" vertical="center" wrapText="1"/>
    </xf>
    <xf numFmtId="0" fontId="5" fillId="2" borderId="3" xfId="0" applyFont="1" applyFill="1" applyBorder="1" applyAlignment="1">
      <alignment horizontal="center" vertical="center"/>
    </xf>
    <xf numFmtId="0" fontId="9" fillId="0" borderId="4" xfId="0" applyFont="1" applyBorder="1"/>
    <xf numFmtId="0" fontId="9" fillId="0" borderId="5" xfId="0" applyFont="1" applyBorder="1"/>
    <xf numFmtId="0" fontId="6" fillId="0" borderId="1" xfId="0" applyFont="1" applyBorder="1" applyAlignment="1">
      <alignment horizontal="center" vertical="center" wrapText="1"/>
    </xf>
    <xf numFmtId="0" fontId="6" fillId="0" borderId="1" xfId="0" applyFont="1" applyBorder="1" applyAlignment="1">
      <alignment wrapText="1"/>
    </xf>
    <xf numFmtId="0" fontId="6" fillId="0" borderId="1" xfId="0" applyFont="1" applyBorder="1" applyAlignment="1">
      <alignment horizontal="left" vertical="center" wrapText="1"/>
    </xf>
    <xf numFmtId="0" fontId="1" fillId="0" borderId="1" xfId="0" applyFont="1" applyBorder="1" applyAlignment="1">
      <alignment vertical="center" wrapText="1"/>
    </xf>
    <xf numFmtId="0" fontId="6" fillId="0" borderId="1" xfId="0" applyFont="1" applyBorder="1"/>
    <xf numFmtId="0" fontId="9" fillId="0" borderId="6" xfId="0" applyFont="1" applyBorder="1"/>
    <xf numFmtId="0" fontId="9" fillId="0" borderId="7" xfId="0" applyFont="1" applyBorder="1"/>
    <xf numFmtId="49" fontId="6" fillId="0" borderId="1" xfId="0" applyNumberFormat="1" applyFont="1" applyBorder="1" applyAlignment="1">
      <alignment horizontal="center" vertical="center"/>
    </xf>
    <xf numFmtId="0" fontId="6" fillId="0" borderId="1" xfId="0" applyFont="1" applyBorder="1" applyAlignment="1"/>
    <xf numFmtId="0" fontId="1" fillId="0" borderId="1" xfId="0" applyFont="1" applyBorder="1" applyAlignment="1"/>
    <xf numFmtId="178" fontId="6" fillId="0" borderId="1" xfId="0" applyNumberFormat="1" applyFont="1" applyBorder="1" applyAlignment="1">
      <alignment horizontal="center" vertical="center"/>
    </xf>
    <xf numFmtId="179" fontId="6" fillId="0" borderId="1" xfId="0" applyNumberFormat="1" applyFont="1" applyBorder="1" applyAlignment="1">
      <alignment horizontal="center" vertical="center"/>
    </xf>
    <xf numFmtId="0" fontId="6" fillId="0" borderId="6" xfId="0" applyFont="1" applyBorder="1" applyAlignment="1">
      <alignment horizontal="left" wrapText="1"/>
    </xf>
    <xf numFmtId="49" fontId="6"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wrapText="1"/>
    </xf>
    <xf numFmtId="0" fontId="3" fillId="0" borderId="0" xfId="0" applyFont="1" applyAlignment="1"/>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0" fillId="0" borderId="1" xfId="0" applyFont="1" applyBorder="1" applyAlignment="1">
      <alignment vertical="center"/>
    </xf>
    <xf numFmtId="0" fontId="10" fillId="0" borderId="1" xfId="0" applyFont="1" applyBorder="1" applyAlignment="1">
      <alignment vertical="center" wrapText="1"/>
    </xf>
    <xf numFmtId="0" fontId="10" fillId="0" borderId="0" xfId="0" applyFont="1" applyAlignment="1">
      <alignment wrapText="1"/>
    </xf>
    <xf numFmtId="0" fontId="10" fillId="0" borderId="1" xfId="0" applyFont="1" applyBorder="1" applyAlignment="1"/>
    <xf numFmtId="0" fontId="10" fillId="0" borderId="0" xfId="0" applyFont="1" applyAlignment="1">
      <alignmen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1" xfId="0" applyFont="1" applyBorder="1" applyAlignment="1">
      <alignment horizontal="left" vertical="center"/>
    </xf>
    <xf numFmtId="0" fontId="10" fillId="0" borderId="0" xfId="0" applyFont="1" applyAlignment="1">
      <alignment horizontal="left" vertical="center"/>
    </xf>
    <xf numFmtId="0" fontId="1" fillId="0" borderId="1" xfId="0" applyFont="1" applyBorder="1" applyAlignment="1">
      <alignment vertical="center"/>
    </xf>
    <xf numFmtId="0" fontId="1" fillId="0" borderId="1" xfId="0" applyFont="1" applyBorder="1" applyAlignment="1">
      <alignment horizontal="center" wrapText="1"/>
    </xf>
    <xf numFmtId="0" fontId="1" fillId="0" borderId="1" xfId="0" applyFont="1" applyBorder="1" applyAlignment="1">
      <alignment wrapText="1"/>
    </xf>
    <xf numFmtId="0" fontId="1" fillId="0" borderId="1" xfId="0" applyFont="1" applyBorder="1" applyAlignment="1">
      <alignment horizontal="center"/>
    </xf>
    <xf numFmtId="0" fontId="1" fillId="0" borderId="0" xfId="0" applyFont="1" applyAlignment="1">
      <alignment wrapText="1"/>
    </xf>
    <xf numFmtId="0" fontId="1" fillId="0" borderId="6" xfId="0" applyFont="1" applyBorder="1" applyAlignment="1">
      <alignment wrapText="1"/>
    </xf>
    <xf numFmtId="0" fontId="11" fillId="0" borderId="1" xfId="0" applyFont="1" applyBorder="1" applyAlignment="1"/>
    <xf numFmtId="49" fontId="1" fillId="0" borderId="1" xfId="0" applyNumberFormat="1" applyFont="1" applyBorder="1" applyAlignment="1">
      <alignment horizontal="center"/>
    </xf>
    <xf numFmtId="0" fontId="3" fillId="0" borderId="0" xfId="0" applyFont="1" applyAlignment="1">
      <alignment vertical="center"/>
    </xf>
    <xf numFmtId="0" fontId="2" fillId="0" borderId="0" xfId="0" applyFont="1" applyAlignment="1">
      <alignment horizontal="center" vertical="center"/>
    </xf>
    <xf numFmtId="1" fontId="1" fillId="0" borderId="8" xfId="0" applyNumberFormat="1" applyFont="1" applyBorder="1" applyAlignment="1">
      <alignment vertical="center" wrapText="1"/>
    </xf>
    <xf numFmtId="0" fontId="6" fillId="0" borderId="2" xfId="0" applyFont="1" applyBorder="1" applyAlignment="1">
      <alignment horizontal="center" vertical="center"/>
    </xf>
    <xf numFmtId="0" fontId="6" fillId="0" borderId="0" xfId="0" applyFont="1" applyAlignment="1">
      <alignment horizontal="center" vertical="center" wrapText="1"/>
    </xf>
    <xf numFmtId="0" fontId="1" fillId="0" borderId="0" xfId="0" applyFont="1" applyAlignment="1"/>
    <xf numFmtId="0" fontId="2" fillId="0" borderId="0" xfId="0" applyFont="1"/>
    <xf numFmtId="0" fontId="12" fillId="0" borderId="0" xfId="0" applyFont="1" applyAlignment="1">
      <alignment horizontal="center" vertical="center" wrapText="1"/>
    </xf>
    <xf numFmtId="0" fontId="13" fillId="2" borderId="2" xfId="0" applyFont="1" applyFill="1" applyBorder="1" applyAlignment="1">
      <alignment horizontal="center" vertical="center"/>
    </xf>
    <xf numFmtId="0" fontId="6" fillId="0" borderId="1" xfId="0" applyFont="1" applyBorder="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eetMetadata" Target="metadata.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showGridLines="0" workbookViewId="0">
      <selection activeCell="A1" sqref="A1"/>
    </sheetView>
  </sheetViews>
  <sheetFormatPr defaultColWidth="12.6296296296296" defaultRowHeight="15.75" customHeight="1"/>
  <cols>
    <col min="1" max="1" width="6.75" customWidth="1"/>
    <col min="2" max="3" width="27" customWidth="1"/>
    <col min="4" max="23" width="11.8796296296296" customWidth="1"/>
  </cols>
  <sheetData>
    <row r="1" customHeight="1" spans="1:26">
      <c r="A1" s="66" t="s">
        <v>0</v>
      </c>
      <c r="B1" s="67"/>
      <c r="C1" s="67"/>
      <c r="D1" s="67"/>
      <c r="E1" s="67"/>
      <c r="F1" s="67"/>
      <c r="G1" s="67"/>
      <c r="H1" s="67"/>
      <c r="I1" s="67"/>
      <c r="J1" s="67"/>
      <c r="K1" s="67"/>
      <c r="L1" s="67"/>
      <c r="M1" s="67"/>
      <c r="N1" s="15"/>
      <c r="O1" s="15"/>
      <c r="P1" s="15"/>
      <c r="Q1" s="15"/>
      <c r="R1" s="15"/>
      <c r="S1" s="15"/>
      <c r="T1" s="15"/>
      <c r="U1" s="15"/>
      <c r="V1" s="15"/>
      <c r="W1" s="15"/>
      <c r="X1" s="15"/>
      <c r="Y1" s="15"/>
      <c r="Z1" s="15"/>
    </row>
    <row r="2" customHeight="1" spans="1:26">
      <c r="A2" s="15"/>
      <c r="B2" s="67"/>
      <c r="C2" s="67"/>
      <c r="D2" s="67"/>
      <c r="E2" s="67"/>
      <c r="F2" s="67"/>
      <c r="G2" s="67"/>
      <c r="H2" s="67"/>
      <c r="I2" s="67"/>
      <c r="J2" s="67"/>
      <c r="K2" s="67"/>
      <c r="L2" s="67"/>
      <c r="M2" s="67"/>
      <c r="N2" s="15"/>
      <c r="O2" s="15"/>
      <c r="P2" s="15"/>
      <c r="Q2" s="15"/>
      <c r="R2" s="15"/>
      <c r="S2" s="15"/>
      <c r="T2" s="15"/>
      <c r="U2" s="15"/>
      <c r="V2" s="15"/>
      <c r="W2" s="15"/>
      <c r="X2" s="15"/>
      <c r="Y2" s="15"/>
      <c r="Z2" s="15"/>
    </row>
    <row r="3" customHeight="1" spans="1:26">
      <c r="A3" s="15"/>
      <c r="B3" s="67"/>
      <c r="C3" s="67"/>
      <c r="D3" s="67"/>
      <c r="E3" s="67"/>
      <c r="F3" s="67"/>
      <c r="G3" s="67"/>
      <c r="H3" s="67"/>
      <c r="I3" s="67"/>
      <c r="J3" s="67"/>
      <c r="K3" s="67"/>
      <c r="L3" s="67"/>
      <c r="M3" s="67"/>
      <c r="N3" s="15"/>
      <c r="O3" s="15"/>
      <c r="P3" s="15"/>
      <c r="Q3" s="15"/>
      <c r="R3" s="15"/>
      <c r="S3" s="15"/>
      <c r="T3" s="15"/>
      <c r="U3" s="15"/>
      <c r="V3" s="15"/>
      <c r="W3" s="15"/>
      <c r="X3" s="15"/>
      <c r="Y3" s="15"/>
      <c r="Z3" s="15"/>
    </row>
    <row r="4" ht="22.5" customHeight="1" spans="1:26">
      <c r="A4" s="15"/>
      <c r="B4" s="68" t="s">
        <v>1</v>
      </c>
      <c r="D4" s="67"/>
      <c r="E4" s="67"/>
      <c r="F4" s="67"/>
      <c r="G4" s="67"/>
      <c r="H4" s="67"/>
      <c r="I4" s="67"/>
      <c r="J4" s="67"/>
      <c r="K4" s="67"/>
      <c r="L4" s="67"/>
      <c r="M4" s="67"/>
      <c r="N4" s="15"/>
      <c r="O4" s="15"/>
      <c r="P4" s="15"/>
      <c r="Q4" s="15"/>
      <c r="R4" s="15"/>
      <c r="S4" s="15"/>
      <c r="T4" s="15"/>
      <c r="U4" s="15"/>
      <c r="V4" s="15"/>
      <c r="W4" s="15"/>
      <c r="X4" s="15"/>
      <c r="Y4" s="15"/>
      <c r="Z4" s="15"/>
    </row>
    <row r="5" ht="22.5" customHeight="1" spans="1:26">
      <c r="A5" s="15"/>
      <c r="D5" s="67"/>
      <c r="E5" s="67"/>
      <c r="F5" s="67"/>
      <c r="G5" s="67"/>
      <c r="H5" s="67"/>
      <c r="I5" s="67"/>
      <c r="J5" s="67"/>
      <c r="K5" s="67"/>
      <c r="L5" s="67"/>
      <c r="M5" s="67"/>
      <c r="N5" s="15"/>
      <c r="O5" s="15"/>
      <c r="P5" s="15"/>
      <c r="Q5" s="15"/>
      <c r="R5" s="15"/>
      <c r="S5" s="15"/>
      <c r="T5" s="15"/>
      <c r="U5" s="15"/>
      <c r="V5" s="15"/>
      <c r="W5" s="15"/>
      <c r="X5" s="15"/>
      <c r="Y5" s="15"/>
      <c r="Z5" s="15"/>
    </row>
    <row r="6" customHeight="1" spans="1:26">
      <c r="A6" s="15"/>
      <c r="B6" s="67"/>
      <c r="C6" s="67"/>
      <c r="D6" s="67"/>
      <c r="E6" s="67"/>
      <c r="F6" s="67"/>
      <c r="G6" s="67"/>
      <c r="H6" s="67"/>
      <c r="I6" s="67"/>
      <c r="J6" s="67"/>
      <c r="K6" s="67"/>
      <c r="L6" s="67"/>
      <c r="M6" s="67"/>
      <c r="N6" s="15"/>
      <c r="O6" s="15"/>
      <c r="P6" s="15"/>
      <c r="Q6" s="15"/>
      <c r="R6" s="15"/>
      <c r="S6" s="15"/>
      <c r="T6" s="15"/>
      <c r="U6" s="15"/>
      <c r="V6" s="15"/>
      <c r="W6" s="15"/>
      <c r="X6" s="15"/>
      <c r="Y6" s="15"/>
      <c r="Z6" s="15"/>
    </row>
    <row r="7" ht="22.5" customHeight="1" spans="1:26">
      <c r="A7" s="3"/>
      <c r="B7" s="69" t="s">
        <v>2</v>
      </c>
      <c r="C7" s="31"/>
      <c r="D7" s="3"/>
      <c r="E7" s="3"/>
      <c r="F7" s="3"/>
      <c r="G7" s="3"/>
      <c r="H7" s="3"/>
      <c r="I7" s="3"/>
      <c r="J7" s="3"/>
      <c r="K7" s="3"/>
      <c r="L7" s="3"/>
      <c r="M7" s="3"/>
      <c r="N7" s="3"/>
      <c r="O7" s="3"/>
      <c r="P7" s="3"/>
      <c r="Q7" s="3"/>
      <c r="R7" s="3"/>
      <c r="S7" s="3"/>
      <c r="T7" s="3"/>
      <c r="U7" s="3"/>
      <c r="V7" s="3"/>
      <c r="W7" s="3"/>
      <c r="X7" s="3"/>
      <c r="Y7" s="3"/>
      <c r="Z7" s="3"/>
    </row>
    <row r="8" customHeight="1" spans="1:26">
      <c r="A8" s="15"/>
      <c r="B8" s="30" t="s">
        <v>3</v>
      </c>
      <c r="C8" s="34" t="s">
        <v>4</v>
      </c>
      <c r="D8" s="67"/>
      <c r="E8" s="67"/>
      <c r="F8" s="67"/>
      <c r="G8" s="67"/>
      <c r="H8" s="67"/>
      <c r="I8" s="67"/>
      <c r="J8" s="67"/>
      <c r="K8" s="67"/>
      <c r="L8" s="67"/>
      <c r="M8" s="67"/>
      <c r="N8" s="15"/>
      <c r="O8" s="15"/>
      <c r="P8" s="15"/>
      <c r="Q8" s="15"/>
      <c r="R8" s="15"/>
      <c r="S8" s="15"/>
      <c r="T8" s="15"/>
      <c r="U8" s="15"/>
      <c r="V8" s="15"/>
      <c r="W8" s="15"/>
      <c r="X8" s="15"/>
      <c r="Y8" s="15"/>
      <c r="Z8" s="15"/>
    </row>
    <row r="9" customHeight="1" spans="1:26">
      <c r="A9" s="15"/>
      <c r="B9" s="30" t="s">
        <v>5</v>
      </c>
      <c r="C9" s="34" t="s">
        <v>6</v>
      </c>
      <c r="D9" s="67"/>
      <c r="E9" s="67"/>
      <c r="F9" s="67"/>
      <c r="G9" s="67"/>
      <c r="H9" s="67"/>
      <c r="I9" s="67"/>
      <c r="J9" s="67"/>
      <c r="K9" s="67"/>
      <c r="L9" s="67"/>
      <c r="M9" s="67"/>
      <c r="N9" s="15"/>
      <c r="O9" s="15"/>
      <c r="P9" s="15"/>
      <c r="Q9" s="15"/>
      <c r="R9" s="15"/>
      <c r="S9" s="15"/>
      <c r="T9" s="15"/>
      <c r="U9" s="15"/>
      <c r="V9" s="15"/>
      <c r="W9" s="15"/>
      <c r="X9" s="15"/>
      <c r="Y9" s="15"/>
      <c r="Z9" s="15"/>
    </row>
    <row r="10" customHeight="1" spans="1:26">
      <c r="A10" s="15"/>
      <c r="B10" s="30" t="s">
        <v>7</v>
      </c>
      <c r="C10" s="70" t="s">
        <v>8</v>
      </c>
      <c r="D10" s="67"/>
      <c r="E10" s="67"/>
      <c r="F10" s="67"/>
      <c r="G10" s="67"/>
      <c r="H10" s="67"/>
      <c r="I10" s="67"/>
      <c r="J10" s="67"/>
      <c r="K10" s="67"/>
      <c r="L10" s="67"/>
      <c r="M10" s="67"/>
      <c r="N10" s="15"/>
      <c r="O10" s="15"/>
      <c r="P10" s="15"/>
      <c r="Q10" s="15"/>
      <c r="R10" s="15"/>
      <c r="S10" s="15"/>
      <c r="T10" s="15"/>
      <c r="U10" s="15"/>
      <c r="V10" s="15"/>
      <c r="W10" s="15"/>
      <c r="X10" s="15"/>
      <c r="Y10" s="15"/>
      <c r="Z10" s="15"/>
    </row>
    <row r="11" customHeight="1" spans="1:26">
      <c r="A11" s="15"/>
      <c r="B11" s="30" t="s">
        <v>9</v>
      </c>
      <c r="C11" s="70" t="s">
        <v>10</v>
      </c>
      <c r="D11" s="67"/>
      <c r="E11" s="67"/>
      <c r="F11" s="67"/>
      <c r="G11" s="67"/>
      <c r="H11" s="67"/>
      <c r="I11" s="67"/>
      <c r="J11" s="67"/>
      <c r="K11" s="67"/>
      <c r="L11" s="67"/>
      <c r="M11" s="67"/>
      <c r="N11" s="15"/>
      <c r="O11" s="15"/>
      <c r="P11" s="15"/>
      <c r="Q11" s="15"/>
      <c r="R11" s="15"/>
      <c r="S11" s="15"/>
      <c r="T11" s="15"/>
      <c r="U11" s="15"/>
      <c r="V11" s="15"/>
      <c r="W11" s="15"/>
      <c r="X11" s="15"/>
      <c r="Y11" s="15"/>
      <c r="Z11" s="15"/>
    </row>
    <row r="12" customHeight="1" spans="1:26">
      <c r="A12" s="15"/>
      <c r="B12" s="67"/>
      <c r="C12" s="67"/>
      <c r="D12" s="67"/>
      <c r="E12" s="67"/>
      <c r="F12" s="67"/>
      <c r="G12" s="67"/>
      <c r="H12" s="67"/>
      <c r="I12" s="67"/>
      <c r="J12" s="67"/>
      <c r="K12" s="67"/>
      <c r="L12" s="67"/>
      <c r="M12" s="67"/>
      <c r="N12" s="15"/>
      <c r="O12" s="15"/>
      <c r="P12" s="15"/>
      <c r="Q12" s="15"/>
      <c r="R12" s="15"/>
      <c r="S12" s="15"/>
      <c r="T12" s="15"/>
      <c r="U12" s="15"/>
      <c r="V12" s="15"/>
      <c r="W12" s="15"/>
      <c r="X12" s="15"/>
      <c r="Y12" s="15"/>
      <c r="Z12" s="15"/>
    </row>
    <row r="13" ht="22.5" customHeight="1" spans="1:26">
      <c r="A13" s="3"/>
      <c r="B13" s="69" t="s">
        <v>11</v>
      </c>
      <c r="C13" s="31"/>
      <c r="D13" s="3"/>
      <c r="E13" s="3"/>
      <c r="F13" s="3"/>
      <c r="G13" s="3"/>
      <c r="H13" s="3"/>
      <c r="I13" s="3"/>
      <c r="J13" s="3"/>
      <c r="K13" s="3"/>
      <c r="L13" s="3"/>
      <c r="M13" s="3"/>
      <c r="N13" s="3"/>
      <c r="O13" s="3"/>
      <c r="P13" s="3"/>
      <c r="Q13" s="3"/>
      <c r="R13" s="3"/>
      <c r="S13" s="3"/>
      <c r="T13" s="3"/>
      <c r="U13" s="3"/>
      <c r="V13" s="3"/>
      <c r="W13" s="3"/>
      <c r="X13" s="3"/>
      <c r="Y13" s="3"/>
      <c r="Z13" s="3"/>
    </row>
    <row r="14" customHeight="1" spans="1:26">
      <c r="A14" s="15"/>
      <c r="B14" s="30" t="s">
        <v>12</v>
      </c>
      <c r="C14" s="34" t="s">
        <v>13</v>
      </c>
      <c r="D14" s="67"/>
      <c r="E14" s="67"/>
      <c r="F14" s="67"/>
      <c r="G14" s="67"/>
      <c r="H14" s="67"/>
      <c r="I14" s="67"/>
      <c r="J14" s="67"/>
      <c r="K14" s="67"/>
      <c r="L14" s="67"/>
      <c r="M14" s="67"/>
      <c r="N14" s="15"/>
      <c r="O14" s="15"/>
      <c r="P14" s="15"/>
      <c r="Q14" s="15"/>
      <c r="R14" s="15"/>
      <c r="S14" s="15"/>
      <c r="T14" s="15"/>
      <c r="U14" s="15"/>
      <c r="V14" s="15"/>
      <c r="W14" s="15"/>
      <c r="X14" s="15"/>
      <c r="Y14" s="15"/>
      <c r="Z14" s="15"/>
    </row>
    <row r="15" customHeight="1" spans="1:26">
      <c r="A15" s="15"/>
      <c r="B15" s="30" t="s">
        <v>14</v>
      </c>
      <c r="C15" s="10" t="s">
        <v>15</v>
      </c>
      <c r="D15" s="67"/>
      <c r="E15" s="67"/>
      <c r="F15" s="67"/>
      <c r="G15" s="67"/>
      <c r="H15" s="67"/>
      <c r="I15" s="67"/>
      <c r="J15" s="67"/>
      <c r="K15" s="67"/>
      <c r="L15" s="67"/>
      <c r="M15" s="67"/>
      <c r="N15" s="15"/>
      <c r="O15" s="15"/>
      <c r="P15" s="15"/>
      <c r="Q15" s="15"/>
      <c r="R15" s="15"/>
      <c r="S15" s="15"/>
      <c r="T15" s="15"/>
      <c r="U15" s="15"/>
      <c r="V15" s="15"/>
      <c r="W15" s="15"/>
      <c r="X15" s="15"/>
      <c r="Y15" s="15"/>
      <c r="Z15" s="15"/>
    </row>
    <row r="16" customHeight="1" spans="1:26">
      <c r="A16" s="15"/>
      <c r="B16" s="34" t="s">
        <v>16</v>
      </c>
      <c r="C16" s="34" t="s">
        <v>17</v>
      </c>
      <c r="D16" s="67"/>
      <c r="E16" s="67"/>
      <c r="F16" s="67"/>
      <c r="G16" s="67"/>
      <c r="H16" s="67"/>
      <c r="I16" s="67"/>
      <c r="J16" s="67"/>
      <c r="K16" s="67"/>
      <c r="L16" s="67"/>
      <c r="M16" s="67"/>
      <c r="N16" s="15"/>
      <c r="O16" s="15"/>
      <c r="P16" s="15"/>
      <c r="Q16" s="15"/>
      <c r="R16" s="15"/>
      <c r="S16" s="15"/>
      <c r="T16" s="15"/>
      <c r="U16" s="15"/>
      <c r="V16" s="15"/>
      <c r="W16" s="15"/>
      <c r="X16" s="15"/>
      <c r="Y16" s="15"/>
      <c r="Z16" s="15"/>
    </row>
    <row r="17" customHeight="1" spans="1:26">
      <c r="A17" s="15"/>
      <c r="B17" s="30" t="s">
        <v>18</v>
      </c>
      <c r="C17" s="34" t="s">
        <v>19</v>
      </c>
      <c r="D17" s="67"/>
      <c r="E17" s="67"/>
      <c r="F17" s="67"/>
      <c r="G17" s="67"/>
      <c r="H17" s="67"/>
      <c r="I17" s="67"/>
      <c r="J17" s="67"/>
      <c r="K17" s="67"/>
      <c r="L17" s="67"/>
      <c r="M17" s="67"/>
      <c r="N17" s="15"/>
      <c r="O17" s="15"/>
      <c r="P17" s="15"/>
      <c r="Q17" s="15"/>
      <c r="R17" s="15"/>
      <c r="S17" s="15"/>
      <c r="T17" s="15"/>
      <c r="U17" s="15"/>
      <c r="V17" s="15"/>
      <c r="W17" s="15"/>
      <c r="X17" s="15"/>
      <c r="Y17" s="15"/>
      <c r="Z17" s="15"/>
    </row>
    <row r="18" customHeight="1" spans="1:26">
      <c r="A18" s="15"/>
      <c r="B18" s="30" t="s">
        <v>20</v>
      </c>
      <c r="C18" s="34" t="s">
        <v>13</v>
      </c>
      <c r="D18" s="67"/>
      <c r="E18" s="67"/>
      <c r="F18" s="67"/>
      <c r="G18" s="67"/>
      <c r="H18" s="67"/>
      <c r="I18" s="67"/>
      <c r="J18" s="67"/>
      <c r="K18" s="67"/>
      <c r="L18" s="67"/>
      <c r="M18" s="67"/>
      <c r="N18" s="15"/>
      <c r="O18" s="15"/>
      <c r="P18" s="15"/>
      <c r="Q18" s="15"/>
      <c r="R18" s="15"/>
      <c r="S18" s="15"/>
      <c r="T18" s="15"/>
      <c r="U18" s="15"/>
      <c r="V18" s="15"/>
      <c r="W18" s="15"/>
      <c r="X18" s="15"/>
      <c r="Y18" s="15"/>
      <c r="Z18" s="15"/>
    </row>
    <row r="19" customHeight="1" spans="1:26">
      <c r="A19" s="15"/>
      <c r="B19" s="67"/>
      <c r="C19" s="67"/>
      <c r="D19" s="67"/>
      <c r="E19" s="67"/>
      <c r="F19" s="67"/>
      <c r="G19" s="67"/>
      <c r="H19" s="67"/>
      <c r="I19" s="67"/>
      <c r="J19" s="67"/>
      <c r="K19" s="67"/>
      <c r="L19" s="67"/>
      <c r="M19" s="67"/>
      <c r="N19" s="15"/>
      <c r="O19" s="15"/>
      <c r="P19" s="15"/>
      <c r="Q19" s="15"/>
      <c r="R19" s="15"/>
      <c r="S19" s="15"/>
      <c r="T19" s="15"/>
      <c r="U19" s="15"/>
      <c r="V19" s="15"/>
      <c r="W19" s="15"/>
      <c r="X19" s="15"/>
      <c r="Y19" s="15"/>
      <c r="Z19" s="15"/>
    </row>
    <row r="20" customHeight="1" spans="1:26">
      <c r="A20" s="15"/>
      <c r="B20" s="67"/>
      <c r="C20" s="67"/>
      <c r="D20" s="67"/>
      <c r="E20" s="67"/>
      <c r="F20" s="67"/>
      <c r="G20" s="67"/>
      <c r="H20" s="67"/>
      <c r="I20" s="67"/>
      <c r="J20" s="67"/>
      <c r="K20" s="67"/>
      <c r="L20" s="67"/>
      <c r="M20" s="67"/>
      <c r="N20" s="15"/>
      <c r="O20" s="15"/>
      <c r="P20" s="15"/>
      <c r="Q20" s="15"/>
      <c r="R20" s="15"/>
      <c r="S20" s="15"/>
      <c r="T20" s="15"/>
      <c r="U20" s="15"/>
      <c r="V20" s="15"/>
      <c r="W20" s="15"/>
      <c r="X20" s="15"/>
      <c r="Y20" s="15"/>
      <c r="Z20" s="15"/>
    </row>
    <row r="21" customHeight="1" spans="1:26">
      <c r="A21" s="15"/>
      <c r="B21" s="67"/>
      <c r="C21" s="67"/>
      <c r="D21" s="67"/>
      <c r="E21" s="67"/>
      <c r="F21" s="67"/>
      <c r="G21" s="67"/>
      <c r="H21" s="67"/>
      <c r="I21" s="67"/>
      <c r="J21" s="67"/>
      <c r="K21" s="67"/>
      <c r="L21" s="67"/>
      <c r="M21" s="67"/>
      <c r="N21" s="15"/>
      <c r="O21" s="15"/>
      <c r="P21" s="15"/>
      <c r="Q21" s="15"/>
      <c r="R21" s="15"/>
      <c r="S21" s="15"/>
      <c r="T21" s="15"/>
      <c r="U21" s="15"/>
      <c r="V21" s="15"/>
      <c r="W21" s="15"/>
      <c r="X21" s="15"/>
      <c r="Y21" s="15"/>
      <c r="Z21" s="15"/>
    </row>
    <row r="22" customHeight="1" spans="1:26">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ustomHeight="1" spans="1:26">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ustomHeight="1" spans="1:26">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ustomHeight="1" spans="1:26">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ustomHeight="1" spans="1: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ustomHeight="1" spans="1:26">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ustomHeight="1" spans="1:26">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ustomHeight="1" spans="1:26">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ustomHeight="1" spans="1:26">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ustomHeight="1" spans="1:26">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ustomHeight="1" spans="1:26">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ustomHeight="1" spans="1:26">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ustomHeight="1" spans="1:26">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ustomHeight="1" spans="1:26">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ustomHeight="1" spans="1:2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ustomHeight="1" spans="1:26">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ustomHeight="1" spans="1:26">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ustomHeight="1" spans="1:26">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ustomHeight="1" spans="1:26">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ustomHeight="1" spans="1:26">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ustomHeight="1" spans="1:26">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ustomHeight="1" spans="1:26">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ustomHeight="1" spans="1:26">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ustomHeight="1" spans="1:26">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ustomHeight="1" spans="1:2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ustomHeight="1" spans="1:26">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ustomHeight="1" spans="1:26">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ustomHeight="1" spans="1:26">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ustomHeight="1" spans="1:26">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ustomHeight="1" spans="1:26">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ustomHeight="1" spans="1:26">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ustomHeight="1" spans="1:26">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ustomHeight="1" spans="1:26">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ustomHeight="1" spans="1:26">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ustomHeight="1" spans="1:2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ustomHeight="1" spans="1:26">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ustomHeight="1" spans="1:26">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ustomHeight="1" spans="1:26">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ustomHeight="1" spans="1:26">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ustomHeight="1" spans="1:26">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ustomHeight="1" spans="1:26">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ustomHeight="1" spans="1:26">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ustomHeight="1" spans="1:26">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ustomHeight="1" spans="1:26">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ustomHeight="1" spans="1:2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ustomHeight="1" spans="1:26">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ustomHeight="1" spans="1:26">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ustomHeight="1" spans="1:26">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ustomHeight="1" spans="1:26">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ustomHeight="1" spans="1:26">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ustomHeight="1" spans="1:26">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ustomHeight="1" spans="1:26">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ustomHeight="1" spans="1:26">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ustomHeight="1" spans="1:26">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ustomHeight="1" spans="1:2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ustomHeight="1" spans="1:26">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ustomHeight="1" spans="1:26">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ustomHeight="1" spans="1:26">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ustomHeight="1" spans="1:26">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ustomHeight="1" spans="1:26">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ustomHeight="1" spans="1:26">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ustomHeight="1" spans="1:26">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ustomHeight="1" spans="1:26">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ustomHeight="1" spans="1:26">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ustomHeight="1" spans="1:2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ustomHeight="1" spans="1:26">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ustomHeight="1" spans="1:26">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ustomHeight="1" spans="1:26">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ustomHeight="1" spans="1:26">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ustomHeight="1" spans="1:26">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ustomHeight="1" spans="1:26">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ustomHeight="1" spans="1:26">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ustomHeight="1" spans="1:26">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ustomHeight="1" spans="1:26">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ustomHeight="1" spans="1:2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ustomHeight="1" spans="1:26">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ustomHeight="1" spans="1:26">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ustomHeight="1" spans="1:26">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ustomHeight="1" spans="1:26">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ustomHeight="1" spans="1:26">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ustomHeight="1" spans="1:26">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ustomHeight="1" spans="1:26">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ustomHeight="1" spans="1:26">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ustomHeight="1" spans="1:26">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ustomHeight="1" spans="1:2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ustomHeight="1" spans="1:26">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ustomHeight="1" spans="1:26">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ustomHeight="1" spans="1:26">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ustomHeight="1" spans="1:26">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ustomHeight="1" spans="1:26">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ustomHeight="1" spans="1:26">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ustomHeight="1" spans="1:26">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ustomHeight="1" spans="1:26">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ustomHeight="1" spans="1:26">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ustomHeight="1" spans="1:2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ustomHeight="1" spans="1:26">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ustomHeight="1" spans="1:26">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ustomHeight="1" spans="1:26">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ustomHeight="1" spans="1:26">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ustomHeight="1" spans="1:26">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ustomHeight="1" spans="1:26">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ustomHeight="1" spans="1:26">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ustomHeight="1" spans="1:26">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ustomHeight="1" spans="1:26">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ustomHeight="1" spans="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ustomHeight="1" spans="1:26">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ustomHeight="1" spans="1:26">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ustomHeight="1" spans="1:26">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ustomHeight="1" spans="1:26">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ustomHeight="1" spans="1:26">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ustomHeight="1" spans="1:26">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ustomHeight="1" spans="1:26">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ustomHeight="1" spans="1:26">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ustomHeight="1" spans="1:26">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ustomHeight="1" spans="1:2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ustomHeight="1" spans="1:26">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ustomHeight="1" spans="1:26">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ustomHeight="1" spans="1:26">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ustomHeight="1" spans="1:26">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ustomHeight="1" spans="1:26">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ustomHeight="1" spans="1:26">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ustomHeight="1" spans="1:26">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ustomHeight="1" spans="1:26">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ustomHeight="1" spans="1:26">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ustomHeight="1" spans="1:2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ustomHeight="1" spans="1:26">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ustomHeight="1" spans="1:26">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ustomHeight="1" spans="1:26">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ustomHeight="1" spans="1:26">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ustomHeight="1" spans="1:26">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ustomHeight="1" spans="1:26">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ustomHeight="1" spans="1:26">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ustomHeight="1" spans="1:26">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ustomHeight="1" spans="1:26">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ustomHeight="1" spans="1:2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ustomHeight="1" spans="1:26">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ustomHeight="1" spans="1:26">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ustomHeight="1" spans="1:26">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ustomHeight="1" spans="1:26">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ustomHeight="1" spans="1:26">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ustomHeight="1" spans="1:26">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ustomHeight="1" spans="1:26">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ustomHeight="1" spans="1:26">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ustomHeight="1" spans="1:26">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ustomHeight="1" spans="1:2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ustomHeight="1" spans="1:26">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ustomHeight="1" spans="1:26">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ustomHeight="1" spans="1:26">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ustomHeight="1" spans="1:26">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ustomHeight="1" spans="1:26">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ustomHeight="1" spans="1:26">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ustomHeight="1" spans="1:26">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ustomHeight="1" spans="1:26">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ustomHeight="1" spans="1:26">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ustomHeight="1" spans="1:2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ustomHeight="1" spans="1:26">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ustomHeight="1" spans="1:26">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ustomHeight="1" spans="1:26">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ustomHeight="1" spans="1:26">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ustomHeight="1" spans="1:26">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ustomHeight="1" spans="1:26">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ustomHeight="1" spans="1:26">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ustomHeight="1" spans="1:26">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ustomHeight="1" spans="1:26">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ustomHeight="1" spans="1:2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ustomHeight="1" spans="1:26">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ustomHeight="1" spans="1:26">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ustomHeight="1" spans="1:26">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ustomHeight="1" spans="1:26">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ustomHeight="1" spans="1:26">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ustomHeight="1" spans="1:26">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ustomHeight="1" spans="1:26">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ustomHeight="1" spans="1:26">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ustomHeight="1" spans="1:26">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ustomHeight="1" spans="1:2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ustomHeight="1" spans="1:26">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ustomHeight="1" spans="1:26">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ustomHeight="1" spans="1:26">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ustomHeight="1" spans="1:26">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ustomHeight="1" spans="1:26">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ustomHeight="1" spans="1:26">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ustomHeight="1" spans="1:26">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ustomHeight="1" spans="1:26">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ustomHeight="1" spans="1:26">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ustomHeight="1" spans="1:2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ustomHeight="1" spans="1:26">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ustomHeight="1" spans="1:26">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ustomHeight="1" spans="1:26">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ustomHeight="1" spans="1:26">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ustomHeight="1" spans="1:26">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ustomHeight="1" spans="1:26">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ustomHeight="1" spans="1:26">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ustomHeight="1" spans="1:26">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ustomHeight="1" spans="1:26">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ustomHeight="1" spans="1:2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ustomHeight="1" spans="1:26">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ustomHeight="1" spans="1:26">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ustomHeight="1" spans="1:26">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ustomHeight="1" spans="1:26">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3">
    <mergeCell ref="B7:C7"/>
    <mergeCell ref="B13:C13"/>
    <mergeCell ref="B4:C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2"/>
  <sheetViews>
    <sheetView showGridLines="0" tabSelected="1" topLeftCell="A5" workbookViewId="0">
      <selection activeCell="A1" sqref="A1"/>
    </sheetView>
  </sheetViews>
  <sheetFormatPr defaultColWidth="12.6296296296296" defaultRowHeight="15.75" customHeight="1"/>
  <cols>
    <col min="1" max="1" width="2.75" customWidth="1"/>
    <col min="2" max="2" width="6.37962962962963" customWidth="1"/>
    <col min="3" max="4" width="12.6296296296296" customWidth="1"/>
    <col min="5" max="5" width="28.8796296296296" customWidth="1"/>
    <col min="6" max="8" width="25.1296296296296" customWidth="1"/>
    <col min="9" max="9" width="12.6296296296296" customWidth="1"/>
    <col min="10" max="26" width="11.8796296296296" customWidth="1"/>
  </cols>
  <sheetData>
    <row r="1" customHeight="1" spans="1:26">
      <c r="A1" s="1"/>
      <c r="B1" s="4"/>
      <c r="C1" s="4"/>
      <c r="D1" s="4"/>
      <c r="E1" s="4"/>
      <c r="F1" s="4"/>
      <c r="G1" s="4"/>
      <c r="H1" s="4"/>
      <c r="I1" s="4"/>
      <c r="J1" s="1"/>
      <c r="K1" s="1"/>
      <c r="L1" s="1"/>
      <c r="M1" s="1"/>
      <c r="N1" s="1"/>
      <c r="O1" s="1"/>
      <c r="P1" s="1"/>
      <c r="Q1" s="1"/>
      <c r="R1" s="1"/>
      <c r="S1" s="1"/>
      <c r="T1" s="1"/>
      <c r="U1" s="1"/>
      <c r="V1" s="1"/>
      <c r="W1" s="1"/>
      <c r="X1" s="1"/>
      <c r="Y1" s="1"/>
      <c r="Z1" s="1"/>
    </row>
    <row r="2" ht="22.5" customHeight="1" spans="1:26">
      <c r="A2" s="1"/>
      <c r="B2" s="4" t="s">
        <v>21</v>
      </c>
      <c r="J2" s="1"/>
      <c r="K2" s="1"/>
      <c r="L2" s="1"/>
      <c r="M2" s="1"/>
      <c r="N2" s="1"/>
      <c r="O2" s="1"/>
      <c r="P2" s="1"/>
      <c r="Q2" s="1"/>
      <c r="R2" s="1"/>
      <c r="S2" s="1"/>
      <c r="T2" s="1"/>
      <c r="U2" s="1"/>
      <c r="V2" s="1"/>
      <c r="W2" s="1"/>
      <c r="X2" s="1"/>
      <c r="Y2" s="1"/>
      <c r="Z2" s="1"/>
    </row>
    <row r="3" ht="11.25" customHeight="1" spans="1:26">
      <c r="A3" s="1"/>
      <c r="B3" s="1"/>
      <c r="C3" s="1"/>
      <c r="D3" s="1"/>
      <c r="E3" s="1"/>
      <c r="F3" s="1"/>
      <c r="G3" s="1"/>
      <c r="H3" s="1"/>
      <c r="I3" s="1"/>
      <c r="J3" s="1"/>
      <c r="K3" s="1"/>
      <c r="L3" s="1"/>
      <c r="M3" s="1"/>
      <c r="N3" s="1"/>
      <c r="O3" s="1"/>
      <c r="P3" s="1"/>
      <c r="Q3" s="1"/>
      <c r="R3" s="1"/>
      <c r="S3" s="1"/>
      <c r="T3" s="1"/>
      <c r="U3" s="1"/>
      <c r="V3" s="1"/>
      <c r="W3" s="1"/>
      <c r="X3" s="1"/>
      <c r="Y3" s="1"/>
      <c r="Z3" s="1"/>
    </row>
    <row r="4" ht="31.5" customHeight="1" spans="1:26">
      <c r="A4" s="13"/>
      <c r="B4" s="6" t="s">
        <v>22</v>
      </c>
      <c r="C4" s="6" t="s">
        <v>23</v>
      </c>
      <c r="D4" s="6" t="s">
        <v>24</v>
      </c>
      <c r="E4" s="6" t="s">
        <v>25</v>
      </c>
      <c r="F4" s="6" t="s">
        <v>26</v>
      </c>
      <c r="G4" s="7" t="s">
        <v>27</v>
      </c>
      <c r="H4" s="7" t="s">
        <v>28</v>
      </c>
      <c r="I4" s="6" t="s">
        <v>29</v>
      </c>
      <c r="J4" s="13"/>
      <c r="K4" s="13"/>
      <c r="L4" s="13"/>
      <c r="M4" s="13"/>
      <c r="N4" s="13"/>
      <c r="O4" s="13"/>
      <c r="P4" s="13"/>
      <c r="Q4" s="13"/>
      <c r="R4" s="13"/>
      <c r="S4" s="13"/>
      <c r="T4" s="13"/>
      <c r="U4" s="13"/>
      <c r="V4" s="13"/>
      <c r="W4" s="13"/>
      <c r="X4" s="13"/>
      <c r="Y4" s="13"/>
      <c r="Z4" s="13"/>
    </row>
    <row r="5" ht="48" customHeight="1" spans="1:26">
      <c r="A5" s="1"/>
      <c r="B5" s="8">
        <v>1</v>
      </c>
      <c r="C5" s="26" t="s">
        <v>30</v>
      </c>
      <c r="D5" s="39" t="s">
        <v>31</v>
      </c>
      <c r="E5" s="28" t="s">
        <v>32</v>
      </c>
      <c r="F5" s="26" t="s">
        <v>33</v>
      </c>
      <c r="G5" s="8" t="s">
        <v>34</v>
      </c>
      <c r="H5" s="8" t="s">
        <v>35</v>
      </c>
      <c r="I5" s="8" t="s">
        <v>36</v>
      </c>
      <c r="J5" s="1"/>
      <c r="K5" s="1"/>
      <c r="L5" s="1"/>
      <c r="M5" s="1"/>
      <c r="N5" s="1"/>
      <c r="O5" s="1"/>
      <c r="P5" s="1"/>
      <c r="Q5" s="1"/>
      <c r="R5" s="1"/>
      <c r="S5" s="1"/>
      <c r="T5" s="1"/>
      <c r="U5" s="1"/>
      <c r="V5" s="1"/>
      <c r="W5" s="1"/>
      <c r="X5" s="1"/>
      <c r="Y5" s="1"/>
      <c r="Z5" s="1"/>
    </row>
    <row r="6" ht="45" customHeight="1" spans="1:26">
      <c r="A6" s="1"/>
      <c r="B6" s="8">
        <v>2</v>
      </c>
      <c r="C6" s="26" t="s">
        <v>37</v>
      </c>
      <c r="D6" s="39" t="s">
        <v>38</v>
      </c>
      <c r="E6" s="28" t="s">
        <v>39</v>
      </c>
      <c r="F6" s="26" t="s">
        <v>13</v>
      </c>
      <c r="G6" s="8" t="s">
        <v>40</v>
      </c>
      <c r="H6" s="8" t="s">
        <v>41</v>
      </c>
      <c r="I6" s="8" t="s">
        <v>36</v>
      </c>
      <c r="J6" s="1"/>
      <c r="K6" s="1"/>
      <c r="L6" s="1"/>
      <c r="M6" s="1"/>
      <c r="N6" s="1"/>
      <c r="O6" s="1"/>
      <c r="P6" s="1"/>
      <c r="Q6" s="1"/>
      <c r="R6" s="1"/>
      <c r="S6" s="1"/>
      <c r="T6" s="1"/>
      <c r="U6" s="1"/>
      <c r="V6" s="1"/>
      <c r="W6" s="1"/>
      <c r="X6" s="1"/>
      <c r="Y6" s="1"/>
      <c r="Z6" s="1"/>
    </row>
    <row r="7" ht="53.25" customHeight="1" spans="1:26">
      <c r="A7" s="1"/>
      <c r="B7" s="8">
        <v>3</v>
      </c>
      <c r="C7" s="26" t="s">
        <v>42</v>
      </c>
      <c r="D7" s="8" t="s">
        <v>43</v>
      </c>
      <c r="E7" s="28" t="s">
        <v>44</v>
      </c>
      <c r="F7" s="26" t="s">
        <v>13</v>
      </c>
      <c r="G7" s="8" t="s">
        <v>40</v>
      </c>
      <c r="H7" s="8" t="s">
        <v>41</v>
      </c>
      <c r="I7" s="8"/>
      <c r="J7" s="1"/>
      <c r="K7" s="1"/>
      <c r="L7" s="1"/>
      <c r="M7" s="1"/>
      <c r="N7" s="1"/>
      <c r="O7" s="1"/>
      <c r="P7" s="1"/>
      <c r="Q7" s="1"/>
      <c r="R7" s="1"/>
      <c r="S7" s="1"/>
      <c r="T7" s="1"/>
      <c r="U7" s="1"/>
      <c r="V7" s="1"/>
      <c r="W7" s="1"/>
      <c r="X7" s="1"/>
      <c r="Y7" s="1"/>
      <c r="Z7" s="1"/>
    </row>
    <row r="8" ht="39.75" customHeight="1" spans="1:26">
      <c r="A8" s="1"/>
      <c r="B8" s="8">
        <v>4</v>
      </c>
      <c r="C8" s="26" t="s">
        <v>45</v>
      </c>
      <c r="D8" s="36">
        <v>45698</v>
      </c>
      <c r="E8" s="28" t="s">
        <v>46</v>
      </c>
      <c r="F8" s="26" t="s">
        <v>13</v>
      </c>
      <c r="G8" s="36">
        <v>45726</v>
      </c>
      <c r="H8" s="36">
        <v>45757</v>
      </c>
      <c r="I8" s="8"/>
      <c r="J8" s="1"/>
      <c r="K8" s="1"/>
      <c r="L8" s="1"/>
      <c r="M8" s="1"/>
      <c r="N8" s="1"/>
      <c r="O8" s="1"/>
      <c r="P8" s="1"/>
      <c r="Q8" s="1"/>
      <c r="R8" s="1"/>
      <c r="S8" s="1"/>
      <c r="T8" s="1"/>
      <c r="U8" s="1"/>
      <c r="V8" s="1"/>
      <c r="W8" s="1"/>
      <c r="X8" s="1"/>
      <c r="Y8" s="1"/>
      <c r="Z8" s="1"/>
    </row>
    <row r="9" ht="39.75" customHeight="1" spans="1:26">
      <c r="A9" s="1"/>
      <c r="B9" s="8"/>
      <c r="C9" s="26" t="s">
        <v>47</v>
      </c>
      <c r="D9" s="36">
        <v>45726</v>
      </c>
      <c r="E9" s="28" t="s">
        <v>48</v>
      </c>
      <c r="F9" s="8" t="s">
        <v>13</v>
      </c>
      <c r="G9" s="36">
        <v>45757</v>
      </c>
      <c r="H9" s="36">
        <v>45787</v>
      </c>
      <c r="I9" s="8"/>
      <c r="J9" s="1"/>
      <c r="K9" s="1"/>
      <c r="L9" s="1"/>
      <c r="M9" s="1"/>
      <c r="N9" s="1"/>
      <c r="O9" s="1"/>
      <c r="P9" s="1"/>
      <c r="Q9" s="1"/>
      <c r="R9" s="1"/>
      <c r="S9" s="1"/>
      <c r="T9" s="1"/>
      <c r="U9" s="1"/>
      <c r="V9" s="1"/>
      <c r="W9" s="1"/>
      <c r="X9" s="1"/>
      <c r="Y9" s="1"/>
      <c r="Z9" s="1"/>
    </row>
    <row r="10" ht="51" customHeight="1" spans="1:26">
      <c r="A10" s="1"/>
      <c r="B10" s="8">
        <v>6</v>
      </c>
      <c r="C10" s="26" t="s">
        <v>49</v>
      </c>
      <c r="D10" s="37">
        <v>45788</v>
      </c>
      <c r="E10" s="28" t="s">
        <v>50</v>
      </c>
      <c r="F10" s="8" t="s">
        <v>13</v>
      </c>
      <c r="G10" s="36">
        <v>45819</v>
      </c>
      <c r="H10" s="36">
        <v>45849</v>
      </c>
      <c r="I10" s="8"/>
      <c r="J10" s="1"/>
      <c r="K10" s="1"/>
      <c r="L10" s="1"/>
      <c r="M10" s="1"/>
      <c r="N10" s="1"/>
      <c r="O10" s="1"/>
      <c r="P10" s="1"/>
      <c r="Q10" s="1"/>
      <c r="R10" s="1"/>
      <c r="S10" s="1"/>
      <c r="T10" s="1"/>
      <c r="U10" s="1"/>
      <c r="V10" s="1"/>
      <c r="W10" s="1"/>
      <c r="X10" s="1"/>
      <c r="Y10" s="1"/>
      <c r="Z10" s="1"/>
    </row>
    <row r="11" customHeight="1" spans="1:26">
      <c r="A11" s="1"/>
      <c r="B11" s="16"/>
      <c r="C11" s="65"/>
      <c r="D11" s="16"/>
      <c r="E11" s="65"/>
      <c r="F11" s="16"/>
      <c r="G11" s="16"/>
      <c r="H11" s="16"/>
      <c r="I11" s="16"/>
      <c r="J11" s="1"/>
      <c r="K11" s="1"/>
      <c r="L11" s="1"/>
      <c r="M11" s="1"/>
      <c r="N11" s="1"/>
      <c r="O11" s="1"/>
      <c r="P11" s="1"/>
      <c r="Q11" s="1"/>
      <c r="R11" s="1"/>
      <c r="S11" s="1"/>
      <c r="T11" s="1"/>
      <c r="U11" s="1"/>
      <c r="V11" s="1"/>
      <c r="W11" s="1"/>
      <c r="X11" s="1"/>
      <c r="Y11" s="1"/>
      <c r="Z11" s="1"/>
    </row>
    <row r="12" customHeight="1"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ht="22.5" customHeight="1" spans="1:26">
      <c r="A13" s="1"/>
      <c r="B13" s="4" t="s">
        <v>51</v>
      </c>
      <c r="J13" s="1"/>
      <c r="K13" s="1"/>
      <c r="L13" s="1"/>
      <c r="M13" s="1"/>
      <c r="N13" s="1"/>
      <c r="O13" s="1"/>
      <c r="P13" s="1"/>
      <c r="Q13" s="1"/>
      <c r="R13" s="1"/>
      <c r="S13" s="1"/>
      <c r="T13" s="1"/>
      <c r="U13" s="1"/>
      <c r="V13" s="1"/>
      <c r="W13" s="1"/>
      <c r="X13" s="1"/>
      <c r="Y13" s="1"/>
      <c r="Z13" s="1"/>
    </row>
    <row r="14" customHeight="1"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ht="22.5" customHeight="1" spans="1:26">
      <c r="A15" s="13"/>
      <c r="B15" s="6" t="s">
        <v>22</v>
      </c>
      <c r="C15" s="6" t="s">
        <v>23</v>
      </c>
      <c r="D15" s="6" t="s">
        <v>24</v>
      </c>
      <c r="E15" s="6" t="s">
        <v>25</v>
      </c>
      <c r="F15" s="6" t="s">
        <v>26</v>
      </c>
      <c r="G15" s="7" t="s">
        <v>27</v>
      </c>
      <c r="H15" s="7" t="s">
        <v>28</v>
      </c>
      <c r="I15" s="6" t="s">
        <v>29</v>
      </c>
      <c r="J15" s="13"/>
      <c r="K15" s="13"/>
      <c r="L15" s="13"/>
      <c r="M15" s="13"/>
      <c r="N15" s="13"/>
      <c r="O15" s="13"/>
      <c r="P15" s="13"/>
      <c r="Q15" s="13"/>
      <c r="R15" s="13"/>
      <c r="S15" s="13"/>
      <c r="T15" s="13"/>
      <c r="U15" s="13"/>
      <c r="V15" s="13"/>
      <c r="W15" s="13"/>
      <c r="X15" s="13"/>
      <c r="Y15" s="13"/>
      <c r="Z15" s="13"/>
    </row>
    <row r="16" customHeight="1" spans="1:26">
      <c r="A16" s="1"/>
      <c r="B16" s="8">
        <v>1</v>
      </c>
      <c r="C16" s="26" t="s">
        <v>30</v>
      </c>
      <c r="D16" s="39" t="s">
        <v>31</v>
      </c>
      <c r="E16" s="28" t="s">
        <v>52</v>
      </c>
      <c r="F16" s="26" t="s">
        <v>33</v>
      </c>
      <c r="G16" s="26" t="s">
        <v>43</v>
      </c>
      <c r="H16" s="26" t="s">
        <v>53</v>
      </c>
      <c r="I16" s="28" t="s">
        <v>54</v>
      </c>
      <c r="J16" s="1"/>
      <c r="K16" s="1"/>
      <c r="L16" s="1"/>
      <c r="M16" s="1"/>
      <c r="N16" s="1"/>
      <c r="O16" s="1"/>
      <c r="P16" s="1"/>
      <c r="Q16" s="1"/>
      <c r="R16" s="1"/>
      <c r="S16" s="1"/>
      <c r="T16" s="1"/>
      <c r="U16" s="1"/>
      <c r="V16" s="1"/>
      <c r="W16" s="1"/>
      <c r="X16" s="1"/>
      <c r="Y16" s="1"/>
      <c r="Z16" s="1"/>
    </row>
    <row r="17" customHeight="1" spans="1:26">
      <c r="A17" s="1"/>
      <c r="B17" s="8">
        <v>2</v>
      </c>
      <c r="C17" s="26" t="s">
        <v>37</v>
      </c>
      <c r="D17" s="39" t="s">
        <v>55</v>
      </c>
      <c r="E17" s="28" t="s">
        <v>56</v>
      </c>
      <c r="F17" s="26" t="s">
        <v>57</v>
      </c>
      <c r="G17" s="26" t="s">
        <v>58</v>
      </c>
      <c r="H17" s="26" t="s">
        <v>59</v>
      </c>
      <c r="I17" s="28" t="s">
        <v>54</v>
      </c>
      <c r="J17" s="1"/>
      <c r="K17" s="1"/>
      <c r="L17" s="1"/>
      <c r="M17" s="1"/>
      <c r="N17" s="1"/>
      <c r="O17" s="1"/>
      <c r="P17" s="1"/>
      <c r="Q17" s="1"/>
      <c r="R17" s="1"/>
      <c r="S17" s="1"/>
      <c r="T17" s="1"/>
      <c r="U17" s="1"/>
      <c r="V17" s="1"/>
      <c r="W17" s="1"/>
      <c r="X17" s="1"/>
      <c r="Y17" s="1"/>
      <c r="Z17" s="1"/>
    </row>
    <row r="18" customHeight="1" spans="1:26">
      <c r="A18" s="1"/>
      <c r="B18" s="8">
        <v>3</v>
      </c>
      <c r="C18" s="26"/>
      <c r="D18" s="26"/>
      <c r="E18" s="28"/>
      <c r="F18" s="26"/>
      <c r="G18" s="26"/>
      <c r="H18" s="26"/>
      <c r="I18" s="26"/>
      <c r="J18" s="1"/>
      <c r="K18" s="1"/>
      <c r="L18" s="1"/>
      <c r="M18" s="1"/>
      <c r="N18" s="1"/>
      <c r="O18" s="1"/>
      <c r="P18" s="1"/>
      <c r="Q18" s="1"/>
      <c r="R18" s="1"/>
      <c r="S18" s="1"/>
      <c r="T18" s="1"/>
      <c r="U18" s="1"/>
      <c r="V18" s="1"/>
      <c r="W18" s="1"/>
      <c r="X18" s="1"/>
      <c r="Y18" s="1"/>
      <c r="Z18" s="1"/>
    </row>
    <row r="19" customHeight="1" spans="1:26">
      <c r="A19" s="1"/>
      <c r="B19" s="8">
        <v>4</v>
      </c>
      <c r="C19" s="26"/>
      <c r="D19" s="26"/>
      <c r="E19" s="26"/>
      <c r="F19" s="26"/>
      <c r="G19" s="26"/>
      <c r="H19" s="26"/>
      <c r="I19" s="26"/>
      <c r="J19" s="1"/>
      <c r="K19" s="1"/>
      <c r="L19" s="1"/>
      <c r="M19" s="1"/>
      <c r="N19" s="1"/>
      <c r="O19" s="1"/>
      <c r="P19" s="1"/>
      <c r="Q19" s="1"/>
      <c r="R19" s="1"/>
      <c r="S19" s="1"/>
      <c r="T19" s="1"/>
      <c r="U19" s="1"/>
      <c r="V19" s="1"/>
      <c r="W19" s="1"/>
      <c r="X19" s="1"/>
      <c r="Y19" s="1"/>
      <c r="Z19" s="1"/>
    </row>
    <row r="20" customHeight="1" spans="1:26">
      <c r="A20" s="1"/>
      <c r="B20" s="8">
        <v>5</v>
      </c>
      <c r="C20" s="26"/>
      <c r="D20" s="26"/>
      <c r="E20" s="26"/>
      <c r="F20" s="26"/>
      <c r="G20" s="26"/>
      <c r="H20" s="26"/>
      <c r="I20" s="26"/>
      <c r="J20" s="1"/>
      <c r="K20" s="1"/>
      <c r="L20" s="1"/>
      <c r="M20" s="1"/>
      <c r="N20" s="1"/>
      <c r="O20" s="1"/>
      <c r="P20" s="1"/>
      <c r="Q20" s="1"/>
      <c r="R20" s="1"/>
      <c r="S20" s="1"/>
      <c r="T20" s="1"/>
      <c r="U20" s="1"/>
      <c r="V20" s="1"/>
      <c r="W20" s="1"/>
      <c r="X20" s="1"/>
      <c r="Y20" s="1"/>
      <c r="Z20" s="1"/>
    </row>
    <row r="21" customHeight="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customHeight="1"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customHeight="1"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customHeight="1"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customHeight="1"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customHeight="1"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customHeight="1"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customHeight="1"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customHeight="1"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customHeight="1"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customHeight="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customHeight="1"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customHeight="1"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customHeight="1"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customHeight="1"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customHeight="1"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customHeight="1"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customHeight="1"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customHeight="1"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customHeight="1"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customHeight="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customHeight="1"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customHeight="1"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customHeight="1"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customHeight="1"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customHeight="1"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customHeight="1"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customHeight="1"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customHeight="1"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customHeight="1"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customHeight="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customHeight="1"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customHeight="1"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customHeight="1"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customHeight="1"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customHeight="1"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customHeight="1"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customHeight="1"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customHeight="1"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customHeight="1"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customHeight="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customHeight="1"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customHeight="1"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customHeight="1"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customHeight="1"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customHeight="1"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customHeight="1"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customHeight="1"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customHeight="1"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customHeight="1"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customHeight="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customHeight="1"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customHeight="1"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customHeight="1"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customHeight="1"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customHeight="1"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customHeight="1"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customHeight="1"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customHeight="1"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customHeight="1"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customHeight="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customHeight="1"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customHeight="1"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customHeight="1"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customHeight="1"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customHeight="1"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customHeight="1"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customHeight="1"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customHeight="1"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customHeight="1"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customHeight="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customHeight="1"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customHeight="1"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customHeight="1"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customHeight="1"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customHeight="1"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customHeight="1"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customHeight="1"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customHeight="1"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row r="1001" ht="13.2"/>
    <row r="1002" ht="13.2"/>
  </sheetData>
  <mergeCells count="2">
    <mergeCell ref="B2:I2"/>
    <mergeCell ref="B13:I1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1"/>
  <sheetViews>
    <sheetView showGridLines="0" topLeftCell="D1" workbookViewId="0">
      <selection activeCell="P7" sqref="P7"/>
    </sheetView>
  </sheetViews>
  <sheetFormatPr defaultColWidth="12.6296296296296" defaultRowHeight="15.75" customHeight="1"/>
  <cols>
    <col min="1" max="1" width="6.37962962962963" customWidth="1"/>
    <col min="2" max="2" width="27" customWidth="1"/>
    <col min="3" max="3" width="14.75" customWidth="1"/>
    <col min="4" max="4" width="12" customWidth="1"/>
    <col min="5" max="8" width="14.6296296296296" customWidth="1"/>
    <col min="9" max="16" width="13.5" customWidth="1"/>
    <col min="17" max="17" width="31.3796296296296" customWidth="1"/>
    <col min="18" max="26" width="11.8796296296296" customWidth="1"/>
  </cols>
  <sheetData>
    <row r="1" customHeight="1" spans="1:26">
      <c r="A1" s="61" t="s">
        <v>60</v>
      </c>
      <c r="B1" s="1"/>
      <c r="C1" s="1"/>
      <c r="D1" s="1"/>
      <c r="E1" s="1"/>
      <c r="F1" s="1"/>
      <c r="G1" s="1"/>
      <c r="H1" s="1"/>
      <c r="I1" s="1"/>
      <c r="J1" s="1"/>
      <c r="K1" s="1"/>
      <c r="L1" s="1"/>
      <c r="M1" s="1"/>
      <c r="N1" s="1"/>
      <c r="O1" s="1"/>
      <c r="P1" s="1"/>
      <c r="Q1" s="2"/>
      <c r="R1" s="1"/>
      <c r="S1" s="1"/>
      <c r="T1" s="1"/>
      <c r="U1" s="1"/>
      <c r="V1" s="1"/>
      <c r="W1" s="1"/>
      <c r="X1" s="1"/>
      <c r="Y1" s="1"/>
      <c r="Z1" s="1"/>
    </row>
    <row r="2" customHeight="1" spans="1:26">
      <c r="A2" s="62"/>
      <c r="B2" s="1"/>
      <c r="C2" s="1"/>
      <c r="D2" s="1"/>
      <c r="E2" s="1"/>
      <c r="F2" s="1"/>
      <c r="G2" s="1"/>
      <c r="H2" s="1"/>
      <c r="I2" s="1"/>
      <c r="J2" s="1"/>
      <c r="K2" s="1"/>
      <c r="L2" s="1"/>
      <c r="M2" s="1"/>
      <c r="N2" s="1"/>
      <c r="O2" s="1"/>
      <c r="P2" s="1"/>
      <c r="Q2" s="2"/>
      <c r="R2" s="1"/>
      <c r="S2" s="1"/>
      <c r="T2" s="1"/>
      <c r="U2" s="1"/>
      <c r="V2" s="1"/>
      <c r="W2" s="1"/>
      <c r="X2" s="1"/>
      <c r="Y2" s="1"/>
      <c r="Z2" s="1"/>
    </row>
    <row r="3" customHeight="1" spans="1:26">
      <c r="A3" s="23" t="s">
        <v>22</v>
      </c>
      <c r="B3" s="23" t="s">
        <v>61</v>
      </c>
      <c r="C3" s="23" t="s">
        <v>62</v>
      </c>
      <c r="D3" s="23" t="s">
        <v>63</v>
      </c>
      <c r="E3" s="18" t="s">
        <v>64</v>
      </c>
      <c r="F3" s="32"/>
      <c r="G3" s="32"/>
      <c r="H3" s="31"/>
      <c r="I3" s="18" t="s">
        <v>65</v>
      </c>
      <c r="J3" s="32"/>
      <c r="K3" s="32"/>
      <c r="L3" s="31"/>
      <c r="M3" s="18" t="s">
        <v>66</v>
      </c>
      <c r="N3" s="32"/>
      <c r="O3" s="32"/>
      <c r="P3" s="31"/>
      <c r="Q3" s="42" t="s">
        <v>29</v>
      </c>
      <c r="R3" s="13"/>
      <c r="S3" s="13"/>
      <c r="T3" s="13"/>
      <c r="U3" s="13"/>
      <c r="V3" s="13"/>
      <c r="W3" s="13"/>
      <c r="X3" s="13"/>
      <c r="Y3" s="13"/>
      <c r="Z3" s="13"/>
    </row>
    <row r="4" customHeight="1" spans="1:26">
      <c r="A4" s="24"/>
      <c r="B4" s="24"/>
      <c r="C4" s="24"/>
      <c r="D4" s="24"/>
      <c r="E4" s="18" t="s">
        <v>67</v>
      </c>
      <c r="F4" s="31"/>
      <c r="G4" s="18" t="s">
        <v>68</v>
      </c>
      <c r="H4" s="31"/>
      <c r="I4" s="18" t="s">
        <v>67</v>
      </c>
      <c r="J4" s="31"/>
      <c r="K4" s="18" t="s">
        <v>68</v>
      </c>
      <c r="L4" s="31"/>
      <c r="M4" s="18" t="s">
        <v>67</v>
      </c>
      <c r="N4" s="31"/>
      <c r="O4" s="18" t="s">
        <v>68</v>
      </c>
      <c r="P4" s="31"/>
      <c r="Q4" s="24"/>
      <c r="R4" s="1"/>
      <c r="S4" s="1"/>
      <c r="T4" s="1"/>
      <c r="U4" s="1"/>
      <c r="V4" s="1"/>
      <c r="W4" s="1"/>
      <c r="X4" s="1"/>
      <c r="Y4" s="1"/>
      <c r="Z4" s="1"/>
    </row>
    <row r="5" customHeight="1" spans="1:26">
      <c r="A5" s="25"/>
      <c r="B5" s="25"/>
      <c r="C5" s="25"/>
      <c r="D5" s="25"/>
      <c r="E5" s="6" t="s">
        <v>69</v>
      </c>
      <c r="F5" s="6" t="s">
        <v>70</v>
      </c>
      <c r="G5" s="6" t="s">
        <v>69</v>
      </c>
      <c r="H5" s="6" t="s">
        <v>70</v>
      </c>
      <c r="I5" s="6" t="s">
        <v>69</v>
      </c>
      <c r="J5" s="6" t="s">
        <v>70</v>
      </c>
      <c r="K5" s="6" t="s">
        <v>69</v>
      </c>
      <c r="L5" s="6" t="s">
        <v>70</v>
      </c>
      <c r="M5" s="6" t="s">
        <v>69</v>
      </c>
      <c r="N5" s="6" t="s">
        <v>70</v>
      </c>
      <c r="O5" s="6" t="s">
        <v>69</v>
      </c>
      <c r="P5" s="6" t="s">
        <v>70</v>
      </c>
      <c r="Q5" s="25"/>
      <c r="R5" s="1"/>
      <c r="S5" s="1"/>
      <c r="T5" s="1"/>
      <c r="U5" s="1"/>
      <c r="V5" s="1"/>
      <c r="W5" s="1"/>
      <c r="X5" s="1"/>
      <c r="Y5" s="1"/>
      <c r="Z5" s="1"/>
    </row>
    <row r="6" customHeight="1" spans="1:26">
      <c r="A6" s="8">
        <v>1</v>
      </c>
      <c r="B6" s="10" t="s">
        <v>71</v>
      </c>
      <c r="C6" s="39" t="s">
        <v>72</v>
      </c>
      <c r="D6" s="63">
        <f ca="1">INDIRECT(ADDRESS(8,14,1,TRUE,B7))</f>
        <v>96</v>
      </c>
      <c r="E6" s="63">
        <f ca="1">INDIRECT(ADDRESS(4,8,1,TRUE,$B7))</f>
        <v>11</v>
      </c>
      <c r="F6" s="63">
        <f ca="1">INDIRECT(ADDRESS(5,8,1,TRUE,$B7))</f>
        <v>5</v>
      </c>
      <c r="G6" s="63">
        <f ca="1">INDIRECT(ADDRESS(4,9,1,TRUE,$B7))</f>
        <v>16</v>
      </c>
      <c r="H6" s="63">
        <f ca="1">INDIRECT(ADDRESS(5,9,1,TRUE,$B7))</f>
        <v>0</v>
      </c>
      <c r="I6" s="63">
        <f ca="1">INDIRECT(ADDRESS(4,10,1,TRUE,$B7))</f>
        <v>14</v>
      </c>
      <c r="J6" s="63">
        <f ca="1">INDIRECT(ADDRESS(5,10,1,TRUE,$B7))</f>
        <v>2</v>
      </c>
      <c r="K6" s="63">
        <f ca="1">INDIRECT(ADDRESS(4,11,1,TRUE,$B7))</f>
        <v>15</v>
      </c>
      <c r="L6" s="63">
        <f ca="1">INDIRECT(ADDRESS(5,11,1,TRUE,$B7))</f>
        <v>1</v>
      </c>
      <c r="M6" s="63">
        <f ca="1">INDIRECT(ADDRESS(4,12,1,TRUE,$B7))</f>
        <v>16</v>
      </c>
      <c r="N6" s="63">
        <f ca="1">INDIRECT(ADDRESS(5,12,1,TRUE,$B7))</f>
        <v>0</v>
      </c>
      <c r="O6" s="63">
        <f ca="1">INDIRECT(ADDRESS(4,13,1,TRUE,$B7))</f>
        <v>16</v>
      </c>
      <c r="P6" s="63" cm="1">
        <f ca="1" t="array" ref="P6">INDIRECT(ADDRESS(5,13,1,TRUE,$B7))</f>
        <v>0</v>
      </c>
      <c r="Q6" s="9" t="s">
        <v>73</v>
      </c>
      <c r="R6" s="1"/>
      <c r="S6" s="1"/>
      <c r="T6" s="1"/>
      <c r="U6" s="1"/>
      <c r="V6" s="1"/>
      <c r="W6" s="1"/>
      <c r="X6" s="1"/>
      <c r="Y6" s="1"/>
      <c r="Z6" s="1"/>
    </row>
    <row r="7" customHeight="1" spans="1:26">
      <c r="A7" s="8">
        <v>2</v>
      </c>
      <c r="B7" s="10" t="s">
        <v>74</v>
      </c>
      <c r="C7" s="8" t="s">
        <v>72</v>
      </c>
      <c r="D7" s="63">
        <f ca="1">INDIRECT(ADDRESS(8,14,1,TRUE,B7))</f>
        <v>96</v>
      </c>
      <c r="E7" s="63">
        <f ca="1" t="shared" ref="E6:E14" si="0">INDIRECT(ADDRESS(4,8,1,TRUE,$B7))</f>
        <v>11</v>
      </c>
      <c r="F7" s="63">
        <f ca="1" t="shared" ref="F6:F14" si="1">INDIRECT(ADDRESS(5,8,1,TRUE,$B7))</f>
        <v>5</v>
      </c>
      <c r="G7" s="63">
        <f ca="1" t="shared" ref="G6:G14" si="2">INDIRECT(ADDRESS(4,9,1,TRUE,$B7))</f>
        <v>16</v>
      </c>
      <c r="H7" s="63">
        <f ca="1" t="shared" ref="H6:H14" si="3">INDIRECT(ADDRESS(5,9,1,TRUE,$B7))</f>
        <v>0</v>
      </c>
      <c r="I7" s="63">
        <f ca="1" t="shared" ref="I6:I14" si="4">INDIRECT(ADDRESS(4,10,1,TRUE,$B7))</f>
        <v>14</v>
      </c>
      <c r="J7" s="63">
        <f ca="1" t="shared" ref="J6:J14" si="5">INDIRECT(ADDRESS(5,10,1,TRUE,$B7))</f>
        <v>2</v>
      </c>
      <c r="K7" s="63">
        <f ca="1" t="shared" ref="K6:K14" si="6">INDIRECT(ADDRESS(4,11,1,TRUE,$B7))</f>
        <v>15</v>
      </c>
      <c r="L7" s="63">
        <f ca="1" t="shared" ref="L6:L14" si="7">INDIRECT(ADDRESS(5,11,1,TRUE,$B7))</f>
        <v>1</v>
      </c>
      <c r="M7" s="63">
        <f ca="1" t="shared" ref="M6:M13" si="8">INDIRECT(ADDRESS(4,12,1,TRUE,$B7))</f>
        <v>16</v>
      </c>
      <c r="N7" s="63">
        <f ca="1" t="shared" ref="N6:N13" si="9">INDIRECT(ADDRESS(5,12,1,TRUE,$B7))</f>
        <v>0</v>
      </c>
      <c r="O7" s="63">
        <f ca="1" t="shared" ref="O6:O13" si="10">INDIRECT(ADDRESS(4,13,1,TRUE,$B7))</f>
        <v>16</v>
      </c>
      <c r="P7" s="10">
        <v>0</v>
      </c>
      <c r="Q7" s="9"/>
      <c r="R7" s="1"/>
      <c r="S7" s="1"/>
      <c r="T7" s="1"/>
      <c r="U7" s="1"/>
      <c r="V7" s="1"/>
      <c r="W7" s="1"/>
      <c r="X7" s="1"/>
      <c r="Y7" s="1"/>
      <c r="Z7" s="1"/>
    </row>
    <row r="8" customHeight="1" spans="1:26">
      <c r="A8" s="8">
        <v>3</v>
      </c>
      <c r="B8" s="10" t="s">
        <v>75</v>
      </c>
      <c r="C8" s="37">
        <v>45941</v>
      </c>
      <c r="D8" s="63">
        <v>72</v>
      </c>
      <c r="E8" s="63">
        <f ca="1" t="shared" si="0"/>
        <v>11</v>
      </c>
      <c r="F8" s="63">
        <f ca="1" t="shared" si="1"/>
        <v>1</v>
      </c>
      <c r="G8" s="63">
        <f ca="1" t="shared" si="2"/>
        <v>12</v>
      </c>
      <c r="H8" s="63">
        <f ca="1" t="shared" si="3"/>
        <v>0</v>
      </c>
      <c r="I8" s="63">
        <f ca="1" t="shared" si="4"/>
        <v>12</v>
      </c>
      <c r="J8" s="63">
        <f ca="1" t="shared" si="5"/>
        <v>0</v>
      </c>
      <c r="K8" s="63">
        <f ca="1" t="shared" si="6"/>
        <v>11</v>
      </c>
      <c r="L8" s="63">
        <f ca="1" t="shared" si="7"/>
        <v>1</v>
      </c>
      <c r="M8" s="63">
        <f ca="1" t="shared" si="8"/>
        <v>12</v>
      </c>
      <c r="N8" s="63">
        <f ca="1" t="shared" si="9"/>
        <v>0</v>
      </c>
      <c r="O8" s="63">
        <f ca="1" t="shared" si="10"/>
        <v>12</v>
      </c>
      <c r="P8" s="10">
        <v>0</v>
      </c>
      <c r="Q8" s="9"/>
      <c r="R8" s="1"/>
      <c r="S8" s="1"/>
      <c r="T8" s="1"/>
      <c r="U8" s="1"/>
      <c r="V8" s="1"/>
      <c r="W8" s="1"/>
      <c r="X8" s="1"/>
      <c r="Y8" s="1"/>
      <c r="Z8" s="1"/>
    </row>
    <row r="9" customHeight="1" spans="1:26">
      <c r="A9" s="8">
        <v>4</v>
      </c>
      <c r="B9" s="10" t="s">
        <v>76</v>
      </c>
      <c r="C9" s="8" t="s">
        <v>72</v>
      </c>
      <c r="D9" s="63">
        <f ca="1" t="shared" ref="D9:D14" si="11">INDIRECT(ADDRESS(8,14,1,TRUE,B9))</f>
        <v>48</v>
      </c>
      <c r="E9" s="63">
        <f ca="1" t="shared" si="0"/>
        <v>7</v>
      </c>
      <c r="F9" s="63">
        <f ca="1" t="shared" si="1"/>
        <v>1</v>
      </c>
      <c r="G9" s="63">
        <f ca="1" t="shared" si="2"/>
        <v>8</v>
      </c>
      <c r="H9" s="63">
        <f ca="1" t="shared" si="3"/>
        <v>0</v>
      </c>
      <c r="I9" s="63">
        <f ca="1" t="shared" si="4"/>
        <v>6</v>
      </c>
      <c r="J9" s="63">
        <f ca="1" t="shared" si="5"/>
        <v>2</v>
      </c>
      <c r="K9" s="63">
        <f ca="1" t="shared" si="6"/>
        <v>6</v>
      </c>
      <c r="L9" s="63">
        <f ca="1" t="shared" si="7"/>
        <v>2</v>
      </c>
      <c r="M9" s="63">
        <f ca="1" t="shared" si="8"/>
        <v>8</v>
      </c>
      <c r="N9" s="63">
        <f ca="1" t="shared" si="9"/>
        <v>0</v>
      </c>
      <c r="O9" s="63">
        <f ca="1" t="shared" si="10"/>
        <v>7</v>
      </c>
      <c r="P9" s="10">
        <v>0</v>
      </c>
      <c r="Q9" s="9"/>
      <c r="R9" s="1"/>
      <c r="S9" s="1"/>
      <c r="T9" s="1"/>
      <c r="U9" s="1"/>
      <c r="V9" s="1"/>
      <c r="W9" s="1"/>
      <c r="X9" s="1"/>
      <c r="Y9" s="1"/>
      <c r="Z9" s="1"/>
    </row>
    <row r="10" customHeight="1" spans="1:26">
      <c r="A10" s="8">
        <v>5</v>
      </c>
      <c r="B10" s="10" t="s">
        <v>77</v>
      </c>
      <c r="C10" s="8" t="s">
        <v>78</v>
      </c>
      <c r="D10" s="63">
        <f ca="1" t="shared" si="11"/>
        <v>96</v>
      </c>
      <c r="E10" s="63">
        <f ca="1" t="shared" si="0"/>
        <v>13</v>
      </c>
      <c r="F10" s="63">
        <f ca="1" t="shared" si="1"/>
        <v>3</v>
      </c>
      <c r="G10" s="63">
        <f ca="1" t="shared" si="2"/>
        <v>15</v>
      </c>
      <c r="H10" s="63">
        <f ca="1" t="shared" si="3"/>
        <v>1</v>
      </c>
      <c r="I10" s="63">
        <f ca="1" t="shared" si="4"/>
        <v>15</v>
      </c>
      <c r="J10" s="63">
        <f ca="1" t="shared" si="5"/>
        <v>1</v>
      </c>
      <c r="K10" s="63">
        <f ca="1" t="shared" si="6"/>
        <v>14</v>
      </c>
      <c r="L10" s="63">
        <f ca="1" t="shared" si="7"/>
        <v>2</v>
      </c>
      <c r="M10" s="63">
        <f ca="1" t="shared" si="8"/>
        <v>16</v>
      </c>
      <c r="N10" s="63">
        <f ca="1" t="shared" si="9"/>
        <v>0</v>
      </c>
      <c r="O10" s="63">
        <f ca="1" t="shared" si="10"/>
        <v>16</v>
      </c>
      <c r="P10" s="10">
        <v>0</v>
      </c>
      <c r="Q10" s="9"/>
      <c r="R10" s="1"/>
      <c r="S10" s="1"/>
      <c r="T10" s="1"/>
      <c r="U10" s="1"/>
      <c r="V10" s="1"/>
      <c r="W10" s="1"/>
      <c r="X10" s="1"/>
      <c r="Y10" s="1"/>
      <c r="Z10" s="1"/>
    </row>
    <row r="11" customHeight="1" spans="1:26">
      <c r="A11" s="8">
        <v>6</v>
      </c>
      <c r="B11" s="10" t="s">
        <v>79</v>
      </c>
      <c r="C11" s="8" t="s">
        <v>80</v>
      </c>
      <c r="D11" s="63">
        <f ca="1" t="shared" si="11"/>
        <v>84</v>
      </c>
      <c r="E11" s="63">
        <f ca="1" t="shared" si="0"/>
        <v>12</v>
      </c>
      <c r="F11" s="63">
        <f ca="1" t="shared" si="1"/>
        <v>2</v>
      </c>
      <c r="G11" s="63">
        <f ca="1" t="shared" si="2"/>
        <v>14</v>
      </c>
      <c r="H11" s="63">
        <f ca="1" t="shared" si="3"/>
        <v>0</v>
      </c>
      <c r="I11" s="63">
        <f ca="1" t="shared" si="4"/>
        <v>12</v>
      </c>
      <c r="J11" s="63">
        <f ca="1" t="shared" si="5"/>
        <v>2</v>
      </c>
      <c r="K11" s="63">
        <f ca="1" t="shared" si="6"/>
        <v>13</v>
      </c>
      <c r="L11" s="63">
        <f ca="1" t="shared" si="7"/>
        <v>1</v>
      </c>
      <c r="M11" s="63">
        <f ca="1" t="shared" si="8"/>
        <v>14</v>
      </c>
      <c r="N11" s="63">
        <f ca="1" t="shared" si="9"/>
        <v>0</v>
      </c>
      <c r="O11" s="63">
        <f ca="1" t="shared" si="10"/>
        <v>14</v>
      </c>
      <c r="P11" s="10">
        <v>0</v>
      </c>
      <c r="Q11" s="9"/>
      <c r="R11" s="1"/>
      <c r="S11" s="1"/>
      <c r="T11" s="1"/>
      <c r="U11" s="1"/>
      <c r="V11" s="1"/>
      <c r="W11" s="1"/>
      <c r="X11" s="1"/>
      <c r="Y11" s="1"/>
      <c r="Z11" s="1"/>
    </row>
    <row r="12" customHeight="1" spans="1:26">
      <c r="A12" s="8">
        <v>7</v>
      </c>
      <c r="B12" s="10" t="s">
        <v>81</v>
      </c>
      <c r="C12" s="37">
        <v>45941</v>
      </c>
      <c r="D12" s="63">
        <f ca="1" t="shared" si="11"/>
        <v>96</v>
      </c>
      <c r="E12" s="63">
        <f ca="1" t="shared" si="0"/>
        <v>16</v>
      </c>
      <c r="F12" s="63">
        <f ca="1" t="shared" si="1"/>
        <v>0</v>
      </c>
      <c r="G12" s="63">
        <f ca="1" t="shared" si="2"/>
        <v>16</v>
      </c>
      <c r="H12" s="63">
        <f ca="1" t="shared" si="3"/>
        <v>0</v>
      </c>
      <c r="I12" s="63">
        <f ca="1" t="shared" si="4"/>
        <v>16</v>
      </c>
      <c r="J12" s="63">
        <f ca="1" t="shared" si="5"/>
        <v>0</v>
      </c>
      <c r="K12" s="63">
        <f ca="1" t="shared" si="6"/>
        <v>15</v>
      </c>
      <c r="L12" s="63">
        <f ca="1" t="shared" si="7"/>
        <v>1</v>
      </c>
      <c r="M12" s="63">
        <f ca="1" t="shared" si="8"/>
        <v>16</v>
      </c>
      <c r="N12" s="63">
        <f ca="1" t="shared" si="9"/>
        <v>0</v>
      </c>
      <c r="O12" s="63">
        <f ca="1" t="shared" si="10"/>
        <v>16</v>
      </c>
      <c r="P12" s="10">
        <v>0</v>
      </c>
      <c r="Q12" s="9"/>
      <c r="R12" s="1"/>
      <c r="S12" s="1"/>
      <c r="T12" s="1"/>
      <c r="U12" s="1"/>
      <c r="V12" s="1"/>
      <c r="W12" s="1"/>
      <c r="X12" s="1"/>
      <c r="Y12" s="1"/>
      <c r="Z12" s="1"/>
    </row>
    <row r="13" customHeight="1" spans="1:26">
      <c r="A13" s="8">
        <v>8</v>
      </c>
      <c r="B13" s="10" t="s">
        <v>82</v>
      </c>
      <c r="C13" s="36">
        <v>45941</v>
      </c>
      <c r="D13" s="63">
        <f ca="1" t="shared" si="11"/>
        <v>108</v>
      </c>
      <c r="E13" s="63">
        <f ca="1" t="shared" si="0"/>
        <v>15</v>
      </c>
      <c r="F13" s="63">
        <f ca="1" t="shared" si="1"/>
        <v>3</v>
      </c>
      <c r="G13" s="63">
        <f ca="1" t="shared" si="2"/>
        <v>18</v>
      </c>
      <c r="H13" s="63">
        <f ca="1" t="shared" si="3"/>
        <v>0</v>
      </c>
      <c r="I13" s="63">
        <f ca="1" t="shared" si="4"/>
        <v>16</v>
      </c>
      <c r="J13" s="63">
        <f ca="1" t="shared" si="5"/>
        <v>2</v>
      </c>
      <c r="K13" s="63">
        <f ca="1" t="shared" si="6"/>
        <v>16</v>
      </c>
      <c r="L13" s="63">
        <f ca="1" t="shared" si="7"/>
        <v>2</v>
      </c>
      <c r="M13" s="63">
        <f ca="1" t="shared" si="8"/>
        <v>18</v>
      </c>
      <c r="N13" s="63">
        <f ca="1" t="shared" si="9"/>
        <v>0</v>
      </c>
      <c r="O13" s="63">
        <f ca="1" t="shared" si="10"/>
        <v>18</v>
      </c>
      <c r="P13" s="10">
        <v>0</v>
      </c>
      <c r="Q13" s="9"/>
      <c r="R13" s="1"/>
      <c r="S13" s="1"/>
      <c r="T13" s="1"/>
      <c r="U13" s="1"/>
      <c r="V13" s="1"/>
      <c r="W13" s="1"/>
      <c r="X13" s="1"/>
      <c r="Y13" s="1"/>
      <c r="Z13" s="1"/>
    </row>
    <row r="14" customHeight="1" spans="1:26">
      <c r="A14" s="8">
        <v>9</v>
      </c>
      <c r="B14" s="10" t="s">
        <v>83</v>
      </c>
      <c r="C14" s="8" t="s">
        <v>84</v>
      </c>
      <c r="D14" s="63">
        <f ca="1" t="shared" si="11"/>
        <v>120</v>
      </c>
      <c r="E14" s="63">
        <f ca="1" t="shared" si="0"/>
        <v>20</v>
      </c>
      <c r="F14" s="63">
        <f ca="1" t="shared" si="1"/>
        <v>0</v>
      </c>
      <c r="G14" s="63">
        <f ca="1" t="shared" si="2"/>
        <v>20</v>
      </c>
      <c r="H14" s="63">
        <f ca="1" t="shared" si="3"/>
        <v>0</v>
      </c>
      <c r="I14" s="63">
        <f ca="1" t="shared" si="4"/>
        <v>20</v>
      </c>
      <c r="J14" s="63">
        <f ca="1" t="shared" si="5"/>
        <v>0</v>
      </c>
      <c r="K14" s="63">
        <f ca="1" t="shared" si="6"/>
        <v>20</v>
      </c>
      <c r="L14" s="63">
        <f ca="1" t="shared" si="7"/>
        <v>0</v>
      </c>
      <c r="M14" s="10"/>
      <c r="N14" s="10"/>
      <c r="O14" s="10"/>
      <c r="P14" s="10"/>
      <c r="Q14" s="9"/>
      <c r="R14" s="1"/>
      <c r="S14" s="1"/>
      <c r="T14" s="1"/>
      <c r="U14" s="1"/>
      <c r="V14" s="1"/>
      <c r="W14" s="1"/>
      <c r="X14" s="1"/>
      <c r="Y14" s="1"/>
      <c r="Z14" s="1"/>
    </row>
    <row r="15" customHeight="1" spans="1:26">
      <c r="A15" s="8"/>
      <c r="B15" s="10"/>
      <c r="C15" s="10"/>
      <c r="D15" s="10"/>
      <c r="E15" s="10"/>
      <c r="F15" s="10"/>
      <c r="G15" s="10"/>
      <c r="H15" s="10"/>
      <c r="I15" s="10"/>
      <c r="J15" s="10"/>
      <c r="K15" s="10"/>
      <c r="L15" s="10"/>
      <c r="M15" s="10"/>
      <c r="N15" s="10"/>
      <c r="O15" s="10"/>
      <c r="P15" s="10"/>
      <c r="Q15" s="9"/>
      <c r="R15" s="1"/>
      <c r="S15" s="1"/>
      <c r="T15" s="1"/>
      <c r="U15" s="1"/>
      <c r="V15" s="1"/>
      <c r="W15" s="1"/>
      <c r="X15" s="1"/>
      <c r="Y15" s="1"/>
      <c r="Z15" s="1"/>
    </row>
    <row r="16" customHeight="1" spans="1:26">
      <c r="A16" s="8"/>
      <c r="B16" s="10"/>
      <c r="C16" s="10"/>
      <c r="D16" s="10"/>
      <c r="E16" s="10"/>
      <c r="F16" s="10"/>
      <c r="G16" s="10"/>
      <c r="H16" s="10"/>
      <c r="I16" s="10"/>
      <c r="J16" s="10"/>
      <c r="K16" s="10"/>
      <c r="L16" s="10"/>
      <c r="M16" s="10"/>
      <c r="N16" s="10"/>
      <c r="O16" s="10"/>
      <c r="P16" s="10"/>
      <c r="Q16" s="9"/>
      <c r="R16" s="1"/>
      <c r="S16" s="1"/>
      <c r="T16" s="1"/>
      <c r="U16" s="1"/>
      <c r="V16" s="1"/>
      <c r="W16" s="1"/>
      <c r="X16" s="1"/>
      <c r="Y16" s="1"/>
      <c r="Z16" s="1"/>
    </row>
    <row r="17" customHeight="1" spans="1:26">
      <c r="A17" s="64" t="s">
        <v>85</v>
      </c>
      <c r="B17" s="31"/>
      <c r="C17" s="10"/>
      <c r="D17" s="63">
        <f ca="1">SUM(D6:D16)</f>
        <v>816</v>
      </c>
      <c r="E17" s="63">
        <f ca="1">SUM($E$6:$E$16)</f>
        <v>116</v>
      </c>
      <c r="F17" s="63">
        <f ca="1">SUM($F$6:$F$16)</f>
        <v>20</v>
      </c>
      <c r="G17" s="63">
        <f ca="1">SUM($G$6:$G$16)</f>
        <v>135</v>
      </c>
      <c r="H17" s="63">
        <f ca="1">SUM($H$6:$H$16)</f>
        <v>1</v>
      </c>
      <c r="I17" s="63">
        <f ca="1">SUM($I$6:$I$16)</f>
        <v>125</v>
      </c>
      <c r="J17" s="63">
        <f ca="1">SUM($J$6:$J$16)</f>
        <v>11</v>
      </c>
      <c r="K17" s="63">
        <f ca="1">SUM($K$6:$K$16)</f>
        <v>125</v>
      </c>
      <c r="L17" s="63">
        <f ca="1">SUM($L$6:$L$16)</f>
        <v>11</v>
      </c>
      <c r="M17" s="63">
        <f ca="1">SUM($M$6:$M$16)</f>
        <v>116</v>
      </c>
      <c r="N17" s="63">
        <f ca="1">SUM($N$6:$N$16)</f>
        <v>0</v>
      </c>
      <c r="O17" s="63">
        <f ca="1">SUM($O$6:$O$16)</f>
        <v>115</v>
      </c>
      <c r="P17" s="63">
        <f ca="1">SUM($P$6:$P$16)</f>
        <v>0</v>
      </c>
      <c r="Q17" s="9"/>
      <c r="R17" s="1"/>
      <c r="S17" s="1"/>
      <c r="T17" s="1"/>
      <c r="U17" s="1"/>
      <c r="V17" s="1"/>
      <c r="W17" s="1"/>
      <c r="X17" s="1"/>
      <c r="Y17" s="1"/>
      <c r="Z17" s="1"/>
    </row>
    <row r="18" customHeight="1" spans="1:26">
      <c r="A18" s="62"/>
      <c r="B18" s="1"/>
      <c r="C18" s="1"/>
      <c r="D18" s="1"/>
      <c r="E18" s="1"/>
      <c r="F18" s="1"/>
      <c r="G18" s="1"/>
      <c r="H18" s="1"/>
      <c r="I18" s="1"/>
      <c r="J18" s="1"/>
      <c r="K18" s="1"/>
      <c r="L18" s="1"/>
      <c r="M18" s="1"/>
      <c r="N18" s="1"/>
      <c r="O18" s="1"/>
      <c r="P18" s="1"/>
      <c r="Q18" s="2"/>
      <c r="R18" s="1"/>
      <c r="S18" s="1"/>
      <c r="T18" s="1"/>
      <c r="U18" s="1"/>
      <c r="V18" s="1"/>
      <c r="W18" s="1"/>
      <c r="X18" s="1"/>
      <c r="Y18" s="1"/>
      <c r="Z18" s="1"/>
    </row>
    <row r="19" customHeight="1" spans="1:26">
      <c r="A19" s="62"/>
      <c r="B19" s="1"/>
      <c r="C19" s="1"/>
      <c r="D19" s="1"/>
      <c r="E19" s="1"/>
      <c r="F19" s="1"/>
      <c r="G19" s="1"/>
      <c r="H19" s="1"/>
      <c r="I19" s="1"/>
      <c r="J19" s="1"/>
      <c r="K19" s="1"/>
      <c r="L19" s="1"/>
      <c r="M19" s="1"/>
      <c r="N19" s="1"/>
      <c r="O19" s="1"/>
      <c r="P19" s="1"/>
      <c r="Q19" s="2"/>
      <c r="R19" s="1"/>
      <c r="S19" s="1"/>
      <c r="T19" s="1"/>
      <c r="U19" s="1"/>
      <c r="V19" s="1"/>
      <c r="W19" s="1"/>
      <c r="X19" s="1"/>
      <c r="Y19" s="1"/>
      <c r="Z19" s="1"/>
    </row>
    <row r="20" customHeight="1" spans="1:26">
      <c r="A20" s="62"/>
      <c r="B20" s="1"/>
      <c r="C20" s="1"/>
      <c r="D20" s="1"/>
      <c r="E20" s="1"/>
      <c r="F20" s="1"/>
      <c r="G20" s="1"/>
      <c r="H20" s="1"/>
      <c r="I20" s="1"/>
      <c r="J20" s="1"/>
      <c r="K20" s="1"/>
      <c r="L20" s="1"/>
      <c r="M20" s="1"/>
      <c r="N20" s="1"/>
      <c r="O20" s="1"/>
      <c r="P20" s="1"/>
      <c r="Q20" s="2"/>
      <c r="R20" s="1"/>
      <c r="S20" s="1"/>
      <c r="T20" s="1"/>
      <c r="U20" s="1"/>
      <c r="V20" s="1"/>
      <c r="W20" s="1"/>
      <c r="X20" s="1"/>
      <c r="Y20" s="1"/>
      <c r="Z20" s="1"/>
    </row>
    <row r="21" customHeight="1" spans="1:26">
      <c r="A21" s="62"/>
      <c r="B21" s="1"/>
      <c r="C21" s="1"/>
      <c r="D21" s="1"/>
      <c r="E21" s="1"/>
      <c r="F21" s="1"/>
      <c r="G21" s="1"/>
      <c r="H21" s="1"/>
      <c r="I21" s="1"/>
      <c r="J21" s="1"/>
      <c r="K21" s="1"/>
      <c r="L21" s="1"/>
      <c r="M21" s="1"/>
      <c r="N21" s="1"/>
      <c r="O21" s="1"/>
      <c r="P21" s="1"/>
      <c r="Q21" s="2"/>
      <c r="R21" s="1"/>
      <c r="S21" s="1"/>
      <c r="T21" s="1"/>
      <c r="U21" s="1"/>
      <c r="V21" s="1"/>
      <c r="W21" s="1"/>
      <c r="X21" s="1"/>
      <c r="Y21" s="1"/>
      <c r="Z21" s="1"/>
    </row>
    <row r="22" customHeight="1" spans="1:26">
      <c r="A22" s="62"/>
      <c r="B22" s="1"/>
      <c r="C22" s="1"/>
      <c r="D22" s="1"/>
      <c r="E22" s="1"/>
      <c r="F22" s="1"/>
      <c r="G22" s="1"/>
      <c r="H22" s="1"/>
      <c r="I22" s="1"/>
      <c r="J22" s="1"/>
      <c r="K22" s="1"/>
      <c r="L22" s="1"/>
      <c r="M22" s="1"/>
      <c r="N22" s="1"/>
      <c r="O22" s="1"/>
      <c r="P22" s="1"/>
      <c r="Q22" s="2"/>
      <c r="R22" s="1"/>
      <c r="S22" s="1"/>
      <c r="T22" s="1"/>
      <c r="U22" s="1"/>
      <c r="V22" s="1"/>
      <c r="W22" s="1"/>
      <c r="X22" s="1"/>
      <c r="Y22" s="1"/>
      <c r="Z22" s="1"/>
    </row>
    <row r="23" customHeight="1" spans="1:26">
      <c r="A23" s="62"/>
      <c r="B23" s="1"/>
      <c r="C23" s="1"/>
      <c r="D23" s="1"/>
      <c r="E23" s="1"/>
      <c r="F23" s="1"/>
      <c r="G23" s="1"/>
      <c r="H23" s="1"/>
      <c r="I23" s="1"/>
      <c r="J23" s="1"/>
      <c r="K23" s="1"/>
      <c r="L23" s="1"/>
      <c r="M23" s="1"/>
      <c r="N23" s="1"/>
      <c r="O23" s="1"/>
      <c r="P23" s="1"/>
      <c r="Q23" s="2"/>
      <c r="R23" s="1"/>
      <c r="S23" s="1"/>
      <c r="T23" s="1"/>
      <c r="U23" s="1"/>
      <c r="V23" s="1"/>
      <c r="W23" s="1"/>
      <c r="X23" s="1"/>
      <c r="Y23" s="1"/>
      <c r="Z23" s="1"/>
    </row>
    <row r="24" customHeight="1" spans="1:26">
      <c r="A24" s="62"/>
      <c r="B24" s="1"/>
      <c r="C24" s="1"/>
      <c r="D24" s="1"/>
      <c r="E24" s="1"/>
      <c r="F24" s="1"/>
      <c r="G24" s="1"/>
      <c r="H24" s="1"/>
      <c r="I24" s="1"/>
      <c r="J24" s="1"/>
      <c r="K24" s="1"/>
      <c r="L24" s="1"/>
      <c r="M24" s="1"/>
      <c r="N24" s="1"/>
      <c r="O24" s="1"/>
      <c r="P24" s="1"/>
      <c r="Q24" s="2"/>
      <c r="R24" s="1"/>
      <c r="S24" s="1"/>
      <c r="T24" s="1"/>
      <c r="U24" s="1"/>
      <c r="V24" s="1"/>
      <c r="W24" s="1"/>
      <c r="X24" s="1"/>
      <c r="Y24" s="1"/>
      <c r="Z24" s="1"/>
    </row>
    <row r="25" customHeight="1" spans="1:26">
      <c r="A25" s="62"/>
      <c r="B25" s="1"/>
      <c r="C25" s="1"/>
      <c r="D25" s="1"/>
      <c r="E25" s="1"/>
      <c r="F25" s="1"/>
      <c r="G25" s="1"/>
      <c r="H25" s="1"/>
      <c r="I25" s="1"/>
      <c r="J25" s="1"/>
      <c r="K25" s="1"/>
      <c r="L25" s="1"/>
      <c r="M25" s="1"/>
      <c r="N25" s="1"/>
      <c r="O25" s="1"/>
      <c r="P25" s="1"/>
      <c r="Q25" s="2"/>
      <c r="R25" s="1"/>
      <c r="S25" s="1"/>
      <c r="T25" s="1"/>
      <c r="U25" s="1"/>
      <c r="V25" s="1"/>
      <c r="W25" s="1"/>
      <c r="X25" s="1"/>
      <c r="Y25" s="1"/>
      <c r="Z25" s="1"/>
    </row>
    <row r="26" customHeight="1" spans="1:26">
      <c r="A26" s="62"/>
      <c r="B26" s="1"/>
      <c r="C26" s="1"/>
      <c r="D26" s="1"/>
      <c r="E26" s="1"/>
      <c r="F26" s="1"/>
      <c r="G26" s="1"/>
      <c r="H26" s="1"/>
      <c r="I26" s="1"/>
      <c r="J26" s="1"/>
      <c r="K26" s="1"/>
      <c r="L26" s="1"/>
      <c r="M26" s="1"/>
      <c r="N26" s="1"/>
      <c r="O26" s="1"/>
      <c r="P26" s="1"/>
      <c r="Q26" s="2"/>
      <c r="R26" s="1"/>
      <c r="S26" s="1"/>
      <c r="T26" s="1"/>
      <c r="U26" s="1"/>
      <c r="V26" s="1"/>
      <c r="W26" s="1"/>
      <c r="X26" s="1"/>
      <c r="Y26" s="1"/>
      <c r="Z26" s="1"/>
    </row>
    <row r="27" customHeight="1" spans="1:26">
      <c r="A27" s="62"/>
      <c r="B27" s="1"/>
      <c r="C27" s="1"/>
      <c r="D27" s="1"/>
      <c r="E27" s="1"/>
      <c r="F27" s="1"/>
      <c r="G27" s="1"/>
      <c r="H27" s="1"/>
      <c r="I27" s="1"/>
      <c r="J27" s="1"/>
      <c r="K27" s="1"/>
      <c r="L27" s="1"/>
      <c r="M27" s="1"/>
      <c r="N27" s="1"/>
      <c r="O27" s="1"/>
      <c r="P27" s="1"/>
      <c r="Q27" s="2"/>
      <c r="R27" s="1"/>
      <c r="S27" s="1"/>
      <c r="T27" s="1"/>
      <c r="U27" s="1"/>
      <c r="V27" s="1"/>
      <c r="W27" s="1"/>
      <c r="X27" s="1"/>
      <c r="Y27" s="1"/>
      <c r="Z27" s="1"/>
    </row>
    <row r="28" customHeight="1" spans="1:26">
      <c r="A28" s="62"/>
      <c r="B28" s="1"/>
      <c r="C28" s="1"/>
      <c r="D28" s="1"/>
      <c r="E28" s="1"/>
      <c r="F28" s="1"/>
      <c r="G28" s="1"/>
      <c r="H28" s="1"/>
      <c r="I28" s="1"/>
      <c r="J28" s="1"/>
      <c r="K28" s="1"/>
      <c r="L28" s="1"/>
      <c r="M28" s="1"/>
      <c r="N28" s="1"/>
      <c r="O28" s="1"/>
      <c r="P28" s="1"/>
      <c r="Q28" s="2"/>
      <c r="R28" s="1"/>
      <c r="S28" s="1"/>
      <c r="T28" s="1"/>
      <c r="U28" s="1"/>
      <c r="V28" s="1"/>
      <c r="W28" s="1"/>
      <c r="X28" s="1"/>
      <c r="Y28" s="1"/>
      <c r="Z28" s="1"/>
    </row>
    <row r="29" customHeight="1" spans="1:26">
      <c r="A29" s="62"/>
      <c r="B29" s="1"/>
      <c r="C29" s="1"/>
      <c r="D29" s="1"/>
      <c r="E29" s="1"/>
      <c r="F29" s="1"/>
      <c r="G29" s="1"/>
      <c r="H29" s="1"/>
      <c r="I29" s="1"/>
      <c r="J29" s="1"/>
      <c r="K29" s="1"/>
      <c r="L29" s="1"/>
      <c r="M29" s="1"/>
      <c r="N29" s="1"/>
      <c r="O29" s="1"/>
      <c r="P29" s="1"/>
      <c r="Q29" s="2"/>
      <c r="R29" s="1"/>
      <c r="S29" s="1"/>
      <c r="T29" s="1"/>
      <c r="U29" s="1"/>
      <c r="V29" s="1"/>
      <c r="W29" s="1"/>
      <c r="X29" s="1"/>
      <c r="Y29" s="1"/>
      <c r="Z29" s="1"/>
    </row>
    <row r="30" customHeight="1" spans="1:26">
      <c r="A30" s="62"/>
      <c r="B30" s="1"/>
      <c r="C30" s="1"/>
      <c r="D30" s="1"/>
      <c r="E30" s="1"/>
      <c r="F30" s="1"/>
      <c r="G30" s="1"/>
      <c r="H30" s="1"/>
      <c r="I30" s="1"/>
      <c r="J30" s="1"/>
      <c r="K30" s="1"/>
      <c r="L30" s="1"/>
      <c r="M30" s="1"/>
      <c r="N30" s="1"/>
      <c r="O30" s="1"/>
      <c r="P30" s="1"/>
      <c r="Q30" s="2"/>
      <c r="R30" s="1"/>
      <c r="S30" s="1"/>
      <c r="T30" s="1"/>
      <c r="U30" s="1"/>
      <c r="V30" s="1"/>
      <c r="W30" s="1"/>
      <c r="X30" s="1"/>
      <c r="Y30" s="1"/>
      <c r="Z30" s="1"/>
    </row>
    <row r="31" customHeight="1" spans="1:26">
      <c r="A31" s="62"/>
      <c r="B31" s="1"/>
      <c r="C31" s="1"/>
      <c r="D31" s="1"/>
      <c r="E31" s="1"/>
      <c r="F31" s="1"/>
      <c r="G31" s="1"/>
      <c r="H31" s="1"/>
      <c r="I31" s="1"/>
      <c r="J31" s="1"/>
      <c r="K31" s="1"/>
      <c r="L31" s="1"/>
      <c r="M31" s="1"/>
      <c r="N31" s="1"/>
      <c r="O31" s="1"/>
      <c r="P31" s="1"/>
      <c r="Q31" s="2"/>
      <c r="R31" s="1"/>
      <c r="S31" s="1"/>
      <c r="T31" s="1"/>
      <c r="U31" s="1"/>
      <c r="V31" s="1"/>
      <c r="W31" s="1"/>
      <c r="X31" s="1"/>
      <c r="Y31" s="1"/>
      <c r="Z31" s="1"/>
    </row>
    <row r="32" customHeight="1" spans="1:26">
      <c r="A32" s="62"/>
      <c r="B32" s="1"/>
      <c r="C32" s="1"/>
      <c r="D32" s="1"/>
      <c r="E32" s="1"/>
      <c r="F32" s="1"/>
      <c r="G32" s="1"/>
      <c r="H32" s="1"/>
      <c r="I32" s="1"/>
      <c r="J32" s="1"/>
      <c r="K32" s="1"/>
      <c r="L32" s="1"/>
      <c r="M32" s="1"/>
      <c r="N32" s="1"/>
      <c r="O32" s="1"/>
      <c r="P32" s="1"/>
      <c r="Q32" s="2"/>
      <c r="R32" s="1"/>
      <c r="S32" s="1"/>
      <c r="T32" s="1"/>
      <c r="U32" s="1"/>
      <c r="V32" s="1"/>
      <c r="W32" s="1"/>
      <c r="X32" s="1"/>
      <c r="Y32" s="1"/>
      <c r="Z32" s="1"/>
    </row>
    <row r="33" customHeight="1" spans="1:26">
      <c r="A33" s="62"/>
      <c r="B33" s="1"/>
      <c r="C33" s="1"/>
      <c r="D33" s="1"/>
      <c r="E33" s="1"/>
      <c r="F33" s="1"/>
      <c r="G33" s="1"/>
      <c r="H33" s="1"/>
      <c r="I33" s="1"/>
      <c r="J33" s="1"/>
      <c r="K33" s="1"/>
      <c r="L33" s="1"/>
      <c r="M33" s="1"/>
      <c r="N33" s="1"/>
      <c r="O33" s="1"/>
      <c r="P33" s="1"/>
      <c r="Q33" s="2"/>
      <c r="R33" s="1"/>
      <c r="S33" s="1"/>
      <c r="T33" s="1"/>
      <c r="U33" s="1"/>
      <c r="V33" s="1"/>
      <c r="W33" s="1"/>
      <c r="X33" s="1"/>
      <c r="Y33" s="1"/>
      <c r="Z33" s="1"/>
    </row>
    <row r="34" customHeight="1" spans="1:26">
      <c r="A34" s="62"/>
      <c r="B34" s="1"/>
      <c r="C34" s="1"/>
      <c r="D34" s="1"/>
      <c r="E34" s="1"/>
      <c r="F34" s="1"/>
      <c r="G34" s="1"/>
      <c r="H34" s="1"/>
      <c r="I34" s="1"/>
      <c r="J34" s="1"/>
      <c r="K34" s="1"/>
      <c r="L34" s="1"/>
      <c r="M34" s="1"/>
      <c r="N34" s="1"/>
      <c r="O34" s="1"/>
      <c r="P34" s="1"/>
      <c r="Q34" s="2"/>
      <c r="R34" s="1"/>
      <c r="S34" s="1"/>
      <c r="T34" s="1"/>
      <c r="U34" s="1"/>
      <c r="V34" s="1"/>
      <c r="W34" s="1"/>
      <c r="X34" s="1"/>
      <c r="Y34" s="1"/>
      <c r="Z34" s="1"/>
    </row>
    <row r="35" customHeight="1" spans="1:26">
      <c r="A35" s="62"/>
      <c r="B35" s="1"/>
      <c r="C35" s="1"/>
      <c r="D35" s="1"/>
      <c r="E35" s="1"/>
      <c r="F35" s="1"/>
      <c r="G35" s="1"/>
      <c r="H35" s="1"/>
      <c r="I35" s="1"/>
      <c r="J35" s="1"/>
      <c r="K35" s="1"/>
      <c r="L35" s="1"/>
      <c r="M35" s="1"/>
      <c r="N35" s="1"/>
      <c r="O35" s="1"/>
      <c r="P35" s="1"/>
      <c r="Q35" s="2"/>
      <c r="R35" s="1"/>
      <c r="S35" s="1"/>
      <c r="T35" s="1"/>
      <c r="U35" s="1"/>
      <c r="V35" s="1"/>
      <c r="W35" s="1"/>
      <c r="X35" s="1"/>
      <c r="Y35" s="1"/>
      <c r="Z35" s="1"/>
    </row>
    <row r="36" customHeight="1" spans="1:26">
      <c r="A36" s="62"/>
      <c r="B36" s="1"/>
      <c r="C36" s="1"/>
      <c r="D36" s="1"/>
      <c r="E36" s="1"/>
      <c r="F36" s="1"/>
      <c r="G36" s="1"/>
      <c r="H36" s="1"/>
      <c r="I36" s="1"/>
      <c r="J36" s="1"/>
      <c r="K36" s="1"/>
      <c r="L36" s="1"/>
      <c r="M36" s="1"/>
      <c r="N36" s="1"/>
      <c r="O36" s="1"/>
      <c r="P36" s="1"/>
      <c r="Q36" s="2"/>
      <c r="R36" s="1"/>
      <c r="S36" s="1"/>
      <c r="T36" s="1"/>
      <c r="U36" s="1"/>
      <c r="V36" s="1"/>
      <c r="W36" s="1"/>
      <c r="X36" s="1"/>
      <c r="Y36" s="1"/>
      <c r="Z36" s="1"/>
    </row>
    <row r="37" customHeight="1" spans="1:26">
      <c r="A37" s="62"/>
      <c r="B37" s="1"/>
      <c r="C37" s="1"/>
      <c r="D37" s="1"/>
      <c r="E37" s="1"/>
      <c r="F37" s="1"/>
      <c r="G37" s="1"/>
      <c r="H37" s="1"/>
      <c r="I37" s="1"/>
      <c r="J37" s="1"/>
      <c r="K37" s="1"/>
      <c r="L37" s="1"/>
      <c r="M37" s="1"/>
      <c r="N37" s="1"/>
      <c r="O37" s="1"/>
      <c r="P37" s="1"/>
      <c r="Q37" s="2"/>
      <c r="R37" s="1"/>
      <c r="S37" s="1"/>
      <c r="T37" s="1"/>
      <c r="U37" s="1"/>
      <c r="V37" s="1"/>
      <c r="W37" s="1"/>
      <c r="X37" s="1"/>
      <c r="Y37" s="1"/>
      <c r="Z37" s="1"/>
    </row>
    <row r="38" customHeight="1" spans="1:26">
      <c r="A38" s="62"/>
      <c r="B38" s="1"/>
      <c r="C38" s="1"/>
      <c r="D38" s="1"/>
      <c r="E38" s="1"/>
      <c r="F38" s="1"/>
      <c r="G38" s="1"/>
      <c r="H38" s="1"/>
      <c r="I38" s="1"/>
      <c r="J38" s="1"/>
      <c r="K38" s="1"/>
      <c r="L38" s="1"/>
      <c r="M38" s="1"/>
      <c r="N38" s="1"/>
      <c r="O38" s="1"/>
      <c r="P38" s="1"/>
      <c r="Q38" s="2"/>
      <c r="R38" s="1"/>
      <c r="S38" s="1"/>
      <c r="T38" s="1"/>
      <c r="U38" s="1"/>
      <c r="V38" s="1"/>
      <c r="W38" s="1"/>
      <c r="X38" s="1"/>
      <c r="Y38" s="1"/>
      <c r="Z38" s="1"/>
    </row>
    <row r="39" customHeight="1" spans="1:26">
      <c r="A39" s="62"/>
      <c r="B39" s="1"/>
      <c r="C39" s="1"/>
      <c r="D39" s="1"/>
      <c r="E39" s="1"/>
      <c r="F39" s="1"/>
      <c r="G39" s="1"/>
      <c r="H39" s="1"/>
      <c r="I39" s="1"/>
      <c r="J39" s="1"/>
      <c r="K39" s="1"/>
      <c r="L39" s="1"/>
      <c r="M39" s="1"/>
      <c r="N39" s="1"/>
      <c r="O39" s="1"/>
      <c r="P39" s="1"/>
      <c r="Q39" s="2"/>
      <c r="R39" s="1"/>
      <c r="S39" s="1"/>
      <c r="T39" s="1"/>
      <c r="U39" s="1"/>
      <c r="V39" s="1"/>
      <c r="W39" s="1"/>
      <c r="X39" s="1"/>
      <c r="Y39" s="1"/>
      <c r="Z39" s="1"/>
    </row>
    <row r="40" customHeight="1" spans="1:26">
      <c r="A40" s="62"/>
      <c r="B40" s="1"/>
      <c r="C40" s="1"/>
      <c r="D40" s="1"/>
      <c r="E40" s="1"/>
      <c r="F40" s="1"/>
      <c r="G40" s="1"/>
      <c r="H40" s="1"/>
      <c r="I40" s="1"/>
      <c r="J40" s="1"/>
      <c r="K40" s="1"/>
      <c r="L40" s="1"/>
      <c r="M40" s="1"/>
      <c r="N40" s="1"/>
      <c r="O40" s="1"/>
      <c r="P40" s="1"/>
      <c r="Q40" s="2"/>
      <c r="R40" s="1"/>
      <c r="S40" s="1"/>
      <c r="T40" s="1"/>
      <c r="U40" s="1"/>
      <c r="V40" s="1"/>
      <c r="W40" s="1"/>
      <c r="X40" s="1"/>
      <c r="Y40" s="1"/>
      <c r="Z40" s="1"/>
    </row>
    <row r="41" customHeight="1" spans="1:26">
      <c r="A41" s="62"/>
      <c r="B41" s="1"/>
      <c r="C41" s="1"/>
      <c r="D41" s="1"/>
      <c r="E41" s="1"/>
      <c r="F41" s="1"/>
      <c r="G41" s="1"/>
      <c r="H41" s="1"/>
      <c r="I41" s="1"/>
      <c r="J41" s="1"/>
      <c r="K41" s="1"/>
      <c r="L41" s="1"/>
      <c r="M41" s="1"/>
      <c r="N41" s="1"/>
      <c r="O41" s="1"/>
      <c r="P41" s="1"/>
      <c r="Q41" s="2"/>
      <c r="R41" s="1"/>
      <c r="S41" s="1"/>
      <c r="T41" s="1"/>
      <c r="U41" s="1"/>
      <c r="V41" s="1"/>
      <c r="W41" s="1"/>
      <c r="X41" s="1"/>
      <c r="Y41" s="1"/>
      <c r="Z41" s="1"/>
    </row>
    <row r="42" customHeight="1" spans="1:26">
      <c r="A42" s="62"/>
      <c r="B42" s="1"/>
      <c r="C42" s="1"/>
      <c r="D42" s="1"/>
      <c r="E42" s="1"/>
      <c r="F42" s="1"/>
      <c r="G42" s="1"/>
      <c r="H42" s="1"/>
      <c r="I42" s="1"/>
      <c r="J42" s="1"/>
      <c r="K42" s="1"/>
      <c r="L42" s="1"/>
      <c r="M42" s="1"/>
      <c r="N42" s="1"/>
      <c r="O42" s="1"/>
      <c r="P42" s="1"/>
      <c r="Q42" s="2"/>
      <c r="R42" s="1"/>
      <c r="S42" s="1"/>
      <c r="T42" s="1"/>
      <c r="U42" s="1"/>
      <c r="V42" s="1"/>
      <c r="W42" s="1"/>
      <c r="X42" s="1"/>
      <c r="Y42" s="1"/>
      <c r="Z42" s="1"/>
    </row>
    <row r="43" customHeight="1" spans="1:26">
      <c r="A43" s="62"/>
      <c r="B43" s="1"/>
      <c r="C43" s="1"/>
      <c r="D43" s="1"/>
      <c r="E43" s="1"/>
      <c r="F43" s="1"/>
      <c r="G43" s="1"/>
      <c r="H43" s="1"/>
      <c r="I43" s="1"/>
      <c r="J43" s="1"/>
      <c r="K43" s="1"/>
      <c r="L43" s="1"/>
      <c r="M43" s="1"/>
      <c r="N43" s="1"/>
      <c r="O43" s="1"/>
      <c r="P43" s="1"/>
      <c r="Q43" s="2"/>
      <c r="R43" s="1"/>
      <c r="S43" s="1"/>
      <c r="T43" s="1"/>
      <c r="U43" s="1"/>
      <c r="V43" s="1"/>
      <c r="W43" s="1"/>
      <c r="X43" s="1"/>
      <c r="Y43" s="1"/>
      <c r="Z43" s="1"/>
    </row>
    <row r="44" customHeight="1" spans="1:26">
      <c r="A44" s="62"/>
      <c r="B44" s="1"/>
      <c r="C44" s="1"/>
      <c r="D44" s="1"/>
      <c r="E44" s="1"/>
      <c r="F44" s="1"/>
      <c r="G44" s="1"/>
      <c r="H44" s="1"/>
      <c r="I44" s="1"/>
      <c r="J44" s="1"/>
      <c r="K44" s="1"/>
      <c r="L44" s="1"/>
      <c r="M44" s="1"/>
      <c r="N44" s="1"/>
      <c r="O44" s="1"/>
      <c r="P44" s="1"/>
      <c r="Q44" s="2"/>
      <c r="R44" s="1"/>
      <c r="S44" s="1"/>
      <c r="T44" s="1"/>
      <c r="U44" s="1"/>
      <c r="V44" s="1"/>
      <c r="W44" s="1"/>
      <c r="X44" s="1"/>
      <c r="Y44" s="1"/>
      <c r="Z44" s="1"/>
    </row>
    <row r="45" customHeight="1" spans="1:26">
      <c r="A45" s="62"/>
      <c r="B45" s="1"/>
      <c r="C45" s="1"/>
      <c r="D45" s="1"/>
      <c r="E45" s="1"/>
      <c r="F45" s="1"/>
      <c r="G45" s="1"/>
      <c r="H45" s="1"/>
      <c r="I45" s="1"/>
      <c r="J45" s="1"/>
      <c r="K45" s="1"/>
      <c r="L45" s="1"/>
      <c r="M45" s="1"/>
      <c r="N45" s="1"/>
      <c r="O45" s="1"/>
      <c r="P45" s="1"/>
      <c r="Q45" s="2"/>
      <c r="R45" s="1"/>
      <c r="S45" s="1"/>
      <c r="T45" s="1"/>
      <c r="U45" s="1"/>
      <c r="V45" s="1"/>
      <c r="W45" s="1"/>
      <c r="X45" s="1"/>
      <c r="Y45" s="1"/>
      <c r="Z45" s="1"/>
    </row>
    <row r="46" customHeight="1" spans="1:26">
      <c r="A46" s="62"/>
      <c r="B46" s="1"/>
      <c r="C46" s="1"/>
      <c r="D46" s="1"/>
      <c r="E46" s="1"/>
      <c r="F46" s="1"/>
      <c r="G46" s="1"/>
      <c r="H46" s="1"/>
      <c r="I46" s="1"/>
      <c r="J46" s="1"/>
      <c r="K46" s="1"/>
      <c r="L46" s="1"/>
      <c r="M46" s="1"/>
      <c r="N46" s="1"/>
      <c r="O46" s="1"/>
      <c r="P46" s="1"/>
      <c r="Q46" s="2"/>
      <c r="R46" s="1"/>
      <c r="S46" s="1"/>
      <c r="T46" s="1"/>
      <c r="U46" s="1"/>
      <c r="V46" s="1"/>
      <c r="W46" s="1"/>
      <c r="X46" s="1"/>
      <c r="Y46" s="1"/>
      <c r="Z46" s="1"/>
    </row>
    <row r="47" customHeight="1" spans="1:26">
      <c r="A47" s="62"/>
      <c r="B47" s="1"/>
      <c r="C47" s="1"/>
      <c r="D47" s="1"/>
      <c r="E47" s="1"/>
      <c r="F47" s="1"/>
      <c r="G47" s="1"/>
      <c r="H47" s="1"/>
      <c r="I47" s="1"/>
      <c r="J47" s="1"/>
      <c r="K47" s="1"/>
      <c r="L47" s="1"/>
      <c r="M47" s="1"/>
      <c r="N47" s="1"/>
      <c r="O47" s="1"/>
      <c r="P47" s="1"/>
      <c r="Q47" s="2"/>
      <c r="R47" s="1"/>
      <c r="S47" s="1"/>
      <c r="T47" s="1"/>
      <c r="U47" s="1"/>
      <c r="V47" s="1"/>
      <c r="W47" s="1"/>
      <c r="X47" s="1"/>
      <c r="Y47" s="1"/>
      <c r="Z47" s="1"/>
    </row>
    <row r="48" customHeight="1" spans="1:26">
      <c r="A48" s="62"/>
      <c r="B48" s="1"/>
      <c r="C48" s="1"/>
      <c r="D48" s="1"/>
      <c r="E48" s="1"/>
      <c r="F48" s="1"/>
      <c r="G48" s="1"/>
      <c r="H48" s="1"/>
      <c r="I48" s="1"/>
      <c r="J48" s="1"/>
      <c r="K48" s="1"/>
      <c r="L48" s="1"/>
      <c r="M48" s="1"/>
      <c r="N48" s="1"/>
      <c r="O48" s="1"/>
      <c r="P48" s="1"/>
      <c r="Q48" s="2"/>
      <c r="R48" s="1"/>
      <c r="S48" s="1"/>
      <c r="T48" s="1"/>
      <c r="U48" s="1"/>
      <c r="V48" s="1"/>
      <c r="W48" s="1"/>
      <c r="X48" s="1"/>
      <c r="Y48" s="1"/>
      <c r="Z48" s="1"/>
    </row>
    <row r="49" customHeight="1" spans="1:26">
      <c r="A49" s="62"/>
      <c r="B49" s="1"/>
      <c r="C49" s="1"/>
      <c r="D49" s="1"/>
      <c r="E49" s="1"/>
      <c r="F49" s="1"/>
      <c r="G49" s="1"/>
      <c r="H49" s="1"/>
      <c r="I49" s="1"/>
      <c r="J49" s="1"/>
      <c r="K49" s="1"/>
      <c r="L49" s="1"/>
      <c r="M49" s="1"/>
      <c r="N49" s="1"/>
      <c r="O49" s="1"/>
      <c r="P49" s="1"/>
      <c r="Q49" s="2"/>
      <c r="R49" s="1"/>
      <c r="S49" s="1"/>
      <c r="T49" s="1"/>
      <c r="U49" s="1"/>
      <c r="V49" s="1"/>
      <c r="W49" s="1"/>
      <c r="X49" s="1"/>
      <c r="Y49" s="1"/>
      <c r="Z49" s="1"/>
    </row>
    <row r="50" customHeight="1" spans="1:26">
      <c r="A50" s="62"/>
      <c r="B50" s="1"/>
      <c r="C50" s="1"/>
      <c r="D50" s="1"/>
      <c r="E50" s="1"/>
      <c r="F50" s="1"/>
      <c r="G50" s="1"/>
      <c r="H50" s="1"/>
      <c r="I50" s="1"/>
      <c r="J50" s="1"/>
      <c r="K50" s="1"/>
      <c r="L50" s="1"/>
      <c r="M50" s="1"/>
      <c r="N50" s="1"/>
      <c r="O50" s="1"/>
      <c r="P50" s="1"/>
      <c r="Q50" s="2"/>
      <c r="R50" s="1"/>
      <c r="S50" s="1"/>
      <c r="T50" s="1"/>
      <c r="U50" s="1"/>
      <c r="V50" s="1"/>
      <c r="W50" s="1"/>
      <c r="X50" s="1"/>
      <c r="Y50" s="1"/>
      <c r="Z50" s="1"/>
    </row>
    <row r="51" customHeight="1" spans="1:26">
      <c r="A51" s="62"/>
      <c r="B51" s="1"/>
      <c r="C51" s="1"/>
      <c r="D51" s="1"/>
      <c r="E51" s="1"/>
      <c r="F51" s="1"/>
      <c r="G51" s="1"/>
      <c r="H51" s="1"/>
      <c r="I51" s="1"/>
      <c r="J51" s="1"/>
      <c r="K51" s="1"/>
      <c r="L51" s="1"/>
      <c r="M51" s="1"/>
      <c r="N51" s="1"/>
      <c r="O51" s="1"/>
      <c r="P51" s="1"/>
      <c r="Q51" s="2"/>
      <c r="R51" s="1"/>
      <c r="S51" s="1"/>
      <c r="T51" s="1"/>
      <c r="U51" s="1"/>
      <c r="V51" s="1"/>
      <c r="W51" s="1"/>
      <c r="X51" s="1"/>
      <c r="Y51" s="1"/>
      <c r="Z51" s="1"/>
    </row>
    <row r="52" customHeight="1" spans="1:26">
      <c r="A52" s="62"/>
      <c r="B52" s="1"/>
      <c r="C52" s="1"/>
      <c r="D52" s="1"/>
      <c r="E52" s="1"/>
      <c r="F52" s="1"/>
      <c r="G52" s="1"/>
      <c r="H52" s="1"/>
      <c r="I52" s="1"/>
      <c r="J52" s="1"/>
      <c r="K52" s="1"/>
      <c r="L52" s="1"/>
      <c r="M52" s="1"/>
      <c r="N52" s="1"/>
      <c r="O52" s="1"/>
      <c r="P52" s="1"/>
      <c r="Q52" s="2"/>
      <c r="R52" s="1"/>
      <c r="S52" s="1"/>
      <c r="T52" s="1"/>
      <c r="U52" s="1"/>
      <c r="V52" s="1"/>
      <c r="W52" s="1"/>
      <c r="X52" s="1"/>
      <c r="Y52" s="1"/>
      <c r="Z52" s="1"/>
    </row>
    <row r="53" customHeight="1" spans="1:26">
      <c r="A53" s="62"/>
      <c r="B53" s="1"/>
      <c r="C53" s="1"/>
      <c r="D53" s="1"/>
      <c r="E53" s="1"/>
      <c r="F53" s="1"/>
      <c r="G53" s="1"/>
      <c r="H53" s="1"/>
      <c r="I53" s="1"/>
      <c r="J53" s="1"/>
      <c r="K53" s="1"/>
      <c r="L53" s="1"/>
      <c r="M53" s="1"/>
      <c r="N53" s="1"/>
      <c r="O53" s="1"/>
      <c r="P53" s="1"/>
      <c r="Q53" s="2"/>
      <c r="R53" s="1"/>
      <c r="S53" s="1"/>
      <c r="T53" s="1"/>
      <c r="U53" s="1"/>
      <c r="V53" s="1"/>
      <c r="W53" s="1"/>
      <c r="X53" s="1"/>
      <c r="Y53" s="1"/>
      <c r="Z53" s="1"/>
    </row>
    <row r="54" customHeight="1" spans="1:26">
      <c r="A54" s="62"/>
      <c r="B54" s="1"/>
      <c r="C54" s="1"/>
      <c r="D54" s="1"/>
      <c r="E54" s="1"/>
      <c r="F54" s="1"/>
      <c r="G54" s="1"/>
      <c r="H54" s="1"/>
      <c r="I54" s="1"/>
      <c r="J54" s="1"/>
      <c r="K54" s="1"/>
      <c r="L54" s="1"/>
      <c r="M54" s="1"/>
      <c r="N54" s="1"/>
      <c r="O54" s="1"/>
      <c r="P54" s="1"/>
      <c r="Q54" s="2"/>
      <c r="R54" s="1"/>
      <c r="S54" s="1"/>
      <c r="T54" s="1"/>
      <c r="U54" s="1"/>
      <c r="V54" s="1"/>
      <c r="W54" s="1"/>
      <c r="X54" s="1"/>
      <c r="Y54" s="1"/>
      <c r="Z54" s="1"/>
    </row>
    <row r="55" customHeight="1" spans="1:26">
      <c r="A55" s="62"/>
      <c r="B55" s="1"/>
      <c r="C55" s="1"/>
      <c r="D55" s="1"/>
      <c r="E55" s="1"/>
      <c r="F55" s="1"/>
      <c r="G55" s="1"/>
      <c r="H55" s="1"/>
      <c r="I55" s="1"/>
      <c r="J55" s="1"/>
      <c r="K55" s="1"/>
      <c r="L55" s="1"/>
      <c r="M55" s="1"/>
      <c r="N55" s="1"/>
      <c r="O55" s="1"/>
      <c r="P55" s="1"/>
      <c r="Q55" s="2"/>
      <c r="R55" s="1"/>
      <c r="S55" s="1"/>
      <c r="T55" s="1"/>
      <c r="U55" s="1"/>
      <c r="V55" s="1"/>
      <c r="W55" s="1"/>
      <c r="X55" s="1"/>
      <c r="Y55" s="1"/>
      <c r="Z55" s="1"/>
    </row>
    <row r="56" customHeight="1" spans="1:26">
      <c r="A56" s="62"/>
      <c r="B56" s="1"/>
      <c r="C56" s="1"/>
      <c r="D56" s="1"/>
      <c r="E56" s="1"/>
      <c r="F56" s="1"/>
      <c r="G56" s="1"/>
      <c r="H56" s="1"/>
      <c r="I56" s="1"/>
      <c r="J56" s="1"/>
      <c r="K56" s="1"/>
      <c r="L56" s="1"/>
      <c r="M56" s="1"/>
      <c r="N56" s="1"/>
      <c r="O56" s="1"/>
      <c r="P56" s="1"/>
      <c r="Q56" s="2"/>
      <c r="R56" s="1"/>
      <c r="S56" s="1"/>
      <c r="T56" s="1"/>
      <c r="U56" s="1"/>
      <c r="V56" s="1"/>
      <c r="W56" s="1"/>
      <c r="X56" s="1"/>
      <c r="Y56" s="1"/>
      <c r="Z56" s="1"/>
    </row>
    <row r="57" customHeight="1" spans="1:26">
      <c r="A57" s="62"/>
      <c r="B57" s="1"/>
      <c r="C57" s="1"/>
      <c r="D57" s="1"/>
      <c r="E57" s="1"/>
      <c r="F57" s="1"/>
      <c r="G57" s="1"/>
      <c r="H57" s="1"/>
      <c r="I57" s="1"/>
      <c r="J57" s="1"/>
      <c r="K57" s="1"/>
      <c r="L57" s="1"/>
      <c r="M57" s="1"/>
      <c r="N57" s="1"/>
      <c r="O57" s="1"/>
      <c r="P57" s="1"/>
      <c r="Q57" s="2"/>
      <c r="R57" s="1"/>
      <c r="S57" s="1"/>
      <c r="T57" s="1"/>
      <c r="U57" s="1"/>
      <c r="V57" s="1"/>
      <c r="W57" s="1"/>
      <c r="X57" s="1"/>
      <c r="Y57" s="1"/>
      <c r="Z57" s="1"/>
    </row>
    <row r="58" customHeight="1" spans="1:26">
      <c r="A58" s="62"/>
      <c r="B58" s="1"/>
      <c r="C58" s="1"/>
      <c r="D58" s="1"/>
      <c r="E58" s="1"/>
      <c r="F58" s="1"/>
      <c r="G58" s="1"/>
      <c r="H58" s="1"/>
      <c r="I58" s="1"/>
      <c r="J58" s="1"/>
      <c r="K58" s="1"/>
      <c r="L58" s="1"/>
      <c r="M58" s="1"/>
      <c r="N58" s="1"/>
      <c r="O58" s="1"/>
      <c r="P58" s="1"/>
      <c r="Q58" s="2"/>
      <c r="R58" s="1"/>
      <c r="S58" s="1"/>
      <c r="T58" s="1"/>
      <c r="U58" s="1"/>
      <c r="V58" s="1"/>
      <c r="W58" s="1"/>
      <c r="X58" s="1"/>
      <c r="Y58" s="1"/>
      <c r="Z58" s="1"/>
    </row>
    <row r="59" customHeight="1" spans="1:26">
      <c r="A59" s="62"/>
      <c r="B59" s="1"/>
      <c r="C59" s="1"/>
      <c r="D59" s="1"/>
      <c r="E59" s="1"/>
      <c r="F59" s="1"/>
      <c r="G59" s="1"/>
      <c r="H59" s="1"/>
      <c r="I59" s="1"/>
      <c r="J59" s="1"/>
      <c r="K59" s="1"/>
      <c r="L59" s="1"/>
      <c r="M59" s="1"/>
      <c r="N59" s="1"/>
      <c r="O59" s="1"/>
      <c r="P59" s="1"/>
      <c r="Q59" s="2"/>
      <c r="R59" s="1"/>
      <c r="S59" s="1"/>
      <c r="T59" s="1"/>
      <c r="U59" s="1"/>
      <c r="V59" s="1"/>
      <c r="W59" s="1"/>
      <c r="X59" s="1"/>
      <c r="Y59" s="1"/>
      <c r="Z59" s="1"/>
    </row>
    <row r="60" customHeight="1" spans="1:26">
      <c r="A60" s="62"/>
      <c r="B60" s="1"/>
      <c r="C60" s="1"/>
      <c r="D60" s="1"/>
      <c r="E60" s="1"/>
      <c r="F60" s="1"/>
      <c r="G60" s="1"/>
      <c r="H60" s="1"/>
      <c r="I60" s="1"/>
      <c r="J60" s="1"/>
      <c r="K60" s="1"/>
      <c r="L60" s="1"/>
      <c r="M60" s="1"/>
      <c r="N60" s="1"/>
      <c r="O60" s="1"/>
      <c r="P60" s="1"/>
      <c r="Q60" s="2"/>
      <c r="R60" s="1"/>
      <c r="S60" s="1"/>
      <c r="T60" s="1"/>
      <c r="U60" s="1"/>
      <c r="V60" s="1"/>
      <c r="W60" s="1"/>
      <c r="X60" s="1"/>
      <c r="Y60" s="1"/>
      <c r="Z60" s="1"/>
    </row>
    <row r="61" customHeight="1" spans="1:26">
      <c r="A61" s="62"/>
      <c r="B61" s="1"/>
      <c r="C61" s="1"/>
      <c r="D61" s="1"/>
      <c r="E61" s="1"/>
      <c r="F61" s="1"/>
      <c r="G61" s="1"/>
      <c r="H61" s="1"/>
      <c r="I61" s="1"/>
      <c r="J61" s="1"/>
      <c r="K61" s="1"/>
      <c r="L61" s="1"/>
      <c r="M61" s="1"/>
      <c r="N61" s="1"/>
      <c r="O61" s="1"/>
      <c r="P61" s="1"/>
      <c r="Q61" s="2"/>
      <c r="R61" s="1"/>
      <c r="S61" s="1"/>
      <c r="T61" s="1"/>
      <c r="U61" s="1"/>
      <c r="V61" s="1"/>
      <c r="W61" s="1"/>
      <c r="X61" s="1"/>
      <c r="Y61" s="1"/>
      <c r="Z61" s="1"/>
    </row>
    <row r="62" customHeight="1" spans="1:26">
      <c r="A62" s="62"/>
      <c r="B62" s="1"/>
      <c r="C62" s="1"/>
      <c r="D62" s="1"/>
      <c r="E62" s="1"/>
      <c r="F62" s="1"/>
      <c r="G62" s="1"/>
      <c r="H62" s="1"/>
      <c r="I62" s="1"/>
      <c r="J62" s="1"/>
      <c r="K62" s="1"/>
      <c r="L62" s="1"/>
      <c r="M62" s="1"/>
      <c r="N62" s="1"/>
      <c r="O62" s="1"/>
      <c r="P62" s="1"/>
      <c r="Q62" s="2"/>
      <c r="R62" s="1"/>
      <c r="S62" s="1"/>
      <c r="T62" s="1"/>
      <c r="U62" s="1"/>
      <c r="V62" s="1"/>
      <c r="W62" s="1"/>
      <c r="X62" s="1"/>
      <c r="Y62" s="1"/>
      <c r="Z62" s="1"/>
    </row>
    <row r="63" customHeight="1" spans="1:26">
      <c r="A63" s="62"/>
      <c r="B63" s="1"/>
      <c r="C63" s="1"/>
      <c r="D63" s="1"/>
      <c r="E63" s="1"/>
      <c r="F63" s="1"/>
      <c r="G63" s="1"/>
      <c r="H63" s="1"/>
      <c r="I63" s="1"/>
      <c r="J63" s="1"/>
      <c r="K63" s="1"/>
      <c r="L63" s="1"/>
      <c r="M63" s="1"/>
      <c r="N63" s="1"/>
      <c r="O63" s="1"/>
      <c r="P63" s="1"/>
      <c r="Q63" s="2"/>
      <c r="R63" s="1"/>
      <c r="S63" s="1"/>
      <c r="T63" s="1"/>
      <c r="U63" s="1"/>
      <c r="V63" s="1"/>
      <c r="W63" s="1"/>
      <c r="X63" s="1"/>
      <c r="Y63" s="1"/>
      <c r="Z63" s="1"/>
    </row>
    <row r="64" customHeight="1" spans="1:26">
      <c r="A64" s="62"/>
      <c r="B64" s="1"/>
      <c r="C64" s="1"/>
      <c r="D64" s="1"/>
      <c r="E64" s="1"/>
      <c r="F64" s="1"/>
      <c r="G64" s="1"/>
      <c r="H64" s="1"/>
      <c r="I64" s="1"/>
      <c r="J64" s="1"/>
      <c r="K64" s="1"/>
      <c r="L64" s="1"/>
      <c r="M64" s="1"/>
      <c r="N64" s="1"/>
      <c r="O64" s="1"/>
      <c r="P64" s="1"/>
      <c r="Q64" s="2"/>
      <c r="R64" s="1"/>
      <c r="S64" s="1"/>
      <c r="T64" s="1"/>
      <c r="U64" s="1"/>
      <c r="V64" s="1"/>
      <c r="W64" s="1"/>
      <c r="X64" s="1"/>
      <c r="Y64" s="1"/>
      <c r="Z64" s="1"/>
    </row>
    <row r="65" customHeight="1" spans="1:26">
      <c r="A65" s="62"/>
      <c r="B65" s="1"/>
      <c r="C65" s="1"/>
      <c r="D65" s="1"/>
      <c r="E65" s="1"/>
      <c r="F65" s="1"/>
      <c r="G65" s="1"/>
      <c r="H65" s="1"/>
      <c r="I65" s="1"/>
      <c r="J65" s="1"/>
      <c r="K65" s="1"/>
      <c r="L65" s="1"/>
      <c r="M65" s="1"/>
      <c r="N65" s="1"/>
      <c r="O65" s="1"/>
      <c r="P65" s="1"/>
      <c r="Q65" s="2"/>
      <c r="R65" s="1"/>
      <c r="S65" s="1"/>
      <c r="T65" s="1"/>
      <c r="U65" s="1"/>
      <c r="V65" s="1"/>
      <c r="W65" s="1"/>
      <c r="X65" s="1"/>
      <c r="Y65" s="1"/>
      <c r="Z65" s="1"/>
    </row>
    <row r="66" customHeight="1" spans="1:26">
      <c r="A66" s="62"/>
      <c r="B66" s="1"/>
      <c r="C66" s="1"/>
      <c r="D66" s="1"/>
      <c r="E66" s="1"/>
      <c r="F66" s="1"/>
      <c r="G66" s="1"/>
      <c r="H66" s="1"/>
      <c r="I66" s="1"/>
      <c r="J66" s="1"/>
      <c r="K66" s="1"/>
      <c r="L66" s="1"/>
      <c r="M66" s="1"/>
      <c r="N66" s="1"/>
      <c r="O66" s="1"/>
      <c r="P66" s="1"/>
      <c r="Q66" s="2"/>
      <c r="R66" s="1"/>
      <c r="S66" s="1"/>
      <c r="T66" s="1"/>
      <c r="U66" s="1"/>
      <c r="V66" s="1"/>
      <c r="W66" s="1"/>
      <c r="X66" s="1"/>
      <c r="Y66" s="1"/>
      <c r="Z66" s="1"/>
    </row>
    <row r="67" customHeight="1" spans="1:26">
      <c r="A67" s="62"/>
      <c r="B67" s="1"/>
      <c r="C67" s="1"/>
      <c r="D67" s="1"/>
      <c r="E67" s="1"/>
      <c r="F67" s="1"/>
      <c r="G67" s="1"/>
      <c r="H67" s="1"/>
      <c r="I67" s="1"/>
      <c r="J67" s="1"/>
      <c r="K67" s="1"/>
      <c r="L67" s="1"/>
      <c r="M67" s="1"/>
      <c r="N67" s="1"/>
      <c r="O67" s="1"/>
      <c r="P67" s="1"/>
      <c r="Q67" s="2"/>
      <c r="R67" s="1"/>
      <c r="S67" s="1"/>
      <c r="T67" s="1"/>
      <c r="U67" s="1"/>
      <c r="V67" s="1"/>
      <c r="W67" s="1"/>
      <c r="X67" s="1"/>
      <c r="Y67" s="1"/>
      <c r="Z67" s="1"/>
    </row>
    <row r="68" customHeight="1" spans="1:26">
      <c r="A68" s="62"/>
      <c r="B68" s="1"/>
      <c r="C68" s="1"/>
      <c r="D68" s="1"/>
      <c r="E68" s="1"/>
      <c r="F68" s="1"/>
      <c r="G68" s="1"/>
      <c r="H68" s="1"/>
      <c r="I68" s="1"/>
      <c r="J68" s="1"/>
      <c r="K68" s="1"/>
      <c r="L68" s="1"/>
      <c r="M68" s="1"/>
      <c r="N68" s="1"/>
      <c r="O68" s="1"/>
      <c r="P68" s="1"/>
      <c r="Q68" s="2"/>
      <c r="R68" s="1"/>
      <c r="S68" s="1"/>
      <c r="T68" s="1"/>
      <c r="U68" s="1"/>
      <c r="V68" s="1"/>
      <c r="W68" s="1"/>
      <c r="X68" s="1"/>
      <c r="Y68" s="1"/>
      <c r="Z68" s="1"/>
    </row>
    <row r="69" customHeight="1" spans="1:26">
      <c r="A69" s="62"/>
      <c r="B69" s="1"/>
      <c r="C69" s="1"/>
      <c r="D69" s="1"/>
      <c r="E69" s="1"/>
      <c r="F69" s="1"/>
      <c r="G69" s="1"/>
      <c r="H69" s="1"/>
      <c r="I69" s="1"/>
      <c r="J69" s="1"/>
      <c r="K69" s="1"/>
      <c r="L69" s="1"/>
      <c r="M69" s="1"/>
      <c r="N69" s="1"/>
      <c r="O69" s="1"/>
      <c r="P69" s="1"/>
      <c r="Q69" s="2"/>
      <c r="R69" s="1"/>
      <c r="S69" s="1"/>
      <c r="T69" s="1"/>
      <c r="U69" s="1"/>
      <c r="V69" s="1"/>
      <c r="W69" s="1"/>
      <c r="X69" s="1"/>
      <c r="Y69" s="1"/>
      <c r="Z69" s="1"/>
    </row>
    <row r="70" customHeight="1" spans="1:26">
      <c r="A70" s="62"/>
      <c r="B70" s="1"/>
      <c r="C70" s="1"/>
      <c r="D70" s="1"/>
      <c r="E70" s="1"/>
      <c r="F70" s="1"/>
      <c r="G70" s="1"/>
      <c r="H70" s="1"/>
      <c r="I70" s="1"/>
      <c r="J70" s="1"/>
      <c r="K70" s="1"/>
      <c r="L70" s="1"/>
      <c r="M70" s="1"/>
      <c r="N70" s="1"/>
      <c r="O70" s="1"/>
      <c r="P70" s="1"/>
      <c r="Q70" s="2"/>
      <c r="R70" s="1"/>
      <c r="S70" s="1"/>
      <c r="T70" s="1"/>
      <c r="U70" s="1"/>
      <c r="V70" s="1"/>
      <c r="W70" s="1"/>
      <c r="X70" s="1"/>
      <c r="Y70" s="1"/>
      <c r="Z70" s="1"/>
    </row>
    <row r="71" customHeight="1" spans="1:26">
      <c r="A71" s="62"/>
      <c r="B71" s="1"/>
      <c r="C71" s="1"/>
      <c r="D71" s="1"/>
      <c r="E71" s="1"/>
      <c r="F71" s="1"/>
      <c r="G71" s="1"/>
      <c r="H71" s="1"/>
      <c r="I71" s="1"/>
      <c r="J71" s="1"/>
      <c r="K71" s="1"/>
      <c r="L71" s="1"/>
      <c r="M71" s="1"/>
      <c r="N71" s="1"/>
      <c r="O71" s="1"/>
      <c r="P71" s="1"/>
      <c r="Q71" s="2"/>
      <c r="R71" s="1"/>
      <c r="S71" s="1"/>
      <c r="T71" s="1"/>
      <c r="U71" s="1"/>
      <c r="V71" s="1"/>
      <c r="W71" s="1"/>
      <c r="X71" s="1"/>
      <c r="Y71" s="1"/>
      <c r="Z71" s="1"/>
    </row>
    <row r="72" customHeight="1" spans="1:26">
      <c r="A72" s="62"/>
      <c r="B72" s="1"/>
      <c r="C72" s="1"/>
      <c r="D72" s="1"/>
      <c r="E72" s="1"/>
      <c r="F72" s="1"/>
      <c r="G72" s="1"/>
      <c r="H72" s="1"/>
      <c r="I72" s="1"/>
      <c r="J72" s="1"/>
      <c r="K72" s="1"/>
      <c r="L72" s="1"/>
      <c r="M72" s="1"/>
      <c r="N72" s="1"/>
      <c r="O72" s="1"/>
      <c r="P72" s="1"/>
      <c r="Q72" s="2"/>
      <c r="R72" s="1"/>
      <c r="S72" s="1"/>
      <c r="T72" s="1"/>
      <c r="U72" s="1"/>
      <c r="V72" s="1"/>
      <c r="W72" s="1"/>
      <c r="X72" s="1"/>
      <c r="Y72" s="1"/>
      <c r="Z72" s="1"/>
    </row>
    <row r="73" customHeight="1" spans="1:26">
      <c r="A73" s="62"/>
      <c r="B73" s="1"/>
      <c r="C73" s="1"/>
      <c r="D73" s="1"/>
      <c r="E73" s="1"/>
      <c r="F73" s="1"/>
      <c r="G73" s="1"/>
      <c r="H73" s="1"/>
      <c r="I73" s="1"/>
      <c r="J73" s="1"/>
      <c r="K73" s="1"/>
      <c r="L73" s="1"/>
      <c r="M73" s="1"/>
      <c r="N73" s="1"/>
      <c r="O73" s="1"/>
      <c r="P73" s="1"/>
      <c r="Q73" s="2"/>
      <c r="R73" s="1"/>
      <c r="S73" s="1"/>
      <c r="T73" s="1"/>
      <c r="U73" s="1"/>
      <c r="V73" s="1"/>
      <c r="W73" s="1"/>
      <c r="X73" s="1"/>
      <c r="Y73" s="1"/>
      <c r="Z73" s="1"/>
    </row>
    <row r="74" customHeight="1" spans="1:26">
      <c r="A74" s="62"/>
      <c r="B74" s="1"/>
      <c r="C74" s="1"/>
      <c r="D74" s="1"/>
      <c r="E74" s="1"/>
      <c r="F74" s="1"/>
      <c r="G74" s="1"/>
      <c r="H74" s="1"/>
      <c r="I74" s="1"/>
      <c r="J74" s="1"/>
      <c r="K74" s="1"/>
      <c r="L74" s="1"/>
      <c r="M74" s="1"/>
      <c r="N74" s="1"/>
      <c r="O74" s="1"/>
      <c r="P74" s="1"/>
      <c r="Q74" s="2"/>
      <c r="R74" s="1"/>
      <c r="S74" s="1"/>
      <c r="T74" s="1"/>
      <c r="U74" s="1"/>
      <c r="V74" s="1"/>
      <c r="W74" s="1"/>
      <c r="X74" s="1"/>
      <c r="Y74" s="1"/>
      <c r="Z74" s="1"/>
    </row>
    <row r="75" customHeight="1" spans="1:26">
      <c r="A75" s="62"/>
      <c r="B75" s="1"/>
      <c r="C75" s="1"/>
      <c r="D75" s="1"/>
      <c r="E75" s="1"/>
      <c r="F75" s="1"/>
      <c r="G75" s="1"/>
      <c r="H75" s="1"/>
      <c r="I75" s="1"/>
      <c r="J75" s="1"/>
      <c r="K75" s="1"/>
      <c r="L75" s="1"/>
      <c r="M75" s="1"/>
      <c r="N75" s="1"/>
      <c r="O75" s="1"/>
      <c r="P75" s="1"/>
      <c r="Q75" s="2"/>
      <c r="R75" s="1"/>
      <c r="S75" s="1"/>
      <c r="T75" s="1"/>
      <c r="U75" s="1"/>
      <c r="V75" s="1"/>
      <c r="W75" s="1"/>
      <c r="X75" s="1"/>
      <c r="Y75" s="1"/>
      <c r="Z75" s="1"/>
    </row>
    <row r="76" customHeight="1" spans="1:26">
      <c r="A76" s="62"/>
      <c r="B76" s="1"/>
      <c r="C76" s="1"/>
      <c r="D76" s="1"/>
      <c r="E76" s="1"/>
      <c r="F76" s="1"/>
      <c r="G76" s="1"/>
      <c r="H76" s="1"/>
      <c r="I76" s="1"/>
      <c r="J76" s="1"/>
      <c r="K76" s="1"/>
      <c r="L76" s="1"/>
      <c r="M76" s="1"/>
      <c r="N76" s="1"/>
      <c r="O76" s="1"/>
      <c r="P76" s="1"/>
      <c r="Q76" s="2"/>
      <c r="R76" s="1"/>
      <c r="S76" s="1"/>
      <c r="T76" s="1"/>
      <c r="U76" s="1"/>
      <c r="V76" s="1"/>
      <c r="W76" s="1"/>
      <c r="X76" s="1"/>
      <c r="Y76" s="1"/>
      <c r="Z76" s="1"/>
    </row>
    <row r="77" customHeight="1" spans="1:26">
      <c r="A77" s="62"/>
      <c r="B77" s="1"/>
      <c r="C77" s="1"/>
      <c r="D77" s="1"/>
      <c r="E77" s="1"/>
      <c r="F77" s="1"/>
      <c r="G77" s="1"/>
      <c r="H77" s="1"/>
      <c r="I77" s="1"/>
      <c r="J77" s="1"/>
      <c r="K77" s="1"/>
      <c r="L77" s="1"/>
      <c r="M77" s="1"/>
      <c r="N77" s="1"/>
      <c r="O77" s="1"/>
      <c r="P77" s="1"/>
      <c r="Q77" s="2"/>
      <c r="R77" s="1"/>
      <c r="S77" s="1"/>
      <c r="T77" s="1"/>
      <c r="U77" s="1"/>
      <c r="V77" s="1"/>
      <c r="W77" s="1"/>
      <c r="X77" s="1"/>
      <c r="Y77" s="1"/>
      <c r="Z77" s="1"/>
    </row>
    <row r="78" customHeight="1" spans="1:26">
      <c r="A78" s="62"/>
      <c r="B78" s="1"/>
      <c r="C78" s="1"/>
      <c r="D78" s="1"/>
      <c r="E78" s="1"/>
      <c r="F78" s="1"/>
      <c r="G78" s="1"/>
      <c r="H78" s="1"/>
      <c r="I78" s="1"/>
      <c r="J78" s="1"/>
      <c r="K78" s="1"/>
      <c r="L78" s="1"/>
      <c r="M78" s="1"/>
      <c r="N78" s="1"/>
      <c r="O78" s="1"/>
      <c r="P78" s="1"/>
      <c r="Q78" s="2"/>
      <c r="R78" s="1"/>
      <c r="S78" s="1"/>
      <c r="T78" s="1"/>
      <c r="U78" s="1"/>
      <c r="V78" s="1"/>
      <c r="W78" s="1"/>
      <c r="X78" s="1"/>
      <c r="Y78" s="1"/>
      <c r="Z78" s="1"/>
    </row>
    <row r="79" customHeight="1" spans="1:26">
      <c r="A79" s="62"/>
      <c r="B79" s="1"/>
      <c r="C79" s="1"/>
      <c r="D79" s="1"/>
      <c r="E79" s="1"/>
      <c r="F79" s="1"/>
      <c r="G79" s="1"/>
      <c r="H79" s="1"/>
      <c r="I79" s="1"/>
      <c r="J79" s="1"/>
      <c r="K79" s="1"/>
      <c r="L79" s="1"/>
      <c r="M79" s="1"/>
      <c r="N79" s="1"/>
      <c r="O79" s="1"/>
      <c r="P79" s="1"/>
      <c r="Q79" s="2"/>
      <c r="R79" s="1"/>
      <c r="S79" s="1"/>
      <c r="T79" s="1"/>
      <c r="U79" s="1"/>
      <c r="V79" s="1"/>
      <c r="W79" s="1"/>
      <c r="X79" s="1"/>
      <c r="Y79" s="1"/>
      <c r="Z79" s="1"/>
    </row>
    <row r="80" customHeight="1" spans="1:26">
      <c r="A80" s="62"/>
      <c r="B80" s="1"/>
      <c r="C80" s="1"/>
      <c r="D80" s="1"/>
      <c r="E80" s="1"/>
      <c r="F80" s="1"/>
      <c r="G80" s="1"/>
      <c r="H80" s="1"/>
      <c r="I80" s="1"/>
      <c r="J80" s="1"/>
      <c r="K80" s="1"/>
      <c r="L80" s="1"/>
      <c r="M80" s="1"/>
      <c r="N80" s="1"/>
      <c r="O80" s="1"/>
      <c r="P80" s="1"/>
      <c r="Q80" s="2"/>
      <c r="R80" s="1"/>
      <c r="S80" s="1"/>
      <c r="T80" s="1"/>
      <c r="U80" s="1"/>
      <c r="V80" s="1"/>
      <c r="W80" s="1"/>
      <c r="X80" s="1"/>
      <c r="Y80" s="1"/>
      <c r="Z80" s="1"/>
    </row>
    <row r="81" customHeight="1" spans="1:26">
      <c r="A81" s="62"/>
      <c r="B81" s="1"/>
      <c r="C81" s="1"/>
      <c r="D81" s="1"/>
      <c r="E81" s="1"/>
      <c r="F81" s="1"/>
      <c r="G81" s="1"/>
      <c r="H81" s="1"/>
      <c r="I81" s="1"/>
      <c r="J81" s="1"/>
      <c r="K81" s="1"/>
      <c r="L81" s="1"/>
      <c r="M81" s="1"/>
      <c r="N81" s="1"/>
      <c r="O81" s="1"/>
      <c r="P81" s="1"/>
      <c r="Q81" s="2"/>
      <c r="R81" s="1"/>
      <c r="S81" s="1"/>
      <c r="T81" s="1"/>
      <c r="U81" s="1"/>
      <c r="V81" s="1"/>
      <c r="W81" s="1"/>
      <c r="X81" s="1"/>
      <c r="Y81" s="1"/>
      <c r="Z81" s="1"/>
    </row>
    <row r="82" customHeight="1" spans="1:26">
      <c r="A82" s="62"/>
      <c r="B82" s="1"/>
      <c r="C82" s="1"/>
      <c r="D82" s="1"/>
      <c r="E82" s="1"/>
      <c r="F82" s="1"/>
      <c r="G82" s="1"/>
      <c r="H82" s="1"/>
      <c r="I82" s="1"/>
      <c r="J82" s="1"/>
      <c r="K82" s="1"/>
      <c r="L82" s="1"/>
      <c r="M82" s="1"/>
      <c r="N82" s="1"/>
      <c r="O82" s="1"/>
      <c r="P82" s="1"/>
      <c r="Q82" s="2"/>
      <c r="R82" s="1"/>
      <c r="S82" s="1"/>
      <c r="T82" s="1"/>
      <c r="U82" s="1"/>
      <c r="V82" s="1"/>
      <c r="W82" s="1"/>
      <c r="X82" s="1"/>
      <c r="Y82" s="1"/>
      <c r="Z82" s="1"/>
    </row>
    <row r="83" customHeight="1" spans="1:26">
      <c r="A83" s="62"/>
      <c r="B83" s="1"/>
      <c r="C83" s="1"/>
      <c r="D83" s="1"/>
      <c r="E83" s="1"/>
      <c r="F83" s="1"/>
      <c r="G83" s="1"/>
      <c r="H83" s="1"/>
      <c r="I83" s="1"/>
      <c r="J83" s="1"/>
      <c r="K83" s="1"/>
      <c r="L83" s="1"/>
      <c r="M83" s="1"/>
      <c r="N83" s="1"/>
      <c r="O83" s="1"/>
      <c r="P83" s="1"/>
      <c r="Q83" s="2"/>
      <c r="R83" s="1"/>
      <c r="S83" s="1"/>
      <c r="T83" s="1"/>
      <c r="U83" s="1"/>
      <c r="V83" s="1"/>
      <c r="W83" s="1"/>
      <c r="X83" s="1"/>
      <c r="Y83" s="1"/>
      <c r="Z83" s="1"/>
    </row>
    <row r="84" customHeight="1" spans="1:26">
      <c r="A84" s="62"/>
      <c r="B84" s="1"/>
      <c r="C84" s="1"/>
      <c r="D84" s="1"/>
      <c r="E84" s="1"/>
      <c r="F84" s="1"/>
      <c r="G84" s="1"/>
      <c r="H84" s="1"/>
      <c r="I84" s="1"/>
      <c r="J84" s="1"/>
      <c r="K84" s="1"/>
      <c r="L84" s="1"/>
      <c r="M84" s="1"/>
      <c r="N84" s="1"/>
      <c r="O84" s="1"/>
      <c r="P84" s="1"/>
      <c r="Q84" s="2"/>
      <c r="R84" s="1"/>
      <c r="S84" s="1"/>
      <c r="T84" s="1"/>
      <c r="U84" s="1"/>
      <c r="V84" s="1"/>
      <c r="W84" s="1"/>
      <c r="X84" s="1"/>
      <c r="Y84" s="1"/>
      <c r="Z84" s="1"/>
    </row>
    <row r="85" customHeight="1" spans="1:26">
      <c r="A85" s="62"/>
      <c r="B85" s="1"/>
      <c r="C85" s="1"/>
      <c r="D85" s="1"/>
      <c r="E85" s="1"/>
      <c r="F85" s="1"/>
      <c r="G85" s="1"/>
      <c r="H85" s="1"/>
      <c r="I85" s="1"/>
      <c r="J85" s="1"/>
      <c r="K85" s="1"/>
      <c r="L85" s="1"/>
      <c r="M85" s="1"/>
      <c r="N85" s="1"/>
      <c r="O85" s="1"/>
      <c r="P85" s="1"/>
      <c r="Q85" s="2"/>
      <c r="R85" s="1"/>
      <c r="S85" s="1"/>
      <c r="T85" s="1"/>
      <c r="U85" s="1"/>
      <c r="V85" s="1"/>
      <c r="W85" s="1"/>
      <c r="X85" s="1"/>
      <c r="Y85" s="1"/>
      <c r="Z85" s="1"/>
    </row>
    <row r="86" customHeight="1" spans="1:26">
      <c r="A86" s="62"/>
      <c r="B86" s="1"/>
      <c r="C86" s="1"/>
      <c r="D86" s="1"/>
      <c r="E86" s="1"/>
      <c r="F86" s="1"/>
      <c r="G86" s="1"/>
      <c r="H86" s="1"/>
      <c r="I86" s="1"/>
      <c r="J86" s="1"/>
      <c r="K86" s="1"/>
      <c r="L86" s="1"/>
      <c r="M86" s="1"/>
      <c r="N86" s="1"/>
      <c r="O86" s="1"/>
      <c r="P86" s="1"/>
      <c r="Q86" s="2"/>
      <c r="R86" s="1"/>
      <c r="S86" s="1"/>
      <c r="T86" s="1"/>
      <c r="U86" s="1"/>
      <c r="V86" s="1"/>
      <c r="W86" s="1"/>
      <c r="X86" s="1"/>
      <c r="Y86" s="1"/>
      <c r="Z86" s="1"/>
    </row>
    <row r="87" customHeight="1" spans="1:26">
      <c r="A87" s="62"/>
      <c r="B87" s="1"/>
      <c r="C87" s="1"/>
      <c r="D87" s="1"/>
      <c r="E87" s="1"/>
      <c r="F87" s="1"/>
      <c r="G87" s="1"/>
      <c r="H87" s="1"/>
      <c r="I87" s="1"/>
      <c r="J87" s="1"/>
      <c r="K87" s="1"/>
      <c r="L87" s="1"/>
      <c r="M87" s="1"/>
      <c r="N87" s="1"/>
      <c r="O87" s="1"/>
      <c r="P87" s="1"/>
      <c r="Q87" s="2"/>
      <c r="R87" s="1"/>
      <c r="S87" s="1"/>
      <c r="T87" s="1"/>
      <c r="U87" s="1"/>
      <c r="V87" s="1"/>
      <c r="W87" s="1"/>
      <c r="X87" s="1"/>
      <c r="Y87" s="1"/>
      <c r="Z87" s="1"/>
    </row>
    <row r="88" customHeight="1" spans="1:26">
      <c r="A88" s="62"/>
      <c r="B88" s="1"/>
      <c r="C88" s="1"/>
      <c r="D88" s="1"/>
      <c r="E88" s="1"/>
      <c r="F88" s="1"/>
      <c r="G88" s="1"/>
      <c r="H88" s="1"/>
      <c r="I88" s="1"/>
      <c r="J88" s="1"/>
      <c r="K88" s="1"/>
      <c r="L88" s="1"/>
      <c r="M88" s="1"/>
      <c r="N88" s="1"/>
      <c r="O88" s="1"/>
      <c r="P88" s="1"/>
      <c r="Q88" s="2"/>
      <c r="R88" s="1"/>
      <c r="S88" s="1"/>
      <c r="T88" s="1"/>
      <c r="U88" s="1"/>
      <c r="V88" s="1"/>
      <c r="W88" s="1"/>
      <c r="X88" s="1"/>
      <c r="Y88" s="1"/>
      <c r="Z88" s="1"/>
    </row>
    <row r="89" customHeight="1" spans="1:26">
      <c r="A89" s="62"/>
      <c r="B89" s="1"/>
      <c r="C89" s="1"/>
      <c r="D89" s="1"/>
      <c r="E89" s="1"/>
      <c r="F89" s="1"/>
      <c r="G89" s="1"/>
      <c r="H89" s="1"/>
      <c r="I89" s="1"/>
      <c r="J89" s="1"/>
      <c r="K89" s="1"/>
      <c r="L89" s="1"/>
      <c r="M89" s="1"/>
      <c r="N89" s="1"/>
      <c r="O89" s="1"/>
      <c r="P89" s="1"/>
      <c r="Q89" s="2"/>
      <c r="R89" s="1"/>
      <c r="S89" s="1"/>
      <c r="T89" s="1"/>
      <c r="U89" s="1"/>
      <c r="V89" s="1"/>
      <c r="W89" s="1"/>
      <c r="X89" s="1"/>
      <c r="Y89" s="1"/>
      <c r="Z89" s="1"/>
    </row>
    <row r="90" customHeight="1" spans="1:26">
      <c r="A90" s="62"/>
      <c r="B90" s="1"/>
      <c r="C90" s="1"/>
      <c r="D90" s="1"/>
      <c r="E90" s="1"/>
      <c r="F90" s="1"/>
      <c r="G90" s="1"/>
      <c r="H90" s="1"/>
      <c r="I90" s="1"/>
      <c r="J90" s="1"/>
      <c r="K90" s="1"/>
      <c r="L90" s="1"/>
      <c r="M90" s="1"/>
      <c r="N90" s="1"/>
      <c r="O90" s="1"/>
      <c r="P90" s="1"/>
      <c r="Q90" s="2"/>
      <c r="R90" s="1"/>
      <c r="S90" s="1"/>
      <c r="T90" s="1"/>
      <c r="U90" s="1"/>
      <c r="V90" s="1"/>
      <c r="W90" s="1"/>
      <c r="X90" s="1"/>
      <c r="Y90" s="1"/>
      <c r="Z90" s="1"/>
    </row>
    <row r="91" customHeight="1" spans="1:26">
      <c r="A91" s="62"/>
      <c r="B91" s="1"/>
      <c r="C91" s="1"/>
      <c r="D91" s="1"/>
      <c r="E91" s="1"/>
      <c r="F91" s="1"/>
      <c r="G91" s="1"/>
      <c r="H91" s="1"/>
      <c r="I91" s="1"/>
      <c r="J91" s="1"/>
      <c r="K91" s="1"/>
      <c r="L91" s="1"/>
      <c r="M91" s="1"/>
      <c r="N91" s="1"/>
      <c r="O91" s="1"/>
      <c r="P91" s="1"/>
      <c r="Q91" s="2"/>
      <c r="R91" s="1"/>
      <c r="S91" s="1"/>
      <c r="T91" s="1"/>
      <c r="U91" s="1"/>
      <c r="V91" s="1"/>
      <c r="W91" s="1"/>
      <c r="X91" s="1"/>
      <c r="Y91" s="1"/>
      <c r="Z91" s="1"/>
    </row>
    <row r="92" customHeight="1" spans="1:26">
      <c r="A92" s="62"/>
      <c r="B92" s="1"/>
      <c r="C92" s="1"/>
      <c r="D92" s="1"/>
      <c r="E92" s="1"/>
      <c r="F92" s="1"/>
      <c r="G92" s="1"/>
      <c r="H92" s="1"/>
      <c r="I92" s="1"/>
      <c r="J92" s="1"/>
      <c r="K92" s="1"/>
      <c r="L92" s="1"/>
      <c r="M92" s="1"/>
      <c r="N92" s="1"/>
      <c r="O92" s="1"/>
      <c r="P92" s="1"/>
      <c r="Q92" s="2"/>
      <c r="R92" s="1"/>
      <c r="S92" s="1"/>
      <c r="T92" s="1"/>
      <c r="U92" s="1"/>
      <c r="V92" s="1"/>
      <c r="W92" s="1"/>
      <c r="X92" s="1"/>
      <c r="Y92" s="1"/>
      <c r="Z92" s="1"/>
    </row>
    <row r="93" customHeight="1" spans="1:26">
      <c r="A93" s="62"/>
      <c r="B93" s="1"/>
      <c r="C93" s="1"/>
      <c r="D93" s="1"/>
      <c r="E93" s="1"/>
      <c r="F93" s="1"/>
      <c r="G93" s="1"/>
      <c r="H93" s="1"/>
      <c r="I93" s="1"/>
      <c r="J93" s="1"/>
      <c r="K93" s="1"/>
      <c r="L93" s="1"/>
      <c r="M93" s="1"/>
      <c r="N93" s="1"/>
      <c r="O93" s="1"/>
      <c r="P93" s="1"/>
      <c r="Q93" s="2"/>
      <c r="R93" s="1"/>
      <c r="S93" s="1"/>
      <c r="T93" s="1"/>
      <c r="U93" s="1"/>
      <c r="V93" s="1"/>
      <c r="W93" s="1"/>
      <c r="X93" s="1"/>
      <c r="Y93" s="1"/>
      <c r="Z93" s="1"/>
    </row>
    <row r="94" customHeight="1" spans="1:26">
      <c r="A94" s="62"/>
      <c r="B94" s="1"/>
      <c r="C94" s="1"/>
      <c r="D94" s="1"/>
      <c r="E94" s="1"/>
      <c r="F94" s="1"/>
      <c r="G94" s="1"/>
      <c r="H94" s="1"/>
      <c r="I94" s="1"/>
      <c r="J94" s="1"/>
      <c r="K94" s="1"/>
      <c r="L94" s="1"/>
      <c r="M94" s="1"/>
      <c r="N94" s="1"/>
      <c r="O94" s="1"/>
      <c r="P94" s="1"/>
      <c r="Q94" s="2"/>
      <c r="R94" s="1"/>
      <c r="S94" s="1"/>
      <c r="T94" s="1"/>
      <c r="U94" s="1"/>
      <c r="V94" s="1"/>
      <c r="W94" s="1"/>
      <c r="X94" s="1"/>
      <c r="Y94" s="1"/>
      <c r="Z94" s="1"/>
    </row>
    <row r="95" customHeight="1" spans="1:26">
      <c r="A95" s="62"/>
      <c r="B95" s="1"/>
      <c r="C95" s="1"/>
      <c r="D95" s="1"/>
      <c r="E95" s="1"/>
      <c r="F95" s="1"/>
      <c r="G95" s="1"/>
      <c r="H95" s="1"/>
      <c r="I95" s="1"/>
      <c r="J95" s="1"/>
      <c r="K95" s="1"/>
      <c r="L95" s="1"/>
      <c r="M95" s="1"/>
      <c r="N95" s="1"/>
      <c r="O95" s="1"/>
      <c r="P95" s="1"/>
      <c r="Q95" s="2"/>
      <c r="R95" s="1"/>
      <c r="S95" s="1"/>
      <c r="T95" s="1"/>
      <c r="U95" s="1"/>
      <c r="V95" s="1"/>
      <c r="W95" s="1"/>
      <c r="X95" s="1"/>
      <c r="Y95" s="1"/>
      <c r="Z95" s="1"/>
    </row>
    <row r="96" customHeight="1" spans="1:26">
      <c r="A96" s="62"/>
      <c r="B96" s="1"/>
      <c r="C96" s="1"/>
      <c r="D96" s="1"/>
      <c r="E96" s="1"/>
      <c r="F96" s="1"/>
      <c r="G96" s="1"/>
      <c r="H96" s="1"/>
      <c r="I96" s="1"/>
      <c r="J96" s="1"/>
      <c r="K96" s="1"/>
      <c r="L96" s="1"/>
      <c r="M96" s="1"/>
      <c r="N96" s="1"/>
      <c r="O96" s="1"/>
      <c r="P96" s="1"/>
      <c r="Q96" s="2"/>
      <c r="R96" s="1"/>
      <c r="S96" s="1"/>
      <c r="T96" s="1"/>
      <c r="U96" s="1"/>
      <c r="V96" s="1"/>
      <c r="W96" s="1"/>
      <c r="X96" s="1"/>
      <c r="Y96" s="1"/>
      <c r="Z96" s="1"/>
    </row>
    <row r="97" customHeight="1" spans="1:26">
      <c r="A97" s="62"/>
      <c r="B97" s="1"/>
      <c r="C97" s="1"/>
      <c r="D97" s="1"/>
      <c r="E97" s="1"/>
      <c r="F97" s="1"/>
      <c r="G97" s="1"/>
      <c r="H97" s="1"/>
      <c r="I97" s="1"/>
      <c r="J97" s="1"/>
      <c r="K97" s="1"/>
      <c r="L97" s="1"/>
      <c r="M97" s="1"/>
      <c r="N97" s="1"/>
      <c r="O97" s="1"/>
      <c r="P97" s="1"/>
      <c r="Q97" s="2"/>
      <c r="R97" s="1"/>
      <c r="S97" s="1"/>
      <c r="T97" s="1"/>
      <c r="U97" s="1"/>
      <c r="V97" s="1"/>
      <c r="W97" s="1"/>
      <c r="X97" s="1"/>
      <c r="Y97" s="1"/>
      <c r="Z97" s="1"/>
    </row>
    <row r="98" customHeight="1" spans="1:26">
      <c r="A98" s="62"/>
      <c r="B98" s="1"/>
      <c r="C98" s="1"/>
      <c r="D98" s="1"/>
      <c r="E98" s="1"/>
      <c r="F98" s="1"/>
      <c r="G98" s="1"/>
      <c r="H98" s="1"/>
      <c r="I98" s="1"/>
      <c r="J98" s="1"/>
      <c r="K98" s="1"/>
      <c r="L98" s="1"/>
      <c r="M98" s="1"/>
      <c r="N98" s="1"/>
      <c r="O98" s="1"/>
      <c r="P98" s="1"/>
      <c r="Q98" s="2"/>
      <c r="R98" s="1"/>
      <c r="S98" s="1"/>
      <c r="T98" s="1"/>
      <c r="U98" s="1"/>
      <c r="V98" s="1"/>
      <c r="W98" s="1"/>
      <c r="X98" s="1"/>
      <c r="Y98" s="1"/>
      <c r="Z98" s="1"/>
    </row>
    <row r="99" customHeight="1" spans="1:26">
      <c r="A99" s="62"/>
      <c r="B99" s="1"/>
      <c r="C99" s="1"/>
      <c r="D99" s="1"/>
      <c r="E99" s="1"/>
      <c r="F99" s="1"/>
      <c r="G99" s="1"/>
      <c r="H99" s="1"/>
      <c r="I99" s="1"/>
      <c r="J99" s="1"/>
      <c r="K99" s="1"/>
      <c r="L99" s="1"/>
      <c r="M99" s="1"/>
      <c r="N99" s="1"/>
      <c r="O99" s="1"/>
      <c r="P99" s="1"/>
      <c r="Q99" s="2"/>
      <c r="R99" s="1"/>
      <c r="S99" s="1"/>
      <c r="T99" s="1"/>
      <c r="U99" s="1"/>
      <c r="V99" s="1"/>
      <c r="W99" s="1"/>
      <c r="X99" s="1"/>
      <c r="Y99" s="1"/>
      <c r="Z99" s="1"/>
    </row>
    <row r="100" customHeight="1" spans="1:26">
      <c r="A100" s="62"/>
      <c r="B100" s="1"/>
      <c r="C100" s="1"/>
      <c r="D100" s="1"/>
      <c r="E100" s="1"/>
      <c r="F100" s="1"/>
      <c r="G100" s="1"/>
      <c r="H100" s="1"/>
      <c r="I100" s="1"/>
      <c r="J100" s="1"/>
      <c r="K100" s="1"/>
      <c r="L100" s="1"/>
      <c r="M100" s="1"/>
      <c r="N100" s="1"/>
      <c r="O100" s="1"/>
      <c r="P100" s="1"/>
      <c r="Q100" s="2"/>
      <c r="R100" s="1"/>
      <c r="S100" s="1"/>
      <c r="T100" s="1"/>
      <c r="U100" s="1"/>
      <c r="V100" s="1"/>
      <c r="W100" s="1"/>
      <c r="X100" s="1"/>
      <c r="Y100" s="1"/>
      <c r="Z100" s="1"/>
    </row>
    <row r="101" customHeight="1" spans="1:26">
      <c r="A101" s="62"/>
      <c r="B101" s="1"/>
      <c r="C101" s="1"/>
      <c r="D101" s="1"/>
      <c r="E101" s="1"/>
      <c r="F101" s="1"/>
      <c r="G101" s="1"/>
      <c r="H101" s="1"/>
      <c r="I101" s="1"/>
      <c r="J101" s="1"/>
      <c r="K101" s="1"/>
      <c r="L101" s="1"/>
      <c r="M101" s="1"/>
      <c r="N101" s="1"/>
      <c r="O101" s="1"/>
      <c r="P101" s="1"/>
      <c r="Q101" s="2"/>
      <c r="R101" s="1"/>
      <c r="S101" s="1"/>
      <c r="T101" s="1"/>
      <c r="U101" s="1"/>
      <c r="V101" s="1"/>
      <c r="W101" s="1"/>
      <c r="X101" s="1"/>
      <c r="Y101" s="1"/>
      <c r="Z101" s="1"/>
    </row>
    <row r="102" customHeight="1" spans="1:26">
      <c r="A102" s="62"/>
      <c r="B102" s="1"/>
      <c r="C102" s="1"/>
      <c r="D102" s="1"/>
      <c r="E102" s="1"/>
      <c r="F102" s="1"/>
      <c r="G102" s="1"/>
      <c r="H102" s="1"/>
      <c r="I102" s="1"/>
      <c r="J102" s="1"/>
      <c r="K102" s="1"/>
      <c r="L102" s="1"/>
      <c r="M102" s="1"/>
      <c r="N102" s="1"/>
      <c r="O102" s="1"/>
      <c r="P102" s="1"/>
      <c r="Q102" s="2"/>
      <c r="R102" s="1"/>
      <c r="S102" s="1"/>
      <c r="T102" s="1"/>
      <c r="U102" s="1"/>
      <c r="V102" s="1"/>
      <c r="W102" s="1"/>
      <c r="X102" s="1"/>
      <c r="Y102" s="1"/>
      <c r="Z102" s="1"/>
    </row>
    <row r="103" customHeight="1" spans="1:26">
      <c r="A103" s="62"/>
      <c r="B103" s="1"/>
      <c r="C103" s="1"/>
      <c r="D103" s="1"/>
      <c r="E103" s="1"/>
      <c r="F103" s="1"/>
      <c r="G103" s="1"/>
      <c r="H103" s="1"/>
      <c r="I103" s="1"/>
      <c r="J103" s="1"/>
      <c r="K103" s="1"/>
      <c r="L103" s="1"/>
      <c r="M103" s="1"/>
      <c r="N103" s="1"/>
      <c r="O103" s="1"/>
      <c r="P103" s="1"/>
      <c r="Q103" s="2"/>
      <c r="R103" s="1"/>
      <c r="S103" s="1"/>
      <c r="T103" s="1"/>
      <c r="U103" s="1"/>
      <c r="V103" s="1"/>
      <c r="W103" s="1"/>
      <c r="X103" s="1"/>
      <c r="Y103" s="1"/>
      <c r="Z103" s="1"/>
    </row>
    <row r="104" customHeight="1" spans="1:26">
      <c r="A104" s="62"/>
      <c r="B104" s="1"/>
      <c r="C104" s="1"/>
      <c r="D104" s="1"/>
      <c r="E104" s="1"/>
      <c r="F104" s="1"/>
      <c r="G104" s="1"/>
      <c r="H104" s="1"/>
      <c r="I104" s="1"/>
      <c r="J104" s="1"/>
      <c r="K104" s="1"/>
      <c r="L104" s="1"/>
      <c r="M104" s="1"/>
      <c r="N104" s="1"/>
      <c r="O104" s="1"/>
      <c r="P104" s="1"/>
      <c r="Q104" s="2"/>
      <c r="R104" s="1"/>
      <c r="S104" s="1"/>
      <c r="T104" s="1"/>
      <c r="U104" s="1"/>
      <c r="V104" s="1"/>
      <c r="W104" s="1"/>
      <c r="X104" s="1"/>
      <c r="Y104" s="1"/>
      <c r="Z104" s="1"/>
    </row>
    <row r="105" customHeight="1" spans="1:26">
      <c r="A105" s="62"/>
      <c r="B105" s="1"/>
      <c r="C105" s="1"/>
      <c r="D105" s="1"/>
      <c r="E105" s="1"/>
      <c r="F105" s="1"/>
      <c r="G105" s="1"/>
      <c r="H105" s="1"/>
      <c r="I105" s="1"/>
      <c r="J105" s="1"/>
      <c r="K105" s="1"/>
      <c r="L105" s="1"/>
      <c r="M105" s="1"/>
      <c r="N105" s="1"/>
      <c r="O105" s="1"/>
      <c r="P105" s="1"/>
      <c r="Q105" s="2"/>
      <c r="R105" s="1"/>
      <c r="S105" s="1"/>
      <c r="T105" s="1"/>
      <c r="U105" s="1"/>
      <c r="V105" s="1"/>
      <c r="W105" s="1"/>
      <c r="X105" s="1"/>
      <c r="Y105" s="1"/>
      <c r="Z105" s="1"/>
    </row>
    <row r="106" customHeight="1" spans="1:26">
      <c r="A106" s="62"/>
      <c r="B106" s="1"/>
      <c r="C106" s="1"/>
      <c r="D106" s="1"/>
      <c r="E106" s="1"/>
      <c r="F106" s="1"/>
      <c r="G106" s="1"/>
      <c r="H106" s="1"/>
      <c r="I106" s="1"/>
      <c r="J106" s="1"/>
      <c r="K106" s="1"/>
      <c r="L106" s="1"/>
      <c r="M106" s="1"/>
      <c r="N106" s="1"/>
      <c r="O106" s="1"/>
      <c r="P106" s="1"/>
      <c r="Q106" s="2"/>
      <c r="R106" s="1"/>
      <c r="S106" s="1"/>
      <c r="T106" s="1"/>
      <c r="U106" s="1"/>
      <c r="V106" s="1"/>
      <c r="W106" s="1"/>
      <c r="X106" s="1"/>
      <c r="Y106" s="1"/>
      <c r="Z106" s="1"/>
    </row>
    <row r="107" customHeight="1" spans="1:26">
      <c r="A107" s="62"/>
      <c r="B107" s="1"/>
      <c r="C107" s="1"/>
      <c r="D107" s="1"/>
      <c r="E107" s="1"/>
      <c r="F107" s="1"/>
      <c r="G107" s="1"/>
      <c r="H107" s="1"/>
      <c r="I107" s="1"/>
      <c r="J107" s="1"/>
      <c r="K107" s="1"/>
      <c r="L107" s="1"/>
      <c r="M107" s="1"/>
      <c r="N107" s="1"/>
      <c r="O107" s="1"/>
      <c r="P107" s="1"/>
      <c r="Q107" s="2"/>
      <c r="R107" s="1"/>
      <c r="S107" s="1"/>
      <c r="T107" s="1"/>
      <c r="U107" s="1"/>
      <c r="V107" s="1"/>
      <c r="W107" s="1"/>
      <c r="X107" s="1"/>
      <c r="Y107" s="1"/>
      <c r="Z107" s="1"/>
    </row>
    <row r="108" customHeight="1" spans="1:26">
      <c r="A108" s="62"/>
      <c r="B108" s="1"/>
      <c r="C108" s="1"/>
      <c r="D108" s="1"/>
      <c r="E108" s="1"/>
      <c r="F108" s="1"/>
      <c r="G108" s="1"/>
      <c r="H108" s="1"/>
      <c r="I108" s="1"/>
      <c r="J108" s="1"/>
      <c r="K108" s="1"/>
      <c r="L108" s="1"/>
      <c r="M108" s="1"/>
      <c r="N108" s="1"/>
      <c r="O108" s="1"/>
      <c r="P108" s="1"/>
      <c r="Q108" s="2"/>
      <c r="R108" s="1"/>
      <c r="S108" s="1"/>
      <c r="T108" s="1"/>
      <c r="U108" s="1"/>
      <c r="V108" s="1"/>
      <c r="W108" s="1"/>
      <c r="X108" s="1"/>
      <c r="Y108" s="1"/>
      <c r="Z108" s="1"/>
    </row>
    <row r="109" customHeight="1" spans="1:26">
      <c r="A109" s="62"/>
      <c r="B109" s="1"/>
      <c r="C109" s="1"/>
      <c r="D109" s="1"/>
      <c r="E109" s="1"/>
      <c r="F109" s="1"/>
      <c r="G109" s="1"/>
      <c r="H109" s="1"/>
      <c r="I109" s="1"/>
      <c r="J109" s="1"/>
      <c r="K109" s="1"/>
      <c r="L109" s="1"/>
      <c r="M109" s="1"/>
      <c r="N109" s="1"/>
      <c r="O109" s="1"/>
      <c r="P109" s="1"/>
      <c r="Q109" s="2"/>
      <c r="R109" s="1"/>
      <c r="S109" s="1"/>
      <c r="T109" s="1"/>
      <c r="U109" s="1"/>
      <c r="V109" s="1"/>
      <c r="W109" s="1"/>
      <c r="X109" s="1"/>
      <c r="Y109" s="1"/>
      <c r="Z109" s="1"/>
    </row>
    <row r="110" customHeight="1" spans="1:26">
      <c r="A110" s="62"/>
      <c r="B110" s="1"/>
      <c r="C110" s="1"/>
      <c r="D110" s="1"/>
      <c r="E110" s="1"/>
      <c r="F110" s="1"/>
      <c r="G110" s="1"/>
      <c r="H110" s="1"/>
      <c r="I110" s="1"/>
      <c r="J110" s="1"/>
      <c r="K110" s="1"/>
      <c r="L110" s="1"/>
      <c r="M110" s="1"/>
      <c r="N110" s="1"/>
      <c r="O110" s="1"/>
      <c r="P110" s="1"/>
      <c r="Q110" s="2"/>
      <c r="R110" s="1"/>
      <c r="S110" s="1"/>
      <c r="T110" s="1"/>
      <c r="U110" s="1"/>
      <c r="V110" s="1"/>
      <c r="W110" s="1"/>
      <c r="X110" s="1"/>
      <c r="Y110" s="1"/>
      <c r="Z110" s="1"/>
    </row>
    <row r="111" customHeight="1" spans="1:26">
      <c r="A111" s="62"/>
      <c r="B111" s="1"/>
      <c r="C111" s="1"/>
      <c r="D111" s="1"/>
      <c r="E111" s="1"/>
      <c r="F111" s="1"/>
      <c r="G111" s="1"/>
      <c r="H111" s="1"/>
      <c r="I111" s="1"/>
      <c r="J111" s="1"/>
      <c r="K111" s="1"/>
      <c r="L111" s="1"/>
      <c r="M111" s="1"/>
      <c r="N111" s="1"/>
      <c r="O111" s="1"/>
      <c r="P111" s="1"/>
      <c r="Q111" s="2"/>
      <c r="R111" s="1"/>
      <c r="S111" s="1"/>
      <c r="T111" s="1"/>
      <c r="U111" s="1"/>
      <c r="V111" s="1"/>
      <c r="W111" s="1"/>
      <c r="X111" s="1"/>
      <c r="Y111" s="1"/>
      <c r="Z111" s="1"/>
    </row>
    <row r="112" customHeight="1" spans="1:26">
      <c r="A112" s="62"/>
      <c r="B112" s="1"/>
      <c r="C112" s="1"/>
      <c r="D112" s="1"/>
      <c r="E112" s="1"/>
      <c r="F112" s="1"/>
      <c r="G112" s="1"/>
      <c r="H112" s="1"/>
      <c r="I112" s="1"/>
      <c r="J112" s="1"/>
      <c r="K112" s="1"/>
      <c r="L112" s="1"/>
      <c r="M112" s="1"/>
      <c r="N112" s="1"/>
      <c r="O112" s="1"/>
      <c r="P112" s="1"/>
      <c r="Q112" s="2"/>
      <c r="R112" s="1"/>
      <c r="S112" s="1"/>
      <c r="T112" s="1"/>
      <c r="U112" s="1"/>
      <c r="V112" s="1"/>
      <c r="W112" s="1"/>
      <c r="X112" s="1"/>
      <c r="Y112" s="1"/>
      <c r="Z112" s="1"/>
    </row>
    <row r="113" customHeight="1" spans="1:26">
      <c r="A113" s="62"/>
      <c r="B113" s="1"/>
      <c r="C113" s="1"/>
      <c r="D113" s="1"/>
      <c r="E113" s="1"/>
      <c r="F113" s="1"/>
      <c r="G113" s="1"/>
      <c r="H113" s="1"/>
      <c r="I113" s="1"/>
      <c r="J113" s="1"/>
      <c r="K113" s="1"/>
      <c r="L113" s="1"/>
      <c r="M113" s="1"/>
      <c r="N113" s="1"/>
      <c r="O113" s="1"/>
      <c r="P113" s="1"/>
      <c r="Q113" s="2"/>
      <c r="R113" s="1"/>
      <c r="S113" s="1"/>
      <c r="T113" s="1"/>
      <c r="U113" s="1"/>
      <c r="V113" s="1"/>
      <c r="W113" s="1"/>
      <c r="X113" s="1"/>
      <c r="Y113" s="1"/>
      <c r="Z113" s="1"/>
    </row>
    <row r="114" customHeight="1" spans="1:26">
      <c r="A114" s="62"/>
      <c r="B114" s="1"/>
      <c r="C114" s="1"/>
      <c r="D114" s="1"/>
      <c r="E114" s="1"/>
      <c r="F114" s="1"/>
      <c r="G114" s="1"/>
      <c r="H114" s="1"/>
      <c r="I114" s="1"/>
      <c r="J114" s="1"/>
      <c r="K114" s="1"/>
      <c r="L114" s="1"/>
      <c r="M114" s="1"/>
      <c r="N114" s="1"/>
      <c r="O114" s="1"/>
      <c r="P114" s="1"/>
      <c r="Q114" s="2"/>
      <c r="R114" s="1"/>
      <c r="S114" s="1"/>
      <c r="T114" s="1"/>
      <c r="U114" s="1"/>
      <c r="V114" s="1"/>
      <c r="W114" s="1"/>
      <c r="X114" s="1"/>
      <c r="Y114" s="1"/>
      <c r="Z114" s="1"/>
    </row>
    <row r="115" customHeight="1" spans="1:26">
      <c r="A115" s="62"/>
      <c r="B115" s="1"/>
      <c r="C115" s="1"/>
      <c r="D115" s="1"/>
      <c r="E115" s="1"/>
      <c r="F115" s="1"/>
      <c r="G115" s="1"/>
      <c r="H115" s="1"/>
      <c r="I115" s="1"/>
      <c r="J115" s="1"/>
      <c r="K115" s="1"/>
      <c r="L115" s="1"/>
      <c r="M115" s="1"/>
      <c r="N115" s="1"/>
      <c r="O115" s="1"/>
      <c r="P115" s="1"/>
      <c r="Q115" s="2"/>
      <c r="R115" s="1"/>
      <c r="S115" s="1"/>
      <c r="T115" s="1"/>
      <c r="U115" s="1"/>
      <c r="V115" s="1"/>
      <c r="W115" s="1"/>
      <c r="X115" s="1"/>
      <c r="Y115" s="1"/>
      <c r="Z115" s="1"/>
    </row>
    <row r="116" customHeight="1" spans="1:26">
      <c r="A116" s="62"/>
      <c r="B116" s="1"/>
      <c r="C116" s="1"/>
      <c r="D116" s="1"/>
      <c r="E116" s="1"/>
      <c r="F116" s="1"/>
      <c r="G116" s="1"/>
      <c r="H116" s="1"/>
      <c r="I116" s="1"/>
      <c r="J116" s="1"/>
      <c r="K116" s="1"/>
      <c r="L116" s="1"/>
      <c r="M116" s="1"/>
      <c r="N116" s="1"/>
      <c r="O116" s="1"/>
      <c r="P116" s="1"/>
      <c r="Q116" s="2"/>
      <c r="R116" s="1"/>
      <c r="S116" s="1"/>
      <c r="T116" s="1"/>
      <c r="U116" s="1"/>
      <c r="V116" s="1"/>
      <c r="W116" s="1"/>
      <c r="X116" s="1"/>
      <c r="Y116" s="1"/>
      <c r="Z116" s="1"/>
    </row>
    <row r="117" customHeight="1" spans="1:26">
      <c r="A117" s="62"/>
      <c r="B117" s="1"/>
      <c r="C117" s="1"/>
      <c r="D117" s="1"/>
      <c r="E117" s="1"/>
      <c r="F117" s="1"/>
      <c r="G117" s="1"/>
      <c r="H117" s="1"/>
      <c r="I117" s="1"/>
      <c r="J117" s="1"/>
      <c r="K117" s="1"/>
      <c r="L117" s="1"/>
      <c r="M117" s="1"/>
      <c r="N117" s="1"/>
      <c r="O117" s="1"/>
      <c r="P117" s="1"/>
      <c r="Q117" s="2"/>
      <c r="R117" s="1"/>
      <c r="S117" s="1"/>
      <c r="T117" s="1"/>
      <c r="U117" s="1"/>
      <c r="V117" s="1"/>
      <c r="W117" s="1"/>
      <c r="X117" s="1"/>
      <c r="Y117" s="1"/>
      <c r="Z117" s="1"/>
    </row>
    <row r="118" customHeight="1" spans="1:26">
      <c r="A118" s="62"/>
      <c r="B118" s="1"/>
      <c r="C118" s="1"/>
      <c r="D118" s="1"/>
      <c r="E118" s="1"/>
      <c r="F118" s="1"/>
      <c r="G118" s="1"/>
      <c r="H118" s="1"/>
      <c r="I118" s="1"/>
      <c r="J118" s="1"/>
      <c r="K118" s="1"/>
      <c r="L118" s="1"/>
      <c r="M118" s="1"/>
      <c r="N118" s="1"/>
      <c r="O118" s="1"/>
      <c r="P118" s="1"/>
      <c r="Q118" s="2"/>
      <c r="R118" s="1"/>
      <c r="S118" s="1"/>
      <c r="T118" s="1"/>
      <c r="U118" s="1"/>
      <c r="V118" s="1"/>
      <c r="W118" s="1"/>
      <c r="X118" s="1"/>
      <c r="Y118" s="1"/>
      <c r="Z118" s="1"/>
    </row>
    <row r="119" customHeight="1" spans="1:26">
      <c r="A119" s="62"/>
      <c r="B119" s="1"/>
      <c r="C119" s="1"/>
      <c r="D119" s="1"/>
      <c r="E119" s="1"/>
      <c r="F119" s="1"/>
      <c r="G119" s="1"/>
      <c r="H119" s="1"/>
      <c r="I119" s="1"/>
      <c r="J119" s="1"/>
      <c r="K119" s="1"/>
      <c r="L119" s="1"/>
      <c r="M119" s="1"/>
      <c r="N119" s="1"/>
      <c r="O119" s="1"/>
      <c r="P119" s="1"/>
      <c r="Q119" s="2"/>
      <c r="R119" s="1"/>
      <c r="S119" s="1"/>
      <c r="T119" s="1"/>
      <c r="U119" s="1"/>
      <c r="V119" s="1"/>
      <c r="W119" s="1"/>
      <c r="X119" s="1"/>
      <c r="Y119" s="1"/>
      <c r="Z119" s="1"/>
    </row>
    <row r="120" customHeight="1" spans="1:26">
      <c r="A120" s="62"/>
      <c r="B120" s="1"/>
      <c r="C120" s="1"/>
      <c r="D120" s="1"/>
      <c r="E120" s="1"/>
      <c r="F120" s="1"/>
      <c r="G120" s="1"/>
      <c r="H120" s="1"/>
      <c r="I120" s="1"/>
      <c r="J120" s="1"/>
      <c r="K120" s="1"/>
      <c r="L120" s="1"/>
      <c r="M120" s="1"/>
      <c r="N120" s="1"/>
      <c r="O120" s="1"/>
      <c r="P120" s="1"/>
      <c r="Q120" s="2"/>
      <c r="R120" s="1"/>
      <c r="S120" s="1"/>
      <c r="T120" s="1"/>
      <c r="U120" s="1"/>
      <c r="V120" s="1"/>
      <c r="W120" s="1"/>
      <c r="X120" s="1"/>
      <c r="Y120" s="1"/>
      <c r="Z120" s="1"/>
    </row>
    <row r="121" customHeight="1" spans="1:26">
      <c r="A121" s="62"/>
      <c r="B121" s="1"/>
      <c r="C121" s="1"/>
      <c r="D121" s="1"/>
      <c r="E121" s="1"/>
      <c r="F121" s="1"/>
      <c r="G121" s="1"/>
      <c r="H121" s="1"/>
      <c r="I121" s="1"/>
      <c r="J121" s="1"/>
      <c r="K121" s="1"/>
      <c r="L121" s="1"/>
      <c r="M121" s="1"/>
      <c r="N121" s="1"/>
      <c r="O121" s="1"/>
      <c r="P121" s="1"/>
      <c r="Q121" s="2"/>
      <c r="R121" s="1"/>
      <c r="S121" s="1"/>
      <c r="T121" s="1"/>
      <c r="U121" s="1"/>
      <c r="V121" s="1"/>
      <c r="W121" s="1"/>
      <c r="X121" s="1"/>
      <c r="Y121" s="1"/>
      <c r="Z121" s="1"/>
    </row>
    <row r="122" customHeight="1" spans="1:26">
      <c r="A122" s="62"/>
      <c r="B122" s="1"/>
      <c r="C122" s="1"/>
      <c r="D122" s="1"/>
      <c r="E122" s="1"/>
      <c r="F122" s="1"/>
      <c r="G122" s="1"/>
      <c r="H122" s="1"/>
      <c r="I122" s="1"/>
      <c r="J122" s="1"/>
      <c r="K122" s="1"/>
      <c r="L122" s="1"/>
      <c r="M122" s="1"/>
      <c r="N122" s="1"/>
      <c r="O122" s="1"/>
      <c r="P122" s="1"/>
      <c r="Q122" s="2"/>
      <c r="R122" s="1"/>
      <c r="S122" s="1"/>
      <c r="T122" s="1"/>
      <c r="U122" s="1"/>
      <c r="V122" s="1"/>
      <c r="W122" s="1"/>
      <c r="X122" s="1"/>
      <c r="Y122" s="1"/>
      <c r="Z122" s="1"/>
    </row>
    <row r="123" customHeight="1" spans="1:26">
      <c r="A123" s="62"/>
      <c r="B123" s="1"/>
      <c r="C123" s="1"/>
      <c r="D123" s="1"/>
      <c r="E123" s="1"/>
      <c r="F123" s="1"/>
      <c r="G123" s="1"/>
      <c r="H123" s="1"/>
      <c r="I123" s="1"/>
      <c r="J123" s="1"/>
      <c r="K123" s="1"/>
      <c r="L123" s="1"/>
      <c r="M123" s="1"/>
      <c r="N123" s="1"/>
      <c r="O123" s="1"/>
      <c r="P123" s="1"/>
      <c r="Q123" s="2"/>
      <c r="R123" s="1"/>
      <c r="S123" s="1"/>
      <c r="T123" s="1"/>
      <c r="U123" s="1"/>
      <c r="V123" s="1"/>
      <c r="W123" s="1"/>
      <c r="X123" s="1"/>
      <c r="Y123" s="1"/>
      <c r="Z123" s="1"/>
    </row>
    <row r="124" customHeight="1" spans="1:26">
      <c r="A124" s="62"/>
      <c r="B124" s="1"/>
      <c r="C124" s="1"/>
      <c r="D124" s="1"/>
      <c r="E124" s="1"/>
      <c r="F124" s="1"/>
      <c r="G124" s="1"/>
      <c r="H124" s="1"/>
      <c r="I124" s="1"/>
      <c r="J124" s="1"/>
      <c r="K124" s="1"/>
      <c r="L124" s="1"/>
      <c r="M124" s="1"/>
      <c r="N124" s="1"/>
      <c r="O124" s="1"/>
      <c r="P124" s="1"/>
      <c r="Q124" s="2"/>
      <c r="R124" s="1"/>
      <c r="S124" s="1"/>
      <c r="T124" s="1"/>
      <c r="U124" s="1"/>
      <c r="V124" s="1"/>
      <c r="W124" s="1"/>
      <c r="X124" s="1"/>
      <c r="Y124" s="1"/>
      <c r="Z124" s="1"/>
    </row>
    <row r="125" customHeight="1" spans="1:26">
      <c r="A125" s="62"/>
      <c r="B125" s="1"/>
      <c r="C125" s="1"/>
      <c r="D125" s="1"/>
      <c r="E125" s="1"/>
      <c r="F125" s="1"/>
      <c r="G125" s="1"/>
      <c r="H125" s="1"/>
      <c r="I125" s="1"/>
      <c r="J125" s="1"/>
      <c r="K125" s="1"/>
      <c r="L125" s="1"/>
      <c r="M125" s="1"/>
      <c r="N125" s="1"/>
      <c r="O125" s="1"/>
      <c r="P125" s="1"/>
      <c r="Q125" s="2"/>
      <c r="R125" s="1"/>
      <c r="S125" s="1"/>
      <c r="T125" s="1"/>
      <c r="U125" s="1"/>
      <c r="V125" s="1"/>
      <c r="W125" s="1"/>
      <c r="X125" s="1"/>
      <c r="Y125" s="1"/>
      <c r="Z125" s="1"/>
    </row>
    <row r="126" customHeight="1" spans="1:26">
      <c r="A126" s="62"/>
      <c r="B126" s="1"/>
      <c r="C126" s="1"/>
      <c r="D126" s="1"/>
      <c r="E126" s="1"/>
      <c r="F126" s="1"/>
      <c r="G126" s="1"/>
      <c r="H126" s="1"/>
      <c r="I126" s="1"/>
      <c r="J126" s="1"/>
      <c r="K126" s="1"/>
      <c r="L126" s="1"/>
      <c r="M126" s="1"/>
      <c r="N126" s="1"/>
      <c r="O126" s="1"/>
      <c r="P126" s="1"/>
      <c r="Q126" s="2"/>
      <c r="R126" s="1"/>
      <c r="S126" s="1"/>
      <c r="T126" s="1"/>
      <c r="U126" s="1"/>
      <c r="V126" s="1"/>
      <c r="W126" s="1"/>
      <c r="X126" s="1"/>
      <c r="Y126" s="1"/>
      <c r="Z126" s="1"/>
    </row>
    <row r="127" customHeight="1" spans="1:26">
      <c r="A127" s="62"/>
      <c r="B127" s="1"/>
      <c r="C127" s="1"/>
      <c r="D127" s="1"/>
      <c r="E127" s="1"/>
      <c r="F127" s="1"/>
      <c r="G127" s="1"/>
      <c r="H127" s="1"/>
      <c r="I127" s="1"/>
      <c r="J127" s="1"/>
      <c r="K127" s="1"/>
      <c r="L127" s="1"/>
      <c r="M127" s="1"/>
      <c r="N127" s="1"/>
      <c r="O127" s="1"/>
      <c r="P127" s="1"/>
      <c r="Q127" s="2"/>
      <c r="R127" s="1"/>
      <c r="S127" s="1"/>
      <c r="T127" s="1"/>
      <c r="U127" s="1"/>
      <c r="V127" s="1"/>
      <c r="W127" s="1"/>
      <c r="X127" s="1"/>
      <c r="Y127" s="1"/>
      <c r="Z127" s="1"/>
    </row>
    <row r="128" customHeight="1" spans="1:26">
      <c r="A128" s="62"/>
      <c r="B128" s="1"/>
      <c r="C128" s="1"/>
      <c r="D128" s="1"/>
      <c r="E128" s="1"/>
      <c r="F128" s="1"/>
      <c r="G128" s="1"/>
      <c r="H128" s="1"/>
      <c r="I128" s="1"/>
      <c r="J128" s="1"/>
      <c r="K128" s="1"/>
      <c r="L128" s="1"/>
      <c r="M128" s="1"/>
      <c r="N128" s="1"/>
      <c r="O128" s="1"/>
      <c r="P128" s="1"/>
      <c r="Q128" s="2"/>
      <c r="R128" s="1"/>
      <c r="S128" s="1"/>
      <c r="T128" s="1"/>
      <c r="U128" s="1"/>
      <c r="V128" s="1"/>
      <c r="W128" s="1"/>
      <c r="X128" s="1"/>
      <c r="Y128" s="1"/>
      <c r="Z128" s="1"/>
    </row>
    <row r="129" customHeight="1" spans="1:26">
      <c r="A129" s="62"/>
      <c r="B129" s="1"/>
      <c r="C129" s="1"/>
      <c r="D129" s="1"/>
      <c r="E129" s="1"/>
      <c r="F129" s="1"/>
      <c r="G129" s="1"/>
      <c r="H129" s="1"/>
      <c r="I129" s="1"/>
      <c r="J129" s="1"/>
      <c r="K129" s="1"/>
      <c r="L129" s="1"/>
      <c r="M129" s="1"/>
      <c r="N129" s="1"/>
      <c r="O129" s="1"/>
      <c r="P129" s="1"/>
      <c r="Q129" s="2"/>
      <c r="R129" s="1"/>
      <c r="S129" s="1"/>
      <c r="T129" s="1"/>
      <c r="U129" s="1"/>
      <c r="V129" s="1"/>
      <c r="W129" s="1"/>
      <c r="X129" s="1"/>
      <c r="Y129" s="1"/>
      <c r="Z129" s="1"/>
    </row>
    <row r="130" customHeight="1" spans="1:26">
      <c r="A130" s="62"/>
      <c r="B130" s="1"/>
      <c r="C130" s="1"/>
      <c r="D130" s="1"/>
      <c r="E130" s="1"/>
      <c r="F130" s="1"/>
      <c r="G130" s="1"/>
      <c r="H130" s="1"/>
      <c r="I130" s="1"/>
      <c r="J130" s="1"/>
      <c r="K130" s="1"/>
      <c r="L130" s="1"/>
      <c r="M130" s="1"/>
      <c r="N130" s="1"/>
      <c r="O130" s="1"/>
      <c r="P130" s="1"/>
      <c r="Q130" s="2"/>
      <c r="R130" s="1"/>
      <c r="S130" s="1"/>
      <c r="T130" s="1"/>
      <c r="U130" s="1"/>
      <c r="V130" s="1"/>
      <c r="W130" s="1"/>
      <c r="X130" s="1"/>
      <c r="Y130" s="1"/>
      <c r="Z130" s="1"/>
    </row>
    <row r="131" customHeight="1" spans="1:26">
      <c r="A131" s="62"/>
      <c r="B131" s="1"/>
      <c r="C131" s="1"/>
      <c r="D131" s="1"/>
      <c r="E131" s="1"/>
      <c r="F131" s="1"/>
      <c r="G131" s="1"/>
      <c r="H131" s="1"/>
      <c r="I131" s="1"/>
      <c r="J131" s="1"/>
      <c r="K131" s="1"/>
      <c r="L131" s="1"/>
      <c r="M131" s="1"/>
      <c r="N131" s="1"/>
      <c r="O131" s="1"/>
      <c r="P131" s="1"/>
      <c r="Q131" s="2"/>
      <c r="R131" s="1"/>
      <c r="S131" s="1"/>
      <c r="T131" s="1"/>
      <c r="U131" s="1"/>
      <c r="V131" s="1"/>
      <c r="W131" s="1"/>
      <c r="X131" s="1"/>
      <c r="Y131" s="1"/>
      <c r="Z131" s="1"/>
    </row>
    <row r="132" customHeight="1" spans="1:26">
      <c r="A132" s="62"/>
      <c r="B132" s="1"/>
      <c r="C132" s="1"/>
      <c r="D132" s="1"/>
      <c r="E132" s="1"/>
      <c r="F132" s="1"/>
      <c r="G132" s="1"/>
      <c r="H132" s="1"/>
      <c r="I132" s="1"/>
      <c r="J132" s="1"/>
      <c r="K132" s="1"/>
      <c r="L132" s="1"/>
      <c r="M132" s="1"/>
      <c r="N132" s="1"/>
      <c r="O132" s="1"/>
      <c r="P132" s="1"/>
      <c r="Q132" s="2"/>
      <c r="R132" s="1"/>
      <c r="S132" s="1"/>
      <c r="T132" s="1"/>
      <c r="U132" s="1"/>
      <c r="V132" s="1"/>
      <c r="W132" s="1"/>
      <c r="X132" s="1"/>
      <c r="Y132" s="1"/>
      <c r="Z132" s="1"/>
    </row>
    <row r="133" customHeight="1" spans="1:26">
      <c r="A133" s="62"/>
      <c r="B133" s="1"/>
      <c r="C133" s="1"/>
      <c r="D133" s="1"/>
      <c r="E133" s="1"/>
      <c r="F133" s="1"/>
      <c r="G133" s="1"/>
      <c r="H133" s="1"/>
      <c r="I133" s="1"/>
      <c r="J133" s="1"/>
      <c r="K133" s="1"/>
      <c r="L133" s="1"/>
      <c r="M133" s="1"/>
      <c r="N133" s="1"/>
      <c r="O133" s="1"/>
      <c r="P133" s="1"/>
      <c r="Q133" s="2"/>
      <c r="R133" s="1"/>
      <c r="S133" s="1"/>
      <c r="T133" s="1"/>
      <c r="U133" s="1"/>
      <c r="V133" s="1"/>
      <c r="W133" s="1"/>
      <c r="X133" s="1"/>
      <c r="Y133" s="1"/>
      <c r="Z133" s="1"/>
    </row>
    <row r="134" customHeight="1" spans="1:26">
      <c r="A134" s="62"/>
      <c r="B134" s="1"/>
      <c r="C134" s="1"/>
      <c r="D134" s="1"/>
      <c r="E134" s="1"/>
      <c r="F134" s="1"/>
      <c r="G134" s="1"/>
      <c r="H134" s="1"/>
      <c r="I134" s="1"/>
      <c r="J134" s="1"/>
      <c r="K134" s="1"/>
      <c r="L134" s="1"/>
      <c r="M134" s="1"/>
      <c r="N134" s="1"/>
      <c r="O134" s="1"/>
      <c r="P134" s="1"/>
      <c r="Q134" s="2"/>
      <c r="R134" s="1"/>
      <c r="S134" s="1"/>
      <c r="T134" s="1"/>
      <c r="U134" s="1"/>
      <c r="V134" s="1"/>
      <c r="W134" s="1"/>
      <c r="X134" s="1"/>
      <c r="Y134" s="1"/>
      <c r="Z134" s="1"/>
    </row>
    <row r="135" customHeight="1" spans="1:26">
      <c r="A135" s="62"/>
      <c r="B135" s="1"/>
      <c r="C135" s="1"/>
      <c r="D135" s="1"/>
      <c r="E135" s="1"/>
      <c r="F135" s="1"/>
      <c r="G135" s="1"/>
      <c r="H135" s="1"/>
      <c r="I135" s="1"/>
      <c r="J135" s="1"/>
      <c r="K135" s="1"/>
      <c r="L135" s="1"/>
      <c r="M135" s="1"/>
      <c r="N135" s="1"/>
      <c r="O135" s="1"/>
      <c r="P135" s="1"/>
      <c r="Q135" s="2"/>
      <c r="R135" s="1"/>
      <c r="S135" s="1"/>
      <c r="T135" s="1"/>
      <c r="U135" s="1"/>
      <c r="V135" s="1"/>
      <c r="W135" s="1"/>
      <c r="X135" s="1"/>
      <c r="Y135" s="1"/>
      <c r="Z135" s="1"/>
    </row>
    <row r="136" customHeight="1" spans="1:26">
      <c r="A136" s="62"/>
      <c r="B136" s="1"/>
      <c r="C136" s="1"/>
      <c r="D136" s="1"/>
      <c r="E136" s="1"/>
      <c r="F136" s="1"/>
      <c r="G136" s="1"/>
      <c r="H136" s="1"/>
      <c r="I136" s="1"/>
      <c r="J136" s="1"/>
      <c r="K136" s="1"/>
      <c r="L136" s="1"/>
      <c r="M136" s="1"/>
      <c r="N136" s="1"/>
      <c r="O136" s="1"/>
      <c r="P136" s="1"/>
      <c r="Q136" s="2"/>
      <c r="R136" s="1"/>
      <c r="S136" s="1"/>
      <c r="T136" s="1"/>
      <c r="U136" s="1"/>
      <c r="V136" s="1"/>
      <c r="W136" s="1"/>
      <c r="X136" s="1"/>
      <c r="Y136" s="1"/>
      <c r="Z136" s="1"/>
    </row>
    <row r="137" customHeight="1" spans="1:26">
      <c r="A137" s="62"/>
      <c r="B137" s="1"/>
      <c r="C137" s="1"/>
      <c r="D137" s="1"/>
      <c r="E137" s="1"/>
      <c r="F137" s="1"/>
      <c r="G137" s="1"/>
      <c r="H137" s="1"/>
      <c r="I137" s="1"/>
      <c r="J137" s="1"/>
      <c r="K137" s="1"/>
      <c r="L137" s="1"/>
      <c r="M137" s="1"/>
      <c r="N137" s="1"/>
      <c r="O137" s="1"/>
      <c r="P137" s="1"/>
      <c r="Q137" s="2"/>
      <c r="R137" s="1"/>
      <c r="S137" s="1"/>
      <c r="T137" s="1"/>
      <c r="U137" s="1"/>
      <c r="V137" s="1"/>
      <c r="W137" s="1"/>
      <c r="X137" s="1"/>
      <c r="Y137" s="1"/>
      <c r="Z137" s="1"/>
    </row>
    <row r="138" customHeight="1" spans="1:26">
      <c r="A138" s="62"/>
      <c r="B138" s="1"/>
      <c r="C138" s="1"/>
      <c r="D138" s="1"/>
      <c r="E138" s="1"/>
      <c r="F138" s="1"/>
      <c r="G138" s="1"/>
      <c r="H138" s="1"/>
      <c r="I138" s="1"/>
      <c r="J138" s="1"/>
      <c r="K138" s="1"/>
      <c r="L138" s="1"/>
      <c r="M138" s="1"/>
      <c r="N138" s="1"/>
      <c r="O138" s="1"/>
      <c r="P138" s="1"/>
      <c r="Q138" s="2"/>
      <c r="R138" s="1"/>
      <c r="S138" s="1"/>
      <c r="T138" s="1"/>
      <c r="U138" s="1"/>
      <c r="V138" s="1"/>
      <c r="W138" s="1"/>
      <c r="X138" s="1"/>
      <c r="Y138" s="1"/>
      <c r="Z138" s="1"/>
    </row>
    <row r="139" customHeight="1" spans="1:26">
      <c r="A139" s="62"/>
      <c r="B139" s="1"/>
      <c r="C139" s="1"/>
      <c r="D139" s="1"/>
      <c r="E139" s="1"/>
      <c r="F139" s="1"/>
      <c r="G139" s="1"/>
      <c r="H139" s="1"/>
      <c r="I139" s="1"/>
      <c r="J139" s="1"/>
      <c r="K139" s="1"/>
      <c r="L139" s="1"/>
      <c r="M139" s="1"/>
      <c r="N139" s="1"/>
      <c r="O139" s="1"/>
      <c r="P139" s="1"/>
      <c r="Q139" s="2"/>
      <c r="R139" s="1"/>
      <c r="S139" s="1"/>
      <c r="T139" s="1"/>
      <c r="U139" s="1"/>
      <c r="V139" s="1"/>
      <c r="W139" s="1"/>
      <c r="X139" s="1"/>
      <c r="Y139" s="1"/>
      <c r="Z139" s="1"/>
    </row>
    <row r="140" customHeight="1" spans="1:26">
      <c r="A140" s="62"/>
      <c r="B140" s="1"/>
      <c r="C140" s="1"/>
      <c r="D140" s="1"/>
      <c r="E140" s="1"/>
      <c r="F140" s="1"/>
      <c r="G140" s="1"/>
      <c r="H140" s="1"/>
      <c r="I140" s="1"/>
      <c r="J140" s="1"/>
      <c r="K140" s="1"/>
      <c r="L140" s="1"/>
      <c r="M140" s="1"/>
      <c r="N140" s="1"/>
      <c r="O140" s="1"/>
      <c r="P140" s="1"/>
      <c r="Q140" s="2"/>
      <c r="R140" s="1"/>
      <c r="S140" s="1"/>
      <c r="T140" s="1"/>
      <c r="U140" s="1"/>
      <c r="V140" s="1"/>
      <c r="W140" s="1"/>
      <c r="X140" s="1"/>
      <c r="Y140" s="1"/>
      <c r="Z140" s="1"/>
    </row>
    <row r="141" customHeight="1" spans="1:26">
      <c r="A141" s="62"/>
      <c r="B141" s="1"/>
      <c r="C141" s="1"/>
      <c r="D141" s="1"/>
      <c r="E141" s="1"/>
      <c r="F141" s="1"/>
      <c r="G141" s="1"/>
      <c r="H141" s="1"/>
      <c r="I141" s="1"/>
      <c r="J141" s="1"/>
      <c r="K141" s="1"/>
      <c r="L141" s="1"/>
      <c r="M141" s="1"/>
      <c r="N141" s="1"/>
      <c r="O141" s="1"/>
      <c r="P141" s="1"/>
      <c r="Q141" s="2"/>
      <c r="R141" s="1"/>
      <c r="S141" s="1"/>
      <c r="T141" s="1"/>
      <c r="U141" s="1"/>
      <c r="V141" s="1"/>
      <c r="W141" s="1"/>
      <c r="X141" s="1"/>
      <c r="Y141" s="1"/>
      <c r="Z141" s="1"/>
    </row>
    <row r="142" customHeight="1" spans="1:26">
      <c r="A142" s="62"/>
      <c r="B142" s="1"/>
      <c r="C142" s="1"/>
      <c r="D142" s="1"/>
      <c r="E142" s="1"/>
      <c r="F142" s="1"/>
      <c r="G142" s="1"/>
      <c r="H142" s="1"/>
      <c r="I142" s="1"/>
      <c r="J142" s="1"/>
      <c r="K142" s="1"/>
      <c r="L142" s="1"/>
      <c r="M142" s="1"/>
      <c r="N142" s="1"/>
      <c r="O142" s="1"/>
      <c r="P142" s="1"/>
      <c r="Q142" s="2"/>
      <c r="R142" s="1"/>
      <c r="S142" s="1"/>
      <c r="T142" s="1"/>
      <c r="U142" s="1"/>
      <c r="V142" s="1"/>
      <c r="W142" s="1"/>
      <c r="X142" s="1"/>
      <c r="Y142" s="1"/>
      <c r="Z142" s="1"/>
    </row>
    <row r="143" customHeight="1" spans="1:26">
      <c r="A143" s="62"/>
      <c r="B143" s="1"/>
      <c r="C143" s="1"/>
      <c r="D143" s="1"/>
      <c r="E143" s="1"/>
      <c r="F143" s="1"/>
      <c r="G143" s="1"/>
      <c r="H143" s="1"/>
      <c r="I143" s="1"/>
      <c r="J143" s="1"/>
      <c r="K143" s="1"/>
      <c r="L143" s="1"/>
      <c r="M143" s="1"/>
      <c r="N143" s="1"/>
      <c r="O143" s="1"/>
      <c r="P143" s="1"/>
      <c r="Q143" s="2"/>
      <c r="R143" s="1"/>
      <c r="S143" s="1"/>
      <c r="T143" s="1"/>
      <c r="U143" s="1"/>
      <c r="V143" s="1"/>
      <c r="W143" s="1"/>
      <c r="X143" s="1"/>
      <c r="Y143" s="1"/>
      <c r="Z143" s="1"/>
    </row>
    <row r="144" customHeight="1" spans="1:26">
      <c r="A144" s="62"/>
      <c r="B144" s="1"/>
      <c r="C144" s="1"/>
      <c r="D144" s="1"/>
      <c r="E144" s="1"/>
      <c r="F144" s="1"/>
      <c r="G144" s="1"/>
      <c r="H144" s="1"/>
      <c r="I144" s="1"/>
      <c r="J144" s="1"/>
      <c r="K144" s="1"/>
      <c r="L144" s="1"/>
      <c r="M144" s="1"/>
      <c r="N144" s="1"/>
      <c r="O144" s="1"/>
      <c r="P144" s="1"/>
      <c r="Q144" s="2"/>
      <c r="R144" s="1"/>
      <c r="S144" s="1"/>
      <c r="T144" s="1"/>
      <c r="U144" s="1"/>
      <c r="V144" s="1"/>
      <c r="W144" s="1"/>
      <c r="X144" s="1"/>
      <c r="Y144" s="1"/>
      <c r="Z144" s="1"/>
    </row>
    <row r="145" customHeight="1" spans="1:26">
      <c r="A145" s="62"/>
      <c r="B145" s="1"/>
      <c r="C145" s="1"/>
      <c r="D145" s="1"/>
      <c r="E145" s="1"/>
      <c r="F145" s="1"/>
      <c r="G145" s="1"/>
      <c r="H145" s="1"/>
      <c r="I145" s="1"/>
      <c r="J145" s="1"/>
      <c r="K145" s="1"/>
      <c r="L145" s="1"/>
      <c r="M145" s="1"/>
      <c r="N145" s="1"/>
      <c r="O145" s="1"/>
      <c r="P145" s="1"/>
      <c r="Q145" s="2"/>
      <c r="R145" s="1"/>
      <c r="S145" s="1"/>
      <c r="T145" s="1"/>
      <c r="U145" s="1"/>
      <c r="V145" s="1"/>
      <c r="W145" s="1"/>
      <c r="X145" s="1"/>
      <c r="Y145" s="1"/>
      <c r="Z145" s="1"/>
    </row>
    <row r="146" customHeight="1" spans="1:26">
      <c r="A146" s="62"/>
      <c r="B146" s="1"/>
      <c r="C146" s="1"/>
      <c r="D146" s="1"/>
      <c r="E146" s="1"/>
      <c r="F146" s="1"/>
      <c r="G146" s="1"/>
      <c r="H146" s="1"/>
      <c r="I146" s="1"/>
      <c r="J146" s="1"/>
      <c r="K146" s="1"/>
      <c r="L146" s="1"/>
      <c r="M146" s="1"/>
      <c r="N146" s="1"/>
      <c r="O146" s="1"/>
      <c r="P146" s="1"/>
      <c r="Q146" s="2"/>
      <c r="R146" s="1"/>
      <c r="S146" s="1"/>
      <c r="T146" s="1"/>
      <c r="U146" s="1"/>
      <c r="V146" s="1"/>
      <c r="W146" s="1"/>
      <c r="X146" s="1"/>
      <c r="Y146" s="1"/>
      <c r="Z146" s="1"/>
    </row>
    <row r="147" customHeight="1" spans="1:26">
      <c r="A147" s="62"/>
      <c r="B147" s="1"/>
      <c r="C147" s="1"/>
      <c r="D147" s="1"/>
      <c r="E147" s="1"/>
      <c r="F147" s="1"/>
      <c r="G147" s="1"/>
      <c r="H147" s="1"/>
      <c r="I147" s="1"/>
      <c r="J147" s="1"/>
      <c r="K147" s="1"/>
      <c r="L147" s="1"/>
      <c r="M147" s="1"/>
      <c r="N147" s="1"/>
      <c r="O147" s="1"/>
      <c r="P147" s="1"/>
      <c r="Q147" s="2"/>
      <c r="R147" s="1"/>
      <c r="S147" s="1"/>
      <c r="T147" s="1"/>
      <c r="U147" s="1"/>
      <c r="V147" s="1"/>
      <c r="W147" s="1"/>
      <c r="X147" s="1"/>
      <c r="Y147" s="1"/>
      <c r="Z147" s="1"/>
    </row>
    <row r="148" customHeight="1" spans="1:26">
      <c r="A148" s="62"/>
      <c r="B148" s="1"/>
      <c r="C148" s="1"/>
      <c r="D148" s="1"/>
      <c r="E148" s="1"/>
      <c r="F148" s="1"/>
      <c r="G148" s="1"/>
      <c r="H148" s="1"/>
      <c r="I148" s="1"/>
      <c r="J148" s="1"/>
      <c r="K148" s="1"/>
      <c r="L148" s="1"/>
      <c r="M148" s="1"/>
      <c r="N148" s="1"/>
      <c r="O148" s="1"/>
      <c r="P148" s="1"/>
      <c r="Q148" s="2"/>
      <c r="R148" s="1"/>
      <c r="S148" s="1"/>
      <c r="T148" s="1"/>
      <c r="U148" s="1"/>
      <c r="V148" s="1"/>
      <c r="W148" s="1"/>
      <c r="X148" s="1"/>
      <c r="Y148" s="1"/>
      <c r="Z148" s="1"/>
    </row>
    <row r="149" customHeight="1" spans="1:26">
      <c r="A149" s="62"/>
      <c r="B149" s="1"/>
      <c r="C149" s="1"/>
      <c r="D149" s="1"/>
      <c r="E149" s="1"/>
      <c r="F149" s="1"/>
      <c r="G149" s="1"/>
      <c r="H149" s="1"/>
      <c r="I149" s="1"/>
      <c r="J149" s="1"/>
      <c r="K149" s="1"/>
      <c r="L149" s="1"/>
      <c r="M149" s="1"/>
      <c r="N149" s="1"/>
      <c r="O149" s="1"/>
      <c r="P149" s="1"/>
      <c r="Q149" s="2"/>
      <c r="R149" s="1"/>
      <c r="S149" s="1"/>
      <c r="T149" s="1"/>
      <c r="U149" s="1"/>
      <c r="V149" s="1"/>
      <c r="W149" s="1"/>
      <c r="X149" s="1"/>
      <c r="Y149" s="1"/>
      <c r="Z149" s="1"/>
    </row>
    <row r="150" customHeight="1" spans="1:26">
      <c r="A150" s="62"/>
      <c r="B150" s="1"/>
      <c r="C150" s="1"/>
      <c r="D150" s="1"/>
      <c r="E150" s="1"/>
      <c r="F150" s="1"/>
      <c r="G150" s="1"/>
      <c r="H150" s="1"/>
      <c r="I150" s="1"/>
      <c r="J150" s="1"/>
      <c r="K150" s="1"/>
      <c r="L150" s="1"/>
      <c r="M150" s="1"/>
      <c r="N150" s="1"/>
      <c r="O150" s="1"/>
      <c r="P150" s="1"/>
      <c r="Q150" s="2"/>
      <c r="R150" s="1"/>
      <c r="S150" s="1"/>
      <c r="T150" s="1"/>
      <c r="U150" s="1"/>
      <c r="V150" s="1"/>
      <c r="W150" s="1"/>
      <c r="X150" s="1"/>
      <c r="Y150" s="1"/>
      <c r="Z150" s="1"/>
    </row>
    <row r="151" customHeight="1" spans="1:26">
      <c r="A151" s="62"/>
      <c r="B151" s="1"/>
      <c r="C151" s="1"/>
      <c r="D151" s="1"/>
      <c r="E151" s="1"/>
      <c r="F151" s="1"/>
      <c r="G151" s="1"/>
      <c r="H151" s="1"/>
      <c r="I151" s="1"/>
      <c r="J151" s="1"/>
      <c r="K151" s="1"/>
      <c r="L151" s="1"/>
      <c r="M151" s="1"/>
      <c r="N151" s="1"/>
      <c r="O151" s="1"/>
      <c r="P151" s="1"/>
      <c r="Q151" s="2"/>
      <c r="R151" s="1"/>
      <c r="S151" s="1"/>
      <c r="T151" s="1"/>
      <c r="U151" s="1"/>
      <c r="V151" s="1"/>
      <c r="W151" s="1"/>
      <c r="X151" s="1"/>
      <c r="Y151" s="1"/>
      <c r="Z151" s="1"/>
    </row>
    <row r="152" customHeight="1" spans="1:26">
      <c r="A152" s="62"/>
      <c r="B152" s="1"/>
      <c r="C152" s="1"/>
      <c r="D152" s="1"/>
      <c r="E152" s="1"/>
      <c r="F152" s="1"/>
      <c r="G152" s="1"/>
      <c r="H152" s="1"/>
      <c r="I152" s="1"/>
      <c r="J152" s="1"/>
      <c r="K152" s="1"/>
      <c r="L152" s="1"/>
      <c r="M152" s="1"/>
      <c r="N152" s="1"/>
      <c r="O152" s="1"/>
      <c r="P152" s="1"/>
      <c r="Q152" s="2"/>
      <c r="R152" s="1"/>
      <c r="S152" s="1"/>
      <c r="T152" s="1"/>
      <c r="U152" s="1"/>
      <c r="V152" s="1"/>
      <c r="W152" s="1"/>
      <c r="X152" s="1"/>
      <c r="Y152" s="1"/>
      <c r="Z152" s="1"/>
    </row>
    <row r="153" customHeight="1" spans="1:26">
      <c r="A153" s="62"/>
      <c r="B153" s="1"/>
      <c r="C153" s="1"/>
      <c r="D153" s="1"/>
      <c r="E153" s="1"/>
      <c r="F153" s="1"/>
      <c r="G153" s="1"/>
      <c r="H153" s="1"/>
      <c r="I153" s="1"/>
      <c r="J153" s="1"/>
      <c r="K153" s="1"/>
      <c r="L153" s="1"/>
      <c r="M153" s="1"/>
      <c r="N153" s="1"/>
      <c r="O153" s="1"/>
      <c r="P153" s="1"/>
      <c r="Q153" s="2"/>
      <c r="R153" s="1"/>
      <c r="S153" s="1"/>
      <c r="T153" s="1"/>
      <c r="U153" s="1"/>
      <c r="V153" s="1"/>
      <c r="W153" s="1"/>
      <c r="X153" s="1"/>
      <c r="Y153" s="1"/>
      <c r="Z153" s="1"/>
    </row>
    <row r="154" customHeight="1" spans="1:26">
      <c r="A154" s="62"/>
      <c r="B154" s="1"/>
      <c r="C154" s="1"/>
      <c r="D154" s="1"/>
      <c r="E154" s="1"/>
      <c r="F154" s="1"/>
      <c r="G154" s="1"/>
      <c r="H154" s="1"/>
      <c r="I154" s="1"/>
      <c r="J154" s="1"/>
      <c r="K154" s="1"/>
      <c r="L154" s="1"/>
      <c r="M154" s="1"/>
      <c r="N154" s="1"/>
      <c r="O154" s="1"/>
      <c r="P154" s="1"/>
      <c r="Q154" s="2"/>
      <c r="R154" s="1"/>
      <c r="S154" s="1"/>
      <c r="T154" s="1"/>
      <c r="U154" s="1"/>
      <c r="V154" s="1"/>
      <c r="W154" s="1"/>
      <c r="X154" s="1"/>
      <c r="Y154" s="1"/>
      <c r="Z154" s="1"/>
    </row>
    <row r="155" customHeight="1" spans="1:26">
      <c r="A155" s="62"/>
      <c r="B155" s="1"/>
      <c r="C155" s="1"/>
      <c r="D155" s="1"/>
      <c r="E155" s="1"/>
      <c r="F155" s="1"/>
      <c r="G155" s="1"/>
      <c r="H155" s="1"/>
      <c r="I155" s="1"/>
      <c r="J155" s="1"/>
      <c r="K155" s="1"/>
      <c r="L155" s="1"/>
      <c r="M155" s="1"/>
      <c r="N155" s="1"/>
      <c r="O155" s="1"/>
      <c r="P155" s="1"/>
      <c r="Q155" s="2"/>
      <c r="R155" s="1"/>
      <c r="S155" s="1"/>
      <c r="T155" s="1"/>
      <c r="U155" s="1"/>
      <c r="V155" s="1"/>
      <c r="W155" s="1"/>
      <c r="X155" s="1"/>
      <c r="Y155" s="1"/>
      <c r="Z155" s="1"/>
    </row>
    <row r="156" customHeight="1" spans="1:26">
      <c r="A156" s="62"/>
      <c r="B156" s="1"/>
      <c r="C156" s="1"/>
      <c r="D156" s="1"/>
      <c r="E156" s="1"/>
      <c r="F156" s="1"/>
      <c r="G156" s="1"/>
      <c r="H156" s="1"/>
      <c r="I156" s="1"/>
      <c r="J156" s="1"/>
      <c r="K156" s="1"/>
      <c r="L156" s="1"/>
      <c r="M156" s="1"/>
      <c r="N156" s="1"/>
      <c r="O156" s="1"/>
      <c r="P156" s="1"/>
      <c r="Q156" s="2"/>
      <c r="R156" s="1"/>
      <c r="S156" s="1"/>
      <c r="T156" s="1"/>
      <c r="U156" s="1"/>
      <c r="V156" s="1"/>
      <c r="W156" s="1"/>
      <c r="X156" s="1"/>
      <c r="Y156" s="1"/>
      <c r="Z156" s="1"/>
    </row>
    <row r="157" customHeight="1" spans="1:26">
      <c r="A157" s="62"/>
      <c r="B157" s="1"/>
      <c r="C157" s="1"/>
      <c r="D157" s="1"/>
      <c r="E157" s="1"/>
      <c r="F157" s="1"/>
      <c r="G157" s="1"/>
      <c r="H157" s="1"/>
      <c r="I157" s="1"/>
      <c r="J157" s="1"/>
      <c r="K157" s="1"/>
      <c r="L157" s="1"/>
      <c r="M157" s="1"/>
      <c r="N157" s="1"/>
      <c r="O157" s="1"/>
      <c r="P157" s="1"/>
      <c r="Q157" s="2"/>
      <c r="R157" s="1"/>
      <c r="S157" s="1"/>
      <c r="T157" s="1"/>
      <c r="U157" s="1"/>
      <c r="V157" s="1"/>
      <c r="W157" s="1"/>
      <c r="X157" s="1"/>
      <c r="Y157" s="1"/>
      <c r="Z157" s="1"/>
    </row>
    <row r="158" customHeight="1" spans="1:26">
      <c r="A158" s="62"/>
      <c r="B158" s="1"/>
      <c r="C158" s="1"/>
      <c r="D158" s="1"/>
      <c r="E158" s="1"/>
      <c r="F158" s="1"/>
      <c r="G158" s="1"/>
      <c r="H158" s="1"/>
      <c r="I158" s="1"/>
      <c r="J158" s="1"/>
      <c r="K158" s="1"/>
      <c r="L158" s="1"/>
      <c r="M158" s="1"/>
      <c r="N158" s="1"/>
      <c r="O158" s="1"/>
      <c r="P158" s="1"/>
      <c r="Q158" s="2"/>
      <c r="R158" s="1"/>
      <c r="S158" s="1"/>
      <c r="T158" s="1"/>
      <c r="U158" s="1"/>
      <c r="V158" s="1"/>
      <c r="W158" s="1"/>
      <c r="X158" s="1"/>
      <c r="Y158" s="1"/>
      <c r="Z158" s="1"/>
    </row>
    <row r="159" customHeight="1" spans="1:26">
      <c r="A159" s="62"/>
      <c r="B159" s="1"/>
      <c r="C159" s="1"/>
      <c r="D159" s="1"/>
      <c r="E159" s="1"/>
      <c r="F159" s="1"/>
      <c r="G159" s="1"/>
      <c r="H159" s="1"/>
      <c r="I159" s="1"/>
      <c r="J159" s="1"/>
      <c r="K159" s="1"/>
      <c r="L159" s="1"/>
      <c r="M159" s="1"/>
      <c r="N159" s="1"/>
      <c r="O159" s="1"/>
      <c r="P159" s="1"/>
      <c r="Q159" s="2"/>
      <c r="R159" s="1"/>
      <c r="S159" s="1"/>
      <c r="T159" s="1"/>
      <c r="U159" s="1"/>
      <c r="V159" s="1"/>
      <c r="W159" s="1"/>
      <c r="X159" s="1"/>
      <c r="Y159" s="1"/>
      <c r="Z159" s="1"/>
    </row>
    <row r="160" customHeight="1" spans="1:26">
      <c r="A160" s="62"/>
      <c r="B160" s="1"/>
      <c r="C160" s="1"/>
      <c r="D160" s="1"/>
      <c r="E160" s="1"/>
      <c r="F160" s="1"/>
      <c r="G160" s="1"/>
      <c r="H160" s="1"/>
      <c r="I160" s="1"/>
      <c r="J160" s="1"/>
      <c r="K160" s="1"/>
      <c r="L160" s="1"/>
      <c r="M160" s="1"/>
      <c r="N160" s="1"/>
      <c r="O160" s="1"/>
      <c r="P160" s="1"/>
      <c r="Q160" s="2"/>
      <c r="R160" s="1"/>
      <c r="S160" s="1"/>
      <c r="T160" s="1"/>
      <c r="U160" s="1"/>
      <c r="V160" s="1"/>
      <c r="W160" s="1"/>
      <c r="X160" s="1"/>
      <c r="Y160" s="1"/>
      <c r="Z160" s="1"/>
    </row>
    <row r="161" customHeight="1" spans="1:26">
      <c r="A161" s="62"/>
      <c r="B161" s="1"/>
      <c r="C161" s="1"/>
      <c r="D161" s="1"/>
      <c r="E161" s="1"/>
      <c r="F161" s="1"/>
      <c r="G161" s="1"/>
      <c r="H161" s="1"/>
      <c r="I161" s="1"/>
      <c r="J161" s="1"/>
      <c r="K161" s="1"/>
      <c r="L161" s="1"/>
      <c r="M161" s="1"/>
      <c r="N161" s="1"/>
      <c r="O161" s="1"/>
      <c r="P161" s="1"/>
      <c r="Q161" s="2"/>
      <c r="R161" s="1"/>
      <c r="S161" s="1"/>
      <c r="T161" s="1"/>
      <c r="U161" s="1"/>
      <c r="V161" s="1"/>
      <c r="W161" s="1"/>
      <c r="X161" s="1"/>
      <c r="Y161" s="1"/>
      <c r="Z161" s="1"/>
    </row>
    <row r="162" customHeight="1" spans="1:26">
      <c r="A162" s="62"/>
      <c r="B162" s="1"/>
      <c r="C162" s="1"/>
      <c r="D162" s="1"/>
      <c r="E162" s="1"/>
      <c r="F162" s="1"/>
      <c r="G162" s="1"/>
      <c r="H162" s="1"/>
      <c r="I162" s="1"/>
      <c r="J162" s="1"/>
      <c r="K162" s="1"/>
      <c r="L162" s="1"/>
      <c r="M162" s="1"/>
      <c r="N162" s="1"/>
      <c r="O162" s="1"/>
      <c r="P162" s="1"/>
      <c r="Q162" s="2"/>
      <c r="R162" s="1"/>
      <c r="S162" s="1"/>
      <c r="T162" s="1"/>
      <c r="U162" s="1"/>
      <c r="V162" s="1"/>
      <c r="W162" s="1"/>
      <c r="X162" s="1"/>
      <c r="Y162" s="1"/>
      <c r="Z162" s="1"/>
    </row>
    <row r="163" customHeight="1" spans="1:26">
      <c r="A163" s="62"/>
      <c r="B163" s="1"/>
      <c r="C163" s="1"/>
      <c r="D163" s="1"/>
      <c r="E163" s="1"/>
      <c r="F163" s="1"/>
      <c r="G163" s="1"/>
      <c r="H163" s="1"/>
      <c r="I163" s="1"/>
      <c r="J163" s="1"/>
      <c r="K163" s="1"/>
      <c r="L163" s="1"/>
      <c r="M163" s="1"/>
      <c r="N163" s="1"/>
      <c r="O163" s="1"/>
      <c r="P163" s="1"/>
      <c r="Q163" s="2"/>
      <c r="R163" s="1"/>
      <c r="S163" s="1"/>
      <c r="T163" s="1"/>
      <c r="U163" s="1"/>
      <c r="V163" s="1"/>
      <c r="W163" s="1"/>
      <c r="X163" s="1"/>
      <c r="Y163" s="1"/>
      <c r="Z163" s="1"/>
    </row>
    <row r="164" customHeight="1" spans="1:26">
      <c r="A164" s="62"/>
      <c r="B164" s="1"/>
      <c r="C164" s="1"/>
      <c r="D164" s="1"/>
      <c r="E164" s="1"/>
      <c r="F164" s="1"/>
      <c r="G164" s="1"/>
      <c r="H164" s="1"/>
      <c r="I164" s="1"/>
      <c r="J164" s="1"/>
      <c r="K164" s="1"/>
      <c r="L164" s="1"/>
      <c r="M164" s="1"/>
      <c r="N164" s="1"/>
      <c r="O164" s="1"/>
      <c r="P164" s="1"/>
      <c r="Q164" s="2"/>
      <c r="R164" s="1"/>
      <c r="S164" s="1"/>
      <c r="T164" s="1"/>
      <c r="U164" s="1"/>
      <c r="V164" s="1"/>
      <c r="W164" s="1"/>
      <c r="X164" s="1"/>
      <c r="Y164" s="1"/>
      <c r="Z164" s="1"/>
    </row>
    <row r="165" customHeight="1" spans="1:26">
      <c r="A165" s="62"/>
      <c r="B165" s="1"/>
      <c r="C165" s="1"/>
      <c r="D165" s="1"/>
      <c r="E165" s="1"/>
      <c r="F165" s="1"/>
      <c r="G165" s="1"/>
      <c r="H165" s="1"/>
      <c r="I165" s="1"/>
      <c r="J165" s="1"/>
      <c r="K165" s="1"/>
      <c r="L165" s="1"/>
      <c r="M165" s="1"/>
      <c r="N165" s="1"/>
      <c r="O165" s="1"/>
      <c r="P165" s="1"/>
      <c r="Q165" s="2"/>
      <c r="R165" s="1"/>
      <c r="S165" s="1"/>
      <c r="T165" s="1"/>
      <c r="U165" s="1"/>
      <c r="V165" s="1"/>
      <c r="W165" s="1"/>
      <c r="X165" s="1"/>
      <c r="Y165" s="1"/>
      <c r="Z165" s="1"/>
    </row>
    <row r="166" customHeight="1" spans="1:26">
      <c r="A166" s="62"/>
      <c r="B166" s="1"/>
      <c r="C166" s="1"/>
      <c r="D166" s="1"/>
      <c r="E166" s="1"/>
      <c r="F166" s="1"/>
      <c r="G166" s="1"/>
      <c r="H166" s="1"/>
      <c r="I166" s="1"/>
      <c r="J166" s="1"/>
      <c r="K166" s="1"/>
      <c r="L166" s="1"/>
      <c r="M166" s="1"/>
      <c r="N166" s="1"/>
      <c r="O166" s="1"/>
      <c r="P166" s="1"/>
      <c r="Q166" s="2"/>
      <c r="R166" s="1"/>
      <c r="S166" s="1"/>
      <c r="T166" s="1"/>
      <c r="U166" s="1"/>
      <c r="V166" s="1"/>
      <c r="W166" s="1"/>
      <c r="X166" s="1"/>
      <c r="Y166" s="1"/>
      <c r="Z166" s="1"/>
    </row>
    <row r="167" customHeight="1" spans="1:26">
      <c r="A167" s="62"/>
      <c r="B167" s="1"/>
      <c r="C167" s="1"/>
      <c r="D167" s="1"/>
      <c r="E167" s="1"/>
      <c r="F167" s="1"/>
      <c r="G167" s="1"/>
      <c r="H167" s="1"/>
      <c r="I167" s="1"/>
      <c r="J167" s="1"/>
      <c r="K167" s="1"/>
      <c r="L167" s="1"/>
      <c r="M167" s="1"/>
      <c r="N167" s="1"/>
      <c r="O167" s="1"/>
      <c r="P167" s="1"/>
      <c r="Q167" s="2"/>
      <c r="R167" s="1"/>
      <c r="S167" s="1"/>
      <c r="T167" s="1"/>
      <c r="U167" s="1"/>
      <c r="V167" s="1"/>
      <c r="W167" s="1"/>
      <c r="X167" s="1"/>
      <c r="Y167" s="1"/>
      <c r="Z167" s="1"/>
    </row>
    <row r="168" customHeight="1" spans="1:26">
      <c r="A168" s="62"/>
      <c r="B168" s="1"/>
      <c r="C168" s="1"/>
      <c r="D168" s="1"/>
      <c r="E168" s="1"/>
      <c r="F168" s="1"/>
      <c r="G168" s="1"/>
      <c r="H168" s="1"/>
      <c r="I168" s="1"/>
      <c r="J168" s="1"/>
      <c r="K168" s="1"/>
      <c r="L168" s="1"/>
      <c r="M168" s="1"/>
      <c r="N168" s="1"/>
      <c r="O168" s="1"/>
      <c r="P168" s="1"/>
      <c r="Q168" s="2"/>
      <c r="R168" s="1"/>
      <c r="S168" s="1"/>
      <c r="T168" s="1"/>
      <c r="U168" s="1"/>
      <c r="V168" s="1"/>
      <c r="W168" s="1"/>
      <c r="X168" s="1"/>
      <c r="Y168" s="1"/>
      <c r="Z168" s="1"/>
    </row>
    <row r="169" customHeight="1" spans="1:26">
      <c r="A169" s="62"/>
      <c r="B169" s="1"/>
      <c r="C169" s="1"/>
      <c r="D169" s="1"/>
      <c r="E169" s="1"/>
      <c r="F169" s="1"/>
      <c r="G169" s="1"/>
      <c r="H169" s="1"/>
      <c r="I169" s="1"/>
      <c r="J169" s="1"/>
      <c r="K169" s="1"/>
      <c r="L169" s="1"/>
      <c r="M169" s="1"/>
      <c r="N169" s="1"/>
      <c r="O169" s="1"/>
      <c r="P169" s="1"/>
      <c r="Q169" s="2"/>
      <c r="R169" s="1"/>
      <c r="S169" s="1"/>
      <c r="T169" s="1"/>
      <c r="U169" s="1"/>
      <c r="V169" s="1"/>
      <c r="W169" s="1"/>
      <c r="X169" s="1"/>
      <c r="Y169" s="1"/>
      <c r="Z169" s="1"/>
    </row>
    <row r="170" customHeight="1" spans="1:26">
      <c r="A170" s="62"/>
      <c r="B170" s="1"/>
      <c r="C170" s="1"/>
      <c r="D170" s="1"/>
      <c r="E170" s="1"/>
      <c r="F170" s="1"/>
      <c r="G170" s="1"/>
      <c r="H170" s="1"/>
      <c r="I170" s="1"/>
      <c r="J170" s="1"/>
      <c r="K170" s="1"/>
      <c r="L170" s="1"/>
      <c r="M170" s="1"/>
      <c r="N170" s="1"/>
      <c r="O170" s="1"/>
      <c r="P170" s="1"/>
      <c r="Q170" s="2"/>
      <c r="R170" s="1"/>
      <c r="S170" s="1"/>
      <c r="T170" s="1"/>
      <c r="U170" s="1"/>
      <c r="V170" s="1"/>
      <c r="W170" s="1"/>
      <c r="X170" s="1"/>
      <c r="Y170" s="1"/>
      <c r="Z170" s="1"/>
    </row>
    <row r="171" customHeight="1" spans="1:26">
      <c r="A171" s="62"/>
      <c r="B171" s="1"/>
      <c r="C171" s="1"/>
      <c r="D171" s="1"/>
      <c r="E171" s="1"/>
      <c r="F171" s="1"/>
      <c r="G171" s="1"/>
      <c r="H171" s="1"/>
      <c r="I171" s="1"/>
      <c r="J171" s="1"/>
      <c r="K171" s="1"/>
      <c r="L171" s="1"/>
      <c r="M171" s="1"/>
      <c r="N171" s="1"/>
      <c r="O171" s="1"/>
      <c r="P171" s="1"/>
      <c r="Q171" s="2"/>
      <c r="R171" s="1"/>
      <c r="S171" s="1"/>
      <c r="T171" s="1"/>
      <c r="U171" s="1"/>
      <c r="V171" s="1"/>
      <c r="W171" s="1"/>
      <c r="X171" s="1"/>
      <c r="Y171" s="1"/>
      <c r="Z171" s="1"/>
    </row>
    <row r="172" customHeight="1" spans="1:26">
      <c r="A172" s="62"/>
      <c r="B172" s="1"/>
      <c r="C172" s="1"/>
      <c r="D172" s="1"/>
      <c r="E172" s="1"/>
      <c r="F172" s="1"/>
      <c r="G172" s="1"/>
      <c r="H172" s="1"/>
      <c r="I172" s="1"/>
      <c r="J172" s="1"/>
      <c r="K172" s="1"/>
      <c r="L172" s="1"/>
      <c r="M172" s="1"/>
      <c r="N172" s="1"/>
      <c r="O172" s="1"/>
      <c r="P172" s="1"/>
      <c r="Q172" s="2"/>
      <c r="R172" s="1"/>
      <c r="S172" s="1"/>
      <c r="T172" s="1"/>
      <c r="U172" s="1"/>
      <c r="V172" s="1"/>
      <c r="W172" s="1"/>
      <c r="X172" s="1"/>
      <c r="Y172" s="1"/>
      <c r="Z172" s="1"/>
    </row>
    <row r="173" customHeight="1" spans="1:26">
      <c r="A173" s="62"/>
      <c r="B173" s="1"/>
      <c r="C173" s="1"/>
      <c r="D173" s="1"/>
      <c r="E173" s="1"/>
      <c r="F173" s="1"/>
      <c r="G173" s="1"/>
      <c r="H173" s="1"/>
      <c r="I173" s="1"/>
      <c r="J173" s="1"/>
      <c r="K173" s="1"/>
      <c r="L173" s="1"/>
      <c r="M173" s="1"/>
      <c r="N173" s="1"/>
      <c r="O173" s="1"/>
      <c r="P173" s="1"/>
      <c r="Q173" s="2"/>
      <c r="R173" s="1"/>
      <c r="S173" s="1"/>
      <c r="T173" s="1"/>
      <c r="U173" s="1"/>
      <c r="V173" s="1"/>
      <c r="W173" s="1"/>
      <c r="X173" s="1"/>
      <c r="Y173" s="1"/>
      <c r="Z173" s="1"/>
    </row>
    <row r="174" customHeight="1" spans="1:26">
      <c r="A174" s="62"/>
      <c r="B174" s="1"/>
      <c r="C174" s="1"/>
      <c r="D174" s="1"/>
      <c r="E174" s="1"/>
      <c r="F174" s="1"/>
      <c r="G174" s="1"/>
      <c r="H174" s="1"/>
      <c r="I174" s="1"/>
      <c r="J174" s="1"/>
      <c r="K174" s="1"/>
      <c r="L174" s="1"/>
      <c r="M174" s="1"/>
      <c r="N174" s="1"/>
      <c r="O174" s="1"/>
      <c r="P174" s="1"/>
      <c r="Q174" s="2"/>
      <c r="R174" s="1"/>
      <c r="S174" s="1"/>
      <c r="T174" s="1"/>
      <c r="U174" s="1"/>
      <c r="V174" s="1"/>
      <c r="W174" s="1"/>
      <c r="X174" s="1"/>
      <c r="Y174" s="1"/>
      <c r="Z174" s="1"/>
    </row>
    <row r="175" customHeight="1" spans="1:26">
      <c r="A175" s="62"/>
      <c r="B175" s="1"/>
      <c r="C175" s="1"/>
      <c r="D175" s="1"/>
      <c r="E175" s="1"/>
      <c r="F175" s="1"/>
      <c r="G175" s="1"/>
      <c r="H175" s="1"/>
      <c r="I175" s="1"/>
      <c r="J175" s="1"/>
      <c r="K175" s="1"/>
      <c r="L175" s="1"/>
      <c r="M175" s="1"/>
      <c r="N175" s="1"/>
      <c r="O175" s="1"/>
      <c r="P175" s="1"/>
      <c r="Q175" s="2"/>
      <c r="R175" s="1"/>
      <c r="S175" s="1"/>
      <c r="T175" s="1"/>
      <c r="U175" s="1"/>
      <c r="V175" s="1"/>
      <c r="W175" s="1"/>
      <c r="X175" s="1"/>
      <c r="Y175" s="1"/>
      <c r="Z175" s="1"/>
    </row>
    <row r="176" customHeight="1" spans="1:26">
      <c r="A176" s="62"/>
      <c r="B176" s="1"/>
      <c r="C176" s="1"/>
      <c r="D176" s="1"/>
      <c r="E176" s="1"/>
      <c r="F176" s="1"/>
      <c r="G176" s="1"/>
      <c r="H176" s="1"/>
      <c r="I176" s="1"/>
      <c r="J176" s="1"/>
      <c r="K176" s="1"/>
      <c r="L176" s="1"/>
      <c r="M176" s="1"/>
      <c r="N176" s="1"/>
      <c r="O176" s="1"/>
      <c r="P176" s="1"/>
      <c r="Q176" s="2"/>
      <c r="R176" s="1"/>
      <c r="S176" s="1"/>
      <c r="T176" s="1"/>
      <c r="U176" s="1"/>
      <c r="V176" s="1"/>
      <c r="W176" s="1"/>
      <c r="X176" s="1"/>
      <c r="Y176" s="1"/>
      <c r="Z176" s="1"/>
    </row>
    <row r="177" customHeight="1" spans="1:26">
      <c r="A177" s="62"/>
      <c r="B177" s="1"/>
      <c r="C177" s="1"/>
      <c r="D177" s="1"/>
      <c r="E177" s="1"/>
      <c r="F177" s="1"/>
      <c r="G177" s="1"/>
      <c r="H177" s="1"/>
      <c r="I177" s="1"/>
      <c r="J177" s="1"/>
      <c r="K177" s="1"/>
      <c r="L177" s="1"/>
      <c r="M177" s="1"/>
      <c r="N177" s="1"/>
      <c r="O177" s="1"/>
      <c r="P177" s="1"/>
      <c r="Q177" s="2"/>
      <c r="R177" s="1"/>
      <c r="S177" s="1"/>
      <c r="T177" s="1"/>
      <c r="U177" s="1"/>
      <c r="V177" s="1"/>
      <c r="W177" s="1"/>
      <c r="X177" s="1"/>
      <c r="Y177" s="1"/>
      <c r="Z177" s="1"/>
    </row>
    <row r="178" customHeight="1" spans="1:26">
      <c r="A178" s="62"/>
      <c r="B178" s="1"/>
      <c r="C178" s="1"/>
      <c r="D178" s="1"/>
      <c r="E178" s="1"/>
      <c r="F178" s="1"/>
      <c r="G178" s="1"/>
      <c r="H178" s="1"/>
      <c r="I178" s="1"/>
      <c r="J178" s="1"/>
      <c r="K178" s="1"/>
      <c r="L178" s="1"/>
      <c r="M178" s="1"/>
      <c r="N178" s="1"/>
      <c r="O178" s="1"/>
      <c r="P178" s="1"/>
      <c r="Q178" s="2"/>
      <c r="R178" s="1"/>
      <c r="S178" s="1"/>
      <c r="T178" s="1"/>
      <c r="U178" s="1"/>
      <c r="V178" s="1"/>
      <c r="W178" s="1"/>
      <c r="X178" s="1"/>
      <c r="Y178" s="1"/>
      <c r="Z178" s="1"/>
    </row>
    <row r="179" customHeight="1" spans="1:26">
      <c r="A179" s="62"/>
      <c r="B179" s="1"/>
      <c r="C179" s="1"/>
      <c r="D179" s="1"/>
      <c r="E179" s="1"/>
      <c r="F179" s="1"/>
      <c r="G179" s="1"/>
      <c r="H179" s="1"/>
      <c r="I179" s="1"/>
      <c r="J179" s="1"/>
      <c r="K179" s="1"/>
      <c r="L179" s="1"/>
      <c r="M179" s="1"/>
      <c r="N179" s="1"/>
      <c r="O179" s="1"/>
      <c r="P179" s="1"/>
      <c r="Q179" s="2"/>
      <c r="R179" s="1"/>
      <c r="S179" s="1"/>
      <c r="T179" s="1"/>
      <c r="U179" s="1"/>
      <c r="V179" s="1"/>
      <c r="W179" s="1"/>
      <c r="X179" s="1"/>
      <c r="Y179" s="1"/>
      <c r="Z179" s="1"/>
    </row>
    <row r="180" customHeight="1" spans="1:26">
      <c r="A180" s="62"/>
      <c r="B180" s="1"/>
      <c r="C180" s="1"/>
      <c r="D180" s="1"/>
      <c r="E180" s="1"/>
      <c r="F180" s="1"/>
      <c r="G180" s="1"/>
      <c r="H180" s="1"/>
      <c r="I180" s="1"/>
      <c r="J180" s="1"/>
      <c r="K180" s="1"/>
      <c r="L180" s="1"/>
      <c r="M180" s="1"/>
      <c r="N180" s="1"/>
      <c r="O180" s="1"/>
      <c r="P180" s="1"/>
      <c r="Q180" s="2"/>
      <c r="R180" s="1"/>
      <c r="S180" s="1"/>
      <c r="T180" s="1"/>
      <c r="U180" s="1"/>
      <c r="V180" s="1"/>
      <c r="W180" s="1"/>
      <c r="X180" s="1"/>
      <c r="Y180" s="1"/>
      <c r="Z180" s="1"/>
    </row>
    <row r="181" customHeight="1" spans="1:26">
      <c r="A181" s="62"/>
      <c r="B181" s="1"/>
      <c r="C181" s="1"/>
      <c r="D181" s="1"/>
      <c r="E181" s="1"/>
      <c r="F181" s="1"/>
      <c r="G181" s="1"/>
      <c r="H181" s="1"/>
      <c r="I181" s="1"/>
      <c r="J181" s="1"/>
      <c r="K181" s="1"/>
      <c r="L181" s="1"/>
      <c r="M181" s="1"/>
      <c r="N181" s="1"/>
      <c r="O181" s="1"/>
      <c r="P181" s="1"/>
      <c r="Q181" s="2"/>
      <c r="R181" s="1"/>
      <c r="S181" s="1"/>
      <c r="T181" s="1"/>
      <c r="U181" s="1"/>
      <c r="V181" s="1"/>
      <c r="W181" s="1"/>
      <c r="X181" s="1"/>
      <c r="Y181" s="1"/>
      <c r="Z181" s="1"/>
    </row>
    <row r="182" customHeight="1" spans="1:26">
      <c r="A182" s="62"/>
      <c r="B182" s="1"/>
      <c r="C182" s="1"/>
      <c r="D182" s="1"/>
      <c r="E182" s="1"/>
      <c r="F182" s="1"/>
      <c r="G182" s="1"/>
      <c r="H182" s="1"/>
      <c r="I182" s="1"/>
      <c r="J182" s="1"/>
      <c r="K182" s="1"/>
      <c r="L182" s="1"/>
      <c r="M182" s="1"/>
      <c r="N182" s="1"/>
      <c r="O182" s="1"/>
      <c r="P182" s="1"/>
      <c r="Q182" s="2"/>
      <c r="R182" s="1"/>
      <c r="S182" s="1"/>
      <c r="T182" s="1"/>
      <c r="U182" s="1"/>
      <c r="V182" s="1"/>
      <c r="W182" s="1"/>
      <c r="X182" s="1"/>
      <c r="Y182" s="1"/>
      <c r="Z182" s="1"/>
    </row>
    <row r="183" customHeight="1" spans="1:26">
      <c r="A183" s="62"/>
      <c r="B183" s="1"/>
      <c r="C183" s="1"/>
      <c r="D183" s="1"/>
      <c r="E183" s="1"/>
      <c r="F183" s="1"/>
      <c r="G183" s="1"/>
      <c r="H183" s="1"/>
      <c r="I183" s="1"/>
      <c r="J183" s="1"/>
      <c r="K183" s="1"/>
      <c r="L183" s="1"/>
      <c r="M183" s="1"/>
      <c r="N183" s="1"/>
      <c r="O183" s="1"/>
      <c r="P183" s="1"/>
      <c r="Q183" s="2"/>
      <c r="R183" s="1"/>
      <c r="S183" s="1"/>
      <c r="T183" s="1"/>
      <c r="U183" s="1"/>
      <c r="V183" s="1"/>
      <c r="W183" s="1"/>
      <c r="X183" s="1"/>
      <c r="Y183" s="1"/>
      <c r="Z183" s="1"/>
    </row>
    <row r="184" customHeight="1" spans="1:26">
      <c r="A184" s="62"/>
      <c r="B184" s="1"/>
      <c r="C184" s="1"/>
      <c r="D184" s="1"/>
      <c r="E184" s="1"/>
      <c r="F184" s="1"/>
      <c r="G184" s="1"/>
      <c r="H184" s="1"/>
      <c r="I184" s="1"/>
      <c r="J184" s="1"/>
      <c r="K184" s="1"/>
      <c r="L184" s="1"/>
      <c r="M184" s="1"/>
      <c r="N184" s="1"/>
      <c r="O184" s="1"/>
      <c r="P184" s="1"/>
      <c r="Q184" s="2"/>
      <c r="R184" s="1"/>
      <c r="S184" s="1"/>
      <c r="T184" s="1"/>
      <c r="U184" s="1"/>
      <c r="V184" s="1"/>
      <c r="W184" s="1"/>
      <c r="X184" s="1"/>
      <c r="Y184" s="1"/>
      <c r="Z184" s="1"/>
    </row>
    <row r="185" customHeight="1" spans="1:26">
      <c r="A185" s="62"/>
      <c r="B185" s="1"/>
      <c r="C185" s="1"/>
      <c r="D185" s="1"/>
      <c r="E185" s="1"/>
      <c r="F185" s="1"/>
      <c r="G185" s="1"/>
      <c r="H185" s="1"/>
      <c r="I185" s="1"/>
      <c r="J185" s="1"/>
      <c r="K185" s="1"/>
      <c r="L185" s="1"/>
      <c r="M185" s="1"/>
      <c r="N185" s="1"/>
      <c r="O185" s="1"/>
      <c r="P185" s="1"/>
      <c r="Q185" s="2"/>
      <c r="R185" s="1"/>
      <c r="S185" s="1"/>
      <c r="T185" s="1"/>
      <c r="U185" s="1"/>
      <c r="V185" s="1"/>
      <c r="W185" s="1"/>
      <c r="X185" s="1"/>
      <c r="Y185" s="1"/>
      <c r="Z185" s="1"/>
    </row>
    <row r="186" customHeight="1" spans="1:26">
      <c r="A186" s="62"/>
      <c r="B186" s="1"/>
      <c r="C186" s="1"/>
      <c r="D186" s="1"/>
      <c r="E186" s="1"/>
      <c r="F186" s="1"/>
      <c r="G186" s="1"/>
      <c r="H186" s="1"/>
      <c r="I186" s="1"/>
      <c r="J186" s="1"/>
      <c r="K186" s="1"/>
      <c r="L186" s="1"/>
      <c r="M186" s="1"/>
      <c r="N186" s="1"/>
      <c r="O186" s="1"/>
      <c r="P186" s="1"/>
      <c r="Q186" s="2"/>
      <c r="R186" s="1"/>
      <c r="S186" s="1"/>
      <c r="T186" s="1"/>
      <c r="U186" s="1"/>
      <c r="V186" s="1"/>
      <c r="W186" s="1"/>
      <c r="X186" s="1"/>
      <c r="Y186" s="1"/>
      <c r="Z186" s="1"/>
    </row>
    <row r="187" customHeight="1" spans="1:26">
      <c r="A187" s="62"/>
      <c r="B187" s="1"/>
      <c r="C187" s="1"/>
      <c r="D187" s="1"/>
      <c r="E187" s="1"/>
      <c r="F187" s="1"/>
      <c r="G187" s="1"/>
      <c r="H187" s="1"/>
      <c r="I187" s="1"/>
      <c r="J187" s="1"/>
      <c r="K187" s="1"/>
      <c r="L187" s="1"/>
      <c r="M187" s="1"/>
      <c r="N187" s="1"/>
      <c r="O187" s="1"/>
      <c r="P187" s="1"/>
      <c r="Q187" s="2"/>
      <c r="R187" s="1"/>
      <c r="S187" s="1"/>
      <c r="T187" s="1"/>
      <c r="U187" s="1"/>
      <c r="V187" s="1"/>
      <c r="W187" s="1"/>
      <c r="X187" s="1"/>
      <c r="Y187" s="1"/>
      <c r="Z187" s="1"/>
    </row>
    <row r="188" customHeight="1" spans="1:26">
      <c r="A188" s="62"/>
      <c r="B188" s="1"/>
      <c r="C188" s="1"/>
      <c r="D188" s="1"/>
      <c r="E188" s="1"/>
      <c r="F188" s="1"/>
      <c r="G188" s="1"/>
      <c r="H188" s="1"/>
      <c r="I188" s="1"/>
      <c r="J188" s="1"/>
      <c r="K188" s="1"/>
      <c r="L188" s="1"/>
      <c r="M188" s="1"/>
      <c r="N188" s="1"/>
      <c r="O188" s="1"/>
      <c r="P188" s="1"/>
      <c r="Q188" s="2"/>
      <c r="R188" s="1"/>
      <c r="S188" s="1"/>
      <c r="T188" s="1"/>
      <c r="U188" s="1"/>
      <c r="V188" s="1"/>
      <c r="W188" s="1"/>
      <c r="X188" s="1"/>
      <c r="Y188" s="1"/>
      <c r="Z188" s="1"/>
    </row>
    <row r="189" customHeight="1" spans="1:26">
      <c r="A189" s="62"/>
      <c r="B189" s="1"/>
      <c r="C189" s="1"/>
      <c r="D189" s="1"/>
      <c r="E189" s="1"/>
      <c r="F189" s="1"/>
      <c r="G189" s="1"/>
      <c r="H189" s="1"/>
      <c r="I189" s="1"/>
      <c r="J189" s="1"/>
      <c r="K189" s="1"/>
      <c r="L189" s="1"/>
      <c r="M189" s="1"/>
      <c r="N189" s="1"/>
      <c r="O189" s="1"/>
      <c r="P189" s="1"/>
      <c r="Q189" s="2"/>
      <c r="R189" s="1"/>
      <c r="S189" s="1"/>
      <c r="T189" s="1"/>
      <c r="U189" s="1"/>
      <c r="V189" s="1"/>
      <c r="W189" s="1"/>
      <c r="X189" s="1"/>
      <c r="Y189" s="1"/>
      <c r="Z189" s="1"/>
    </row>
    <row r="190" customHeight="1" spans="1:26">
      <c r="A190" s="62"/>
      <c r="B190" s="1"/>
      <c r="C190" s="1"/>
      <c r="D190" s="1"/>
      <c r="E190" s="1"/>
      <c r="F190" s="1"/>
      <c r="G190" s="1"/>
      <c r="H190" s="1"/>
      <c r="I190" s="1"/>
      <c r="J190" s="1"/>
      <c r="K190" s="1"/>
      <c r="L190" s="1"/>
      <c r="M190" s="1"/>
      <c r="N190" s="1"/>
      <c r="O190" s="1"/>
      <c r="P190" s="1"/>
      <c r="Q190" s="2"/>
      <c r="R190" s="1"/>
      <c r="S190" s="1"/>
      <c r="T190" s="1"/>
      <c r="U190" s="1"/>
      <c r="V190" s="1"/>
      <c r="W190" s="1"/>
      <c r="X190" s="1"/>
      <c r="Y190" s="1"/>
      <c r="Z190" s="1"/>
    </row>
    <row r="191" customHeight="1" spans="1:26">
      <c r="A191" s="62"/>
      <c r="B191" s="1"/>
      <c r="C191" s="1"/>
      <c r="D191" s="1"/>
      <c r="E191" s="1"/>
      <c r="F191" s="1"/>
      <c r="G191" s="1"/>
      <c r="H191" s="1"/>
      <c r="I191" s="1"/>
      <c r="J191" s="1"/>
      <c r="K191" s="1"/>
      <c r="L191" s="1"/>
      <c r="M191" s="1"/>
      <c r="N191" s="1"/>
      <c r="O191" s="1"/>
      <c r="P191" s="1"/>
      <c r="Q191" s="2"/>
      <c r="R191" s="1"/>
      <c r="S191" s="1"/>
      <c r="T191" s="1"/>
      <c r="U191" s="1"/>
      <c r="V191" s="1"/>
      <c r="W191" s="1"/>
      <c r="X191" s="1"/>
      <c r="Y191" s="1"/>
      <c r="Z191" s="1"/>
    </row>
    <row r="192" customHeight="1" spans="1:26">
      <c r="A192" s="62"/>
      <c r="B192" s="1"/>
      <c r="C192" s="1"/>
      <c r="D192" s="1"/>
      <c r="E192" s="1"/>
      <c r="F192" s="1"/>
      <c r="G192" s="1"/>
      <c r="H192" s="1"/>
      <c r="I192" s="1"/>
      <c r="J192" s="1"/>
      <c r="K192" s="1"/>
      <c r="L192" s="1"/>
      <c r="M192" s="1"/>
      <c r="N192" s="1"/>
      <c r="O192" s="1"/>
      <c r="P192" s="1"/>
      <c r="Q192" s="2"/>
      <c r="R192" s="1"/>
      <c r="S192" s="1"/>
      <c r="T192" s="1"/>
      <c r="U192" s="1"/>
      <c r="V192" s="1"/>
      <c r="W192" s="1"/>
      <c r="X192" s="1"/>
      <c r="Y192" s="1"/>
      <c r="Z192" s="1"/>
    </row>
    <row r="193" customHeight="1" spans="1:26">
      <c r="A193" s="62"/>
      <c r="B193" s="1"/>
      <c r="C193" s="1"/>
      <c r="D193" s="1"/>
      <c r="E193" s="1"/>
      <c r="F193" s="1"/>
      <c r="G193" s="1"/>
      <c r="H193" s="1"/>
      <c r="I193" s="1"/>
      <c r="J193" s="1"/>
      <c r="K193" s="1"/>
      <c r="L193" s="1"/>
      <c r="M193" s="1"/>
      <c r="N193" s="1"/>
      <c r="O193" s="1"/>
      <c r="P193" s="1"/>
      <c r="Q193" s="2"/>
      <c r="R193" s="1"/>
      <c r="S193" s="1"/>
      <c r="T193" s="1"/>
      <c r="U193" s="1"/>
      <c r="V193" s="1"/>
      <c r="W193" s="1"/>
      <c r="X193" s="1"/>
      <c r="Y193" s="1"/>
      <c r="Z193" s="1"/>
    </row>
    <row r="194" customHeight="1" spans="1:26">
      <c r="A194" s="62"/>
      <c r="B194" s="1"/>
      <c r="C194" s="1"/>
      <c r="D194" s="1"/>
      <c r="E194" s="1"/>
      <c r="F194" s="1"/>
      <c r="G194" s="1"/>
      <c r="H194" s="1"/>
      <c r="I194" s="1"/>
      <c r="J194" s="1"/>
      <c r="K194" s="1"/>
      <c r="L194" s="1"/>
      <c r="M194" s="1"/>
      <c r="N194" s="1"/>
      <c r="O194" s="1"/>
      <c r="P194" s="1"/>
      <c r="Q194" s="2"/>
      <c r="R194" s="1"/>
      <c r="S194" s="1"/>
      <c r="T194" s="1"/>
      <c r="U194" s="1"/>
      <c r="V194" s="1"/>
      <c r="W194" s="1"/>
      <c r="X194" s="1"/>
      <c r="Y194" s="1"/>
      <c r="Z194" s="1"/>
    </row>
    <row r="195" customHeight="1" spans="1:26">
      <c r="A195" s="62"/>
      <c r="B195" s="1"/>
      <c r="C195" s="1"/>
      <c r="D195" s="1"/>
      <c r="E195" s="1"/>
      <c r="F195" s="1"/>
      <c r="G195" s="1"/>
      <c r="H195" s="1"/>
      <c r="I195" s="1"/>
      <c r="J195" s="1"/>
      <c r="K195" s="1"/>
      <c r="L195" s="1"/>
      <c r="M195" s="1"/>
      <c r="N195" s="1"/>
      <c r="O195" s="1"/>
      <c r="P195" s="1"/>
      <c r="Q195" s="2"/>
      <c r="R195" s="1"/>
      <c r="S195" s="1"/>
      <c r="T195" s="1"/>
      <c r="U195" s="1"/>
      <c r="V195" s="1"/>
      <c r="W195" s="1"/>
      <c r="X195" s="1"/>
      <c r="Y195" s="1"/>
      <c r="Z195" s="1"/>
    </row>
    <row r="196" customHeight="1" spans="1:26">
      <c r="A196" s="62"/>
      <c r="B196" s="1"/>
      <c r="C196" s="1"/>
      <c r="D196" s="1"/>
      <c r="E196" s="1"/>
      <c r="F196" s="1"/>
      <c r="G196" s="1"/>
      <c r="H196" s="1"/>
      <c r="I196" s="1"/>
      <c r="J196" s="1"/>
      <c r="K196" s="1"/>
      <c r="L196" s="1"/>
      <c r="M196" s="1"/>
      <c r="N196" s="1"/>
      <c r="O196" s="1"/>
      <c r="P196" s="1"/>
      <c r="Q196" s="2"/>
      <c r="R196" s="1"/>
      <c r="S196" s="1"/>
      <c r="T196" s="1"/>
      <c r="U196" s="1"/>
      <c r="V196" s="1"/>
      <c r="W196" s="1"/>
      <c r="X196" s="1"/>
      <c r="Y196" s="1"/>
      <c r="Z196" s="1"/>
    </row>
    <row r="197" customHeight="1" spans="1:26">
      <c r="A197" s="62"/>
      <c r="B197" s="1"/>
      <c r="C197" s="1"/>
      <c r="D197" s="1"/>
      <c r="E197" s="1"/>
      <c r="F197" s="1"/>
      <c r="G197" s="1"/>
      <c r="H197" s="1"/>
      <c r="I197" s="1"/>
      <c r="J197" s="1"/>
      <c r="K197" s="1"/>
      <c r="L197" s="1"/>
      <c r="M197" s="1"/>
      <c r="N197" s="1"/>
      <c r="O197" s="1"/>
      <c r="P197" s="1"/>
      <c r="Q197" s="2"/>
      <c r="R197" s="1"/>
      <c r="S197" s="1"/>
      <c r="T197" s="1"/>
      <c r="U197" s="1"/>
      <c r="V197" s="1"/>
      <c r="W197" s="1"/>
      <c r="X197" s="1"/>
      <c r="Y197" s="1"/>
      <c r="Z197" s="1"/>
    </row>
    <row r="198" customHeight="1" spans="1:26">
      <c r="A198" s="62"/>
      <c r="B198" s="1"/>
      <c r="C198" s="1"/>
      <c r="D198" s="1"/>
      <c r="E198" s="1"/>
      <c r="F198" s="1"/>
      <c r="G198" s="1"/>
      <c r="H198" s="1"/>
      <c r="I198" s="1"/>
      <c r="J198" s="1"/>
      <c r="K198" s="1"/>
      <c r="L198" s="1"/>
      <c r="M198" s="1"/>
      <c r="N198" s="1"/>
      <c r="O198" s="1"/>
      <c r="P198" s="1"/>
      <c r="Q198" s="2"/>
      <c r="R198" s="1"/>
      <c r="S198" s="1"/>
      <c r="T198" s="1"/>
      <c r="U198" s="1"/>
      <c r="V198" s="1"/>
      <c r="W198" s="1"/>
      <c r="X198" s="1"/>
      <c r="Y198" s="1"/>
      <c r="Z198" s="1"/>
    </row>
    <row r="199" customHeight="1" spans="1:26">
      <c r="A199" s="62"/>
      <c r="B199" s="1"/>
      <c r="C199" s="1"/>
      <c r="D199" s="1"/>
      <c r="E199" s="1"/>
      <c r="F199" s="1"/>
      <c r="G199" s="1"/>
      <c r="H199" s="1"/>
      <c r="I199" s="1"/>
      <c r="J199" s="1"/>
      <c r="K199" s="1"/>
      <c r="L199" s="1"/>
      <c r="M199" s="1"/>
      <c r="N199" s="1"/>
      <c r="O199" s="1"/>
      <c r="P199" s="1"/>
      <c r="Q199" s="2"/>
      <c r="R199" s="1"/>
      <c r="S199" s="1"/>
      <c r="T199" s="1"/>
      <c r="U199" s="1"/>
      <c r="V199" s="1"/>
      <c r="W199" s="1"/>
      <c r="X199" s="1"/>
      <c r="Y199" s="1"/>
      <c r="Z199" s="1"/>
    </row>
    <row r="200" customHeight="1" spans="1:26">
      <c r="A200" s="62"/>
      <c r="B200" s="1"/>
      <c r="C200" s="1"/>
      <c r="D200" s="1"/>
      <c r="E200" s="1"/>
      <c r="F200" s="1"/>
      <c r="G200" s="1"/>
      <c r="H200" s="1"/>
      <c r="I200" s="1"/>
      <c r="J200" s="1"/>
      <c r="K200" s="1"/>
      <c r="L200" s="1"/>
      <c r="M200" s="1"/>
      <c r="N200" s="1"/>
      <c r="O200" s="1"/>
      <c r="P200" s="1"/>
      <c r="Q200" s="2"/>
      <c r="R200" s="1"/>
      <c r="S200" s="1"/>
      <c r="T200" s="1"/>
      <c r="U200" s="1"/>
      <c r="V200" s="1"/>
      <c r="W200" s="1"/>
      <c r="X200" s="1"/>
      <c r="Y200" s="1"/>
      <c r="Z200" s="1"/>
    </row>
    <row r="201" customHeight="1" spans="1:26">
      <c r="A201" s="62"/>
      <c r="B201" s="1"/>
      <c r="C201" s="1"/>
      <c r="D201" s="1"/>
      <c r="E201" s="1"/>
      <c r="F201" s="1"/>
      <c r="G201" s="1"/>
      <c r="H201" s="1"/>
      <c r="I201" s="1"/>
      <c r="J201" s="1"/>
      <c r="K201" s="1"/>
      <c r="L201" s="1"/>
      <c r="M201" s="1"/>
      <c r="N201" s="1"/>
      <c r="O201" s="1"/>
      <c r="P201" s="1"/>
      <c r="Q201" s="2"/>
      <c r="R201" s="1"/>
      <c r="S201" s="1"/>
      <c r="T201" s="1"/>
      <c r="U201" s="1"/>
      <c r="V201" s="1"/>
      <c r="W201" s="1"/>
      <c r="X201" s="1"/>
      <c r="Y201" s="1"/>
      <c r="Z201" s="1"/>
    </row>
    <row r="202" customHeight="1" spans="1:26">
      <c r="A202" s="62"/>
      <c r="B202" s="1"/>
      <c r="C202" s="1"/>
      <c r="D202" s="1"/>
      <c r="E202" s="1"/>
      <c r="F202" s="1"/>
      <c r="G202" s="1"/>
      <c r="H202" s="1"/>
      <c r="I202" s="1"/>
      <c r="J202" s="1"/>
      <c r="K202" s="1"/>
      <c r="L202" s="1"/>
      <c r="M202" s="1"/>
      <c r="N202" s="1"/>
      <c r="O202" s="1"/>
      <c r="P202" s="1"/>
      <c r="Q202" s="2"/>
      <c r="R202" s="1"/>
      <c r="S202" s="1"/>
      <c r="T202" s="1"/>
      <c r="U202" s="1"/>
      <c r="V202" s="1"/>
      <c r="W202" s="1"/>
      <c r="X202" s="1"/>
      <c r="Y202" s="1"/>
      <c r="Z202" s="1"/>
    </row>
    <row r="203" customHeight="1" spans="1:26">
      <c r="A203" s="62"/>
      <c r="B203" s="1"/>
      <c r="C203" s="1"/>
      <c r="D203" s="1"/>
      <c r="E203" s="1"/>
      <c r="F203" s="1"/>
      <c r="G203" s="1"/>
      <c r="H203" s="1"/>
      <c r="I203" s="1"/>
      <c r="J203" s="1"/>
      <c r="K203" s="1"/>
      <c r="L203" s="1"/>
      <c r="M203" s="1"/>
      <c r="N203" s="1"/>
      <c r="O203" s="1"/>
      <c r="P203" s="1"/>
      <c r="Q203" s="2"/>
      <c r="R203" s="1"/>
      <c r="S203" s="1"/>
      <c r="T203" s="1"/>
      <c r="U203" s="1"/>
      <c r="V203" s="1"/>
      <c r="W203" s="1"/>
      <c r="X203" s="1"/>
      <c r="Y203" s="1"/>
      <c r="Z203" s="1"/>
    </row>
    <row r="204" customHeight="1" spans="1:26">
      <c r="A204" s="62"/>
      <c r="B204" s="1"/>
      <c r="C204" s="1"/>
      <c r="D204" s="1"/>
      <c r="E204" s="1"/>
      <c r="F204" s="1"/>
      <c r="G204" s="1"/>
      <c r="H204" s="1"/>
      <c r="I204" s="1"/>
      <c r="J204" s="1"/>
      <c r="K204" s="1"/>
      <c r="L204" s="1"/>
      <c r="M204" s="1"/>
      <c r="N204" s="1"/>
      <c r="O204" s="1"/>
      <c r="P204" s="1"/>
      <c r="Q204" s="2"/>
      <c r="R204" s="1"/>
      <c r="S204" s="1"/>
      <c r="T204" s="1"/>
      <c r="U204" s="1"/>
      <c r="V204" s="1"/>
      <c r="W204" s="1"/>
      <c r="X204" s="1"/>
      <c r="Y204" s="1"/>
      <c r="Z204" s="1"/>
    </row>
    <row r="205" customHeight="1" spans="1:26">
      <c r="A205" s="62"/>
      <c r="B205" s="1"/>
      <c r="C205" s="1"/>
      <c r="D205" s="1"/>
      <c r="E205" s="1"/>
      <c r="F205" s="1"/>
      <c r="G205" s="1"/>
      <c r="H205" s="1"/>
      <c r="I205" s="1"/>
      <c r="J205" s="1"/>
      <c r="K205" s="1"/>
      <c r="L205" s="1"/>
      <c r="M205" s="1"/>
      <c r="N205" s="1"/>
      <c r="O205" s="1"/>
      <c r="P205" s="1"/>
      <c r="Q205" s="2"/>
      <c r="R205" s="1"/>
      <c r="S205" s="1"/>
      <c r="T205" s="1"/>
      <c r="U205" s="1"/>
      <c r="V205" s="1"/>
      <c r="W205" s="1"/>
      <c r="X205" s="1"/>
      <c r="Y205" s="1"/>
      <c r="Z205" s="1"/>
    </row>
    <row r="206" customHeight="1" spans="1:26">
      <c r="A206" s="62"/>
      <c r="B206" s="1"/>
      <c r="C206" s="1"/>
      <c r="D206" s="1"/>
      <c r="E206" s="1"/>
      <c r="F206" s="1"/>
      <c r="G206" s="1"/>
      <c r="H206" s="1"/>
      <c r="I206" s="1"/>
      <c r="J206" s="1"/>
      <c r="K206" s="1"/>
      <c r="L206" s="1"/>
      <c r="M206" s="1"/>
      <c r="N206" s="1"/>
      <c r="O206" s="1"/>
      <c r="P206" s="1"/>
      <c r="Q206" s="2"/>
      <c r="R206" s="1"/>
      <c r="S206" s="1"/>
      <c r="T206" s="1"/>
      <c r="U206" s="1"/>
      <c r="V206" s="1"/>
      <c r="W206" s="1"/>
      <c r="X206" s="1"/>
      <c r="Y206" s="1"/>
      <c r="Z206" s="1"/>
    </row>
    <row r="207" customHeight="1" spans="1:26">
      <c r="A207" s="62"/>
      <c r="B207" s="1"/>
      <c r="C207" s="1"/>
      <c r="D207" s="1"/>
      <c r="E207" s="1"/>
      <c r="F207" s="1"/>
      <c r="G207" s="1"/>
      <c r="H207" s="1"/>
      <c r="I207" s="1"/>
      <c r="J207" s="1"/>
      <c r="K207" s="1"/>
      <c r="L207" s="1"/>
      <c r="M207" s="1"/>
      <c r="N207" s="1"/>
      <c r="O207" s="1"/>
      <c r="P207" s="1"/>
      <c r="Q207" s="2"/>
      <c r="R207" s="1"/>
      <c r="S207" s="1"/>
      <c r="T207" s="1"/>
      <c r="U207" s="1"/>
      <c r="V207" s="1"/>
      <c r="W207" s="1"/>
      <c r="X207" s="1"/>
      <c r="Y207" s="1"/>
      <c r="Z207" s="1"/>
    </row>
    <row r="208" customHeight="1" spans="1:26">
      <c r="A208" s="62"/>
      <c r="B208" s="1"/>
      <c r="C208" s="1"/>
      <c r="D208" s="1"/>
      <c r="E208" s="1"/>
      <c r="F208" s="1"/>
      <c r="G208" s="1"/>
      <c r="H208" s="1"/>
      <c r="I208" s="1"/>
      <c r="J208" s="1"/>
      <c r="K208" s="1"/>
      <c r="L208" s="1"/>
      <c r="M208" s="1"/>
      <c r="N208" s="1"/>
      <c r="O208" s="1"/>
      <c r="P208" s="1"/>
      <c r="Q208" s="2"/>
      <c r="R208" s="1"/>
      <c r="S208" s="1"/>
      <c r="T208" s="1"/>
      <c r="U208" s="1"/>
      <c r="V208" s="1"/>
      <c r="W208" s="1"/>
      <c r="X208" s="1"/>
      <c r="Y208" s="1"/>
      <c r="Z208" s="1"/>
    </row>
    <row r="209" customHeight="1" spans="1:26">
      <c r="A209" s="62"/>
      <c r="B209" s="1"/>
      <c r="C209" s="1"/>
      <c r="D209" s="1"/>
      <c r="E209" s="1"/>
      <c r="F209" s="1"/>
      <c r="G209" s="1"/>
      <c r="H209" s="1"/>
      <c r="I209" s="1"/>
      <c r="J209" s="1"/>
      <c r="K209" s="1"/>
      <c r="L209" s="1"/>
      <c r="M209" s="1"/>
      <c r="N209" s="1"/>
      <c r="O209" s="1"/>
      <c r="P209" s="1"/>
      <c r="Q209" s="2"/>
      <c r="R209" s="1"/>
      <c r="S209" s="1"/>
      <c r="T209" s="1"/>
      <c r="U209" s="1"/>
      <c r="V209" s="1"/>
      <c r="W209" s="1"/>
      <c r="X209" s="1"/>
      <c r="Y209" s="1"/>
      <c r="Z209" s="1"/>
    </row>
    <row r="210" customHeight="1" spans="1:26">
      <c r="A210" s="62"/>
      <c r="B210" s="1"/>
      <c r="C210" s="1"/>
      <c r="D210" s="1"/>
      <c r="E210" s="1"/>
      <c r="F210" s="1"/>
      <c r="G210" s="1"/>
      <c r="H210" s="1"/>
      <c r="I210" s="1"/>
      <c r="J210" s="1"/>
      <c r="K210" s="1"/>
      <c r="L210" s="1"/>
      <c r="M210" s="1"/>
      <c r="N210" s="1"/>
      <c r="O210" s="1"/>
      <c r="P210" s="1"/>
      <c r="Q210" s="2"/>
      <c r="R210" s="1"/>
      <c r="S210" s="1"/>
      <c r="T210" s="1"/>
      <c r="U210" s="1"/>
      <c r="V210" s="1"/>
      <c r="W210" s="1"/>
      <c r="X210" s="1"/>
      <c r="Y210" s="1"/>
      <c r="Z210" s="1"/>
    </row>
    <row r="211" customHeight="1" spans="1:26">
      <c r="A211" s="62"/>
      <c r="B211" s="1"/>
      <c r="C211" s="1"/>
      <c r="D211" s="1"/>
      <c r="E211" s="1"/>
      <c r="F211" s="1"/>
      <c r="G211" s="1"/>
      <c r="H211" s="1"/>
      <c r="I211" s="1"/>
      <c r="J211" s="1"/>
      <c r="K211" s="1"/>
      <c r="L211" s="1"/>
      <c r="M211" s="1"/>
      <c r="N211" s="1"/>
      <c r="O211" s="1"/>
      <c r="P211" s="1"/>
      <c r="Q211" s="2"/>
      <c r="R211" s="1"/>
      <c r="S211" s="1"/>
      <c r="T211" s="1"/>
      <c r="U211" s="1"/>
      <c r="V211" s="1"/>
      <c r="W211" s="1"/>
      <c r="X211" s="1"/>
      <c r="Y211" s="1"/>
      <c r="Z211" s="1"/>
    </row>
    <row r="212" customHeight="1" spans="1:26">
      <c r="A212" s="62"/>
      <c r="B212" s="1"/>
      <c r="C212" s="1"/>
      <c r="D212" s="1"/>
      <c r="E212" s="1"/>
      <c r="F212" s="1"/>
      <c r="G212" s="1"/>
      <c r="H212" s="1"/>
      <c r="I212" s="1"/>
      <c r="J212" s="1"/>
      <c r="K212" s="1"/>
      <c r="L212" s="1"/>
      <c r="M212" s="1"/>
      <c r="N212" s="1"/>
      <c r="O212" s="1"/>
      <c r="P212" s="1"/>
      <c r="Q212" s="2"/>
      <c r="R212" s="1"/>
      <c r="S212" s="1"/>
      <c r="T212" s="1"/>
      <c r="U212" s="1"/>
      <c r="V212" s="1"/>
      <c r="W212" s="1"/>
      <c r="X212" s="1"/>
      <c r="Y212" s="1"/>
      <c r="Z212" s="1"/>
    </row>
    <row r="213" customHeight="1" spans="1:26">
      <c r="A213" s="62"/>
      <c r="B213" s="1"/>
      <c r="C213" s="1"/>
      <c r="D213" s="1"/>
      <c r="E213" s="1"/>
      <c r="F213" s="1"/>
      <c r="G213" s="1"/>
      <c r="H213" s="1"/>
      <c r="I213" s="1"/>
      <c r="J213" s="1"/>
      <c r="K213" s="1"/>
      <c r="L213" s="1"/>
      <c r="M213" s="1"/>
      <c r="N213" s="1"/>
      <c r="O213" s="1"/>
      <c r="P213" s="1"/>
      <c r="Q213" s="2"/>
      <c r="R213" s="1"/>
      <c r="S213" s="1"/>
      <c r="T213" s="1"/>
      <c r="U213" s="1"/>
      <c r="V213" s="1"/>
      <c r="W213" s="1"/>
      <c r="X213" s="1"/>
      <c r="Y213" s="1"/>
      <c r="Z213" s="1"/>
    </row>
    <row r="214" customHeight="1" spans="1:26">
      <c r="A214" s="62"/>
      <c r="B214" s="1"/>
      <c r="C214" s="1"/>
      <c r="D214" s="1"/>
      <c r="E214" s="1"/>
      <c r="F214" s="1"/>
      <c r="G214" s="1"/>
      <c r="H214" s="1"/>
      <c r="I214" s="1"/>
      <c r="J214" s="1"/>
      <c r="K214" s="1"/>
      <c r="L214" s="1"/>
      <c r="M214" s="1"/>
      <c r="N214" s="1"/>
      <c r="O214" s="1"/>
      <c r="P214" s="1"/>
      <c r="Q214" s="2"/>
      <c r="R214" s="1"/>
      <c r="S214" s="1"/>
      <c r="T214" s="1"/>
      <c r="U214" s="1"/>
      <c r="V214" s="1"/>
      <c r="W214" s="1"/>
      <c r="X214" s="1"/>
      <c r="Y214" s="1"/>
      <c r="Z214" s="1"/>
    </row>
    <row r="215" customHeight="1" spans="1:26">
      <c r="A215" s="62"/>
      <c r="B215" s="1"/>
      <c r="C215" s="1"/>
      <c r="D215" s="1"/>
      <c r="E215" s="1"/>
      <c r="F215" s="1"/>
      <c r="G215" s="1"/>
      <c r="H215" s="1"/>
      <c r="I215" s="1"/>
      <c r="J215" s="1"/>
      <c r="K215" s="1"/>
      <c r="L215" s="1"/>
      <c r="M215" s="1"/>
      <c r="N215" s="1"/>
      <c r="O215" s="1"/>
      <c r="P215" s="1"/>
      <c r="Q215" s="2"/>
      <c r="R215" s="1"/>
      <c r="S215" s="1"/>
      <c r="T215" s="1"/>
      <c r="U215" s="1"/>
      <c r="V215" s="1"/>
      <c r="W215" s="1"/>
      <c r="X215" s="1"/>
      <c r="Y215" s="1"/>
      <c r="Z215" s="1"/>
    </row>
    <row r="216" customHeight="1" spans="1:26">
      <c r="A216" s="62"/>
      <c r="B216" s="1"/>
      <c r="C216" s="1"/>
      <c r="D216" s="1"/>
      <c r="E216" s="1"/>
      <c r="F216" s="1"/>
      <c r="G216" s="1"/>
      <c r="H216" s="1"/>
      <c r="I216" s="1"/>
      <c r="J216" s="1"/>
      <c r="K216" s="1"/>
      <c r="L216" s="1"/>
      <c r="M216" s="1"/>
      <c r="N216" s="1"/>
      <c r="O216" s="1"/>
      <c r="P216" s="1"/>
      <c r="Q216" s="2"/>
      <c r="R216" s="1"/>
      <c r="S216" s="1"/>
      <c r="T216" s="1"/>
      <c r="U216" s="1"/>
      <c r="V216" s="1"/>
      <c r="W216" s="1"/>
      <c r="X216" s="1"/>
      <c r="Y216" s="1"/>
      <c r="Z216" s="1"/>
    </row>
    <row r="217" customHeight="1" spans="1:26">
      <c r="A217" s="62"/>
      <c r="B217" s="1"/>
      <c r="C217" s="1"/>
      <c r="D217" s="1"/>
      <c r="E217" s="1"/>
      <c r="F217" s="1"/>
      <c r="G217" s="1"/>
      <c r="H217" s="1"/>
      <c r="I217" s="1"/>
      <c r="J217" s="1"/>
      <c r="K217" s="1"/>
      <c r="L217" s="1"/>
      <c r="M217" s="1"/>
      <c r="N217" s="1"/>
      <c r="O217" s="1"/>
      <c r="P217" s="1"/>
      <c r="Q217" s="2"/>
      <c r="R217" s="1"/>
      <c r="S217" s="1"/>
      <c r="T217" s="1"/>
      <c r="U217" s="1"/>
      <c r="V217" s="1"/>
      <c r="W217" s="1"/>
      <c r="X217" s="1"/>
      <c r="Y217" s="1"/>
      <c r="Z217" s="1"/>
    </row>
    <row r="218" customHeight="1" spans="1:26">
      <c r="A218" s="62"/>
      <c r="B218" s="1"/>
      <c r="C218" s="1"/>
      <c r="D218" s="1"/>
      <c r="E218" s="1"/>
      <c r="F218" s="1"/>
      <c r="G218" s="1"/>
      <c r="H218" s="1"/>
      <c r="I218" s="1"/>
      <c r="J218" s="1"/>
      <c r="K218" s="1"/>
      <c r="L218" s="1"/>
      <c r="M218" s="1"/>
      <c r="N218" s="1"/>
      <c r="O218" s="1"/>
      <c r="P218" s="1"/>
      <c r="Q218" s="2"/>
      <c r="R218" s="1"/>
      <c r="S218" s="1"/>
      <c r="T218" s="1"/>
      <c r="U218" s="1"/>
      <c r="V218" s="1"/>
      <c r="W218" s="1"/>
      <c r="X218" s="1"/>
      <c r="Y218" s="1"/>
      <c r="Z218" s="1"/>
    </row>
    <row r="219" customHeight="1" spans="1:26">
      <c r="A219" s="62"/>
      <c r="B219" s="1"/>
      <c r="C219" s="1"/>
      <c r="D219" s="1"/>
      <c r="E219" s="1"/>
      <c r="F219" s="1"/>
      <c r="G219" s="1"/>
      <c r="H219" s="1"/>
      <c r="I219" s="1"/>
      <c r="J219" s="1"/>
      <c r="K219" s="1"/>
      <c r="L219" s="1"/>
      <c r="M219" s="1"/>
      <c r="N219" s="1"/>
      <c r="O219" s="1"/>
      <c r="P219" s="1"/>
      <c r="Q219" s="2"/>
      <c r="R219" s="1"/>
      <c r="S219" s="1"/>
      <c r="T219" s="1"/>
      <c r="U219" s="1"/>
      <c r="V219" s="1"/>
      <c r="W219" s="1"/>
      <c r="X219" s="1"/>
      <c r="Y219" s="1"/>
      <c r="Z219" s="1"/>
    </row>
    <row r="220" customHeight="1" spans="1:26">
      <c r="A220" s="62"/>
      <c r="B220" s="1"/>
      <c r="C220" s="1"/>
      <c r="D220" s="1"/>
      <c r="E220" s="1"/>
      <c r="F220" s="1"/>
      <c r="G220" s="1"/>
      <c r="H220" s="1"/>
      <c r="I220" s="1"/>
      <c r="J220" s="1"/>
      <c r="K220" s="1"/>
      <c r="L220" s="1"/>
      <c r="M220" s="1"/>
      <c r="N220" s="1"/>
      <c r="O220" s="1"/>
      <c r="P220" s="1"/>
      <c r="Q220" s="2"/>
      <c r="R220" s="1"/>
      <c r="S220" s="1"/>
      <c r="T220" s="1"/>
      <c r="U220" s="1"/>
      <c r="V220" s="1"/>
      <c r="W220" s="1"/>
      <c r="X220" s="1"/>
      <c r="Y220" s="1"/>
      <c r="Z220" s="1"/>
    </row>
    <row r="221" customHeight="1" spans="1:26">
      <c r="A221" s="62"/>
      <c r="B221" s="1"/>
      <c r="C221" s="1"/>
      <c r="D221" s="1"/>
      <c r="E221" s="1"/>
      <c r="F221" s="1"/>
      <c r="G221" s="1"/>
      <c r="H221" s="1"/>
      <c r="I221" s="1"/>
      <c r="J221" s="1"/>
      <c r="K221" s="1"/>
      <c r="L221" s="1"/>
      <c r="M221" s="1"/>
      <c r="N221" s="1"/>
      <c r="O221" s="1"/>
      <c r="P221" s="1"/>
      <c r="Q221" s="2"/>
      <c r="R221" s="1"/>
      <c r="S221" s="1"/>
      <c r="T221" s="1"/>
      <c r="U221" s="1"/>
      <c r="V221" s="1"/>
      <c r="W221" s="1"/>
      <c r="X221" s="1"/>
      <c r="Y221" s="1"/>
      <c r="Z221" s="1"/>
    </row>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row r="1001" ht="13.2"/>
  </sheetData>
  <mergeCells count="15">
    <mergeCell ref="E3:H3"/>
    <mergeCell ref="I3:L3"/>
    <mergeCell ref="M3:P3"/>
    <mergeCell ref="E4:F4"/>
    <mergeCell ref="G4:H4"/>
    <mergeCell ref="I4:J4"/>
    <mergeCell ref="K4:L4"/>
    <mergeCell ref="M4:N4"/>
    <mergeCell ref="O4:P4"/>
    <mergeCell ref="A17:B17"/>
    <mergeCell ref="A3:A5"/>
    <mergeCell ref="B3:B5"/>
    <mergeCell ref="C3:C5"/>
    <mergeCell ref="D3:D5"/>
    <mergeCell ref="Q3:Q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showGridLines="0" topLeftCell="F1" workbookViewId="0">
      <selection activeCell="M8" sqref="M8"/>
    </sheetView>
  </sheetViews>
  <sheetFormatPr defaultColWidth="12.6296296296296" defaultRowHeight="15.75" customHeight="1"/>
  <cols>
    <col min="1" max="1" width="19.75" customWidth="1"/>
    <col min="2" max="3" width="12.6296296296296" customWidth="1"/>
    <col min="4" max="5" width="25.1296296296296" customWidth="1"/>
    <col min="6" max="7" width="37.6296296296296" customWidth="1"/>
    <col min="8" max="9" width="18.5" customWidth="1"/>
    <col min="10" max="10" width="11.1296296296296" customWidth="1"/>
    <col min="11" max="11" width="20.6296296296296" customWidth="1"/>
    <col min="12" max="12" width="14.75" customWidth="1"/>
    <col min="13" max="14" width="18.5" customWidth="1"/>
    <col min="15" max="15" width="11.6296296296296" customWidth="1"/>
    <col min="16" max="16" width="21.8796296296296" customWidth="1"/>
    <col min="17" max="17" width="15.3796296296296" customWidth="1"/>
    <col min="18" max="19" width="18.5" customWidth="1"/>
    <col min="20" max="20" width="19.5" customWidth="1"/>
    <col min="21" max="21" width="26.3796296296296" customWidth="1"/>
    <col min="22" max="22" width="15" customWidth="1"/>
    <col min="23" max="23" width="27" customWidth="1"/>
    <col min="24" max="26" width="11.8796296296296" customWidth="1"/>
  </cols>
  <sheetData>
    <row r="1" customHeight="1" spans="1:26">
      <c r="A1" s="14" t="s">
        <v>86</v>
      </c>
      <c r="B1" s="15"/>
      <c r="C1" s="15"/>
      <c r="D1" s="15"/>
      <c r="E1" s="15"/>
      <c r="F1" s="15"/>
      <c r="G1" s="15"/>
      <c r="H1" s="16"/>
      <c r="I1" s="16"/>
      <c r="J1" s="16"/>
      <c r="K1" s="16"/>
      <c r="L1" s="16"/>
      <c r="M1" s="16"/>
      <c r="N1" s="16"/>
      <c r="O1" s="16"/>
      <c r="P1" s="16"/>
      <c r="Q1" s="16"/>
      <c r="R1" s="16"/>
      <c r="S1" s="16"/>
      <c r="T1" s="16"/>
      <c r="U1" s="16"/>
      <c r="V1" s="16"/>
      <c r="W1" s="15"/>
      <c r="X1" s="15"/>
      <c r="Y1" s="15"/>
      <c r="Z1" s="15"/>
    </row>
    <row r="2" customHeight="1" spans="1:26">
      <c r="A2" s="17"/>
      <c r="B2" s="15"/>
      <c r="C2" s="15"/>
      <c r="D2" s="15"/>
      <c r="E2" s="15"/>
      <c r="F2" s="15"/>
      <c r="G2" s="15"/>
      <c r="H2" s="18" t="s">
        <v>64</v>
      </c>
      <c r="I2" s="31"/>
      <c r="J2" s="18" t="s">
        <v>65</v>
      </c>
      <c r="K2" s="31"/>
      <c r="L2" s="18" t="s">
        <v>66</v>
      </c>
      <c r="M2" s="31"/>
      <c r="N2" s="23" t="s">
        <v>87</v>
      </c>
      <c r="O2" s="16"/>
      <c r="P2" s="16"/>
      <c r="Q2" s="16"/>
      <c r="R2" s="16"/>
      <c r="S2" s="16"/>
      <c r="T2" s="16"/>
      <c r="U2" s="16"/>
      <c r="V2" s="16"/>
      <c r="W2" s="15"/>
      <c r="X2" s="15"/>
      <c r="Y2" s="15"/>
      <c r="Z2" s="15"/>
    </row>
    <row r="3" customHeight="1" spans="1:26">
      <c r="A3" s="6" t="s">
        <v>26</v>
      </c>
      <c r="B3" s="6" t="s">
        <v>88</v>
      </c>
      <c r="C3" s="15"/>
      <c r="D3" s="6" t="s">
        <v>89</v>
      </c>
      <c r="E3" s="6" t="s">
        <v>90</v>
      </c>
      <c r="F3" s="15"/>
      <c r="G3" s="19"/>
      <c r="H3" s="6" t="s">
        <v>91</v>
      </c>
      <c r="I3" s="6" t="s">
        <v>92</v>
      </c>
      <c r="J3" s="6" t="s">
        <v>67</v>
      </c>
      <c r="K3" s="6" t="s">
        <v>68</v>
      </c>
      <c r="L3" s="6" t="s">
        <v>67</v>
      </c>
      <c r="M3" s="6" t="s">
        <v>92</v>
      </c>
      <c r="N3" s="25"/>
      <c r="O3" s="16"/>
      <c r="P3" s="16"/>
      <c r="Q3" s="16"/>
      <c r="R3" s="16"/>
      <c r="S3" s="16"/>
      <c r="T3" s="16"/>
      <c r="U3" s="16"/>
      <c r="V3" s="16"/>
      <c r="W3" s="15"/>
      <c r="X3" s="15"/>
      <c r="Y3" s="15"/>
      <c r="Z3" s="15"/>
    </row>
    <row r="4" customHeight="1" spans="1:26">
      <c r="A4" s="20" t="s">
        <v>13</v>
      </c>
      <c r="B4" s="21" t="s">
        <v>93</v>
      </c>
      <c r="C4" s="15"/>
      <c r="D4" s="20" t="s">
        <v>94</v>
      </c>
      <c r="E4" s="21" t="s">
        <v>95</v>
      </c>
      <c r="F4" s="15"/>
      <c r="G4" s="6" t="s">
        <v>96</v>
      </c>
      <c r="H4" s="22">
        <f t="shared" ref="H4:I4" si="0">COUNTIF(H13:H215,"PASSED")</f>
        <v>11</v>
      </c>
      <c r="I4" s="22">
        <f t="shared" si="0"/>
        <v>10</v>
      </c>
      <c r="J4" s="22">
        <f t="shared" ref="J4:K4" si="1">COUNTIF(M13:M215,"PASSED")</f>
        <v>12</v>
      </c>
      <c r="K4" s="22">
        <f t="shared" si="1"/>
        <v>11</v>
      </c>
      <c r="L4" s="22">
        <f t="shared" ref="L4:M4" si="2">COUNTIF(R13:R215,"PASSED")</f>
        <v>14</v>
      </c>
      <c r="M4" s="22">
        <f t="shared" si="2"/>
        <v>14</v>
      </c>
      <c r="N4" s="22">
        <f t="shared" ref="N4:N8" si="3">SUM(H4:M4)</f>
        <v>72</v>
      </c>
      <c r="O4" s="16"/>
      <c r="P4" s="16"/>
      <c r="Q4" s="16"/>
      <c r="R4" s="16"/>
      <c r="S4" s="16"/>
      <c r="T4" s="16"/>
      <c r="U4" s="16"/>
      <c r="V4" s="16"/>
      <c r="W4" s="15"/>
      <c r="X4" s="15"/>
      <c r="Y4" s="15"/>
      <c r="Z4" s="15"/>
    </row>
    <row r="5" customHeight="1" spans="1:26">
      <c r="A5" s="20"/>
      <c r="B5" s="20"/>
      <c r="C5" s="15"/>
      <c r="D5" s="20"/>
      <c r="E5" s="20"/>
      <c r="F5" s="15"/>
      <c r="G5" s="6" t="s">
        <v>97</v>
      </c>
      <c r="H5" s="22">
        <f t="shared" ref="H5:I5" si="4">COUNTIF(H13:H225,"FAILED")</f>
        <v>3</v>
      </c>
      <c r="I5" s="22">
        <f t="shared" si="4"/>
        <v>4</v>
      </c>
      <c r="J5" s="22">
        <f t="shared" ref="J5:K5" si="5">COUNTIF(M14:M216,"FAILED")</f>
        <v>2</v>
      </c>
      <c r="K5" s="22">
        <f t="shared" si="5"/>
        <v>3</v>
      </c>
      <c r="L5" s="22">
        <f t="shared" ref="L5:M5" si="6">COUNTIF(R14:R216,"FAILED")</f>
        <v>0</v>
      </c>
      <c r="M5" s="22">
        <f t="shared" si="6"/>
        <v>0</v>
      </c>
      <c r="N5" s="22">
        <f t="shared" si="3"/>
        <v>12</v>
      </c>
      <c r="O5" s="16"/>
      <c r="P5" s="16"/>
      <c r="Q5" s="16"/>
      <c r="R5" s="16"/>
      <c r="S5" s="16"/>
      <c r="T5" s="16"/>
      <c r="U5" s="16"/>
      <c r="V5" s="16"/>
      <c r="W5" s="15"/>
      <c r="X5" s="15"/>
      <c r="Y5" s="15"/>
      <c r="Z5" s="15"/>
    </row>
    <row r="6" customHeight="1" spans="1:26">
      <c r="A6" s="20"/>
      <c r="B6" s="20"/>
      <c r="C6" s="15"/>
      <c r="D6" s="20"/>
      <c r="E6" s="20"/>
      <c r="F6" s="15"/>
      <c r="G6" s="6" t="s">
        <v>98</v>
      </c>
      <c r="H6" s="22">
        <f t="shared" ref="H6:I6" si="7">COUNTIF(H13:H235,"BLOCKED")</f>
        <v>0</v>
      </c>
      <c r="I6" s="22">
        <f t="shared" si="7"/>
        <v>0</v>
      </c>
      <c r="J6" s="22">
        <f t="shared" ref="J6:K6" si="8">COUNTIF(M14:M217,"BLOCKED")</f>
        <v>0</v>
      </c>
      <c r="K6" s="22">
        <f t="shared" si="8"/>
        <v>0</v>
      </c>
      <c r="L6" s="22">
        <f t="shared" ref="L6:M6" si="9">COUNTIF(R14:R217,"BLOCKED")</f>
        <v>0</v>
      </c>
      <c r="M6" s="22">
        <f t="shared" si="9"/>
        <v>0</v>
      </c>
      <c r="N6" s="22">
        <f t="shared" si="3"/>
        <v>0</v>
      </c>
      <c r="O6" s="16"/>
      <c r="P6" s="16"/>
      <c r="Q6" s="16"/>
      <c r="R6" s="16"/>
      <c r="S6" s="16"/>
      <c r="T6" s="16"/>
      <c r="U6" s="16"/>
      <c r="V6" s="16"/>
      <c r="W6" s="15"/>
      <c r="X6" s="15"/>
      <c r="Y6" s="15"/>
      <c r="Z6" s="15"/>
    </row>
    <row r="7" customHeight="1" spans="1:26">
      <c r="A7" s="20"/>
      <c r="B7" s="20"/>
      <c r="C7" s="15"/>
      <c r="D7" s="20"/>
      <c r="E7" s="20"/>
      <c r="F7" s="15"/>
      <c r="G7" s="6" t="s">
        <v>99</v>
      </c>
      <c r="H7" s="22">
        <f t="shared" ref="H7:I7" si="10">COUNTIF(H13:H245,"NOT RUN")</f>
        <v>0</v>
      </c>
      <c r="I7" s="22">
        <f t="shared" si="10"/>
        <v>0</v>
      </c>
      <c r="J7" s="22">
        <f t="shared" ref="J7:K7" si="11">COUNTIF(M15:M218,"NOT RUN")</f>
        <v>0</v>
      </c>
      <c r="K7" s="22">
        <f t="shared" si="11"/>
        <v>0</v>
      </c>
      <c r="L7" s="22">
        <f t="shared" ref="L7:M7" si="12">COUNTIF(R15:R218,"NOT RUN")</f>
        <v>0</v>
      </c>
      <c r="M7" s="22">
        <f t="shared" si="12"/>
        <v>0</v>
      </c>
      <c r="N7" s="22">
        <f t="shared" si="3"/>
        <v>0</v>
      </c>
      <c r="O7" s="16"/>
      <c r="P7" s="16"/>
      <c r="Q7" s="16"/>
      <c r="R7" s="16"/>
      <c r="S7" s="16"/>
      <c r="T7" s="16"/>
      <c r="U7" s="16"/>
      <c r="V7" s="16"/>
      <c r="W7" s="15"/>
      <c r="X7" s="15"/>
      <c r="Y7" s="15"/>
      <c r="Z7" s="15"/>
    </row>
    <row r="8" customHeight="1" spans="1:26">
      <c r="A8" s="20"/>
      <c r="B8" s="20"/>
      <c r="C8" s="15"/>
      <c r="D8" s="20"/>
      <c r="E8" s="20"/>
      <c r="F8" s="15"/>
      <c r="G8" s="6" t="s">
        <v>100</v>
      </c>
      <c r="H8" s="22">
        <f t="shared" ref="H8:M8" si="13">COUNTA($G13:$G227)</f>
        <v>14</v>
      </c>
      <c r="I8" s="22">
        <f t="shared" si="13"/>
        <v>14</v>
      </c>
      <c r="J8" s="22">
        <f t="shared" si="13"/>
        <v>14</v>
      </c>
      <c r="K8" s="22">
        <f t="shared" si="13"/>
        <v>14</v>
      </c>
      <c r="L8" s="22">
        <f t="shared" si="13"/>
        <v>14</v>
      </c>
      <c r="M8" s="22">
        <f t="shared" si="13"/>
        <v>14</v>
      </c>
      <c r="N8" s="22">
        <f t="shared" si="3"/>
        <v>84</v>
      </c>
      <c r="O8" s="16"/>
      <c r="P8" s="16"/>
      <c r="Q8" s="16"/>
      <c r="R8" s="16"/>
      <c r="S8" s="16"/>
      <c r="T8" s="16"/>
      <c r="U8" s="16"/>
      <c r="V8" s="16"/>
      <c r="W8" s="15"/>
      <c r="X8" s="15"/>
      <c r="Y8" s="15"/>
      <c r="Z8" s="15"/>
    </row>
    <row r="9" customHeight="1" spans="1:26">
      <c r="A9" s="17"/>
      <c r="B9" s="15"/>
      <c r="C9" s="15"/>
      <c r="D9" s="15"/>
      <c r="E9" s="15"/>
      <c r="F9" s="15"/>
      <c r="G9" s="15"/>
      <c r="H9" s="16"/>
      <c r="I9" s="16"/>
      <c r="J9" s="16"/>
      <c r="K9" s="16"/>
      <c r="L9" s="16"/>
      <c r="M9" s="16"/>
      <c r="N9" s="16"/>
      <c r="O9" s="16"/>
      <c r="P9" s="16"/>
      <c r="Q9" s="16"/>
      <c r="R9" s="16"/>
      <c r="S9" s="16"/>
      <c r="T9" s="16"/>
      <c r="U9" s="16"/>
      <c r="V9" s="16"/>
      <c r="W9" s="15"/>
      <c r="X9" s="15"/>
      <c r="Y9" s="15"/>
      <c r="Z9" s="15"/>
    </row>
    <row r="10" customHeight="1" spans="1:26">
      <c r="A10" s="23" t="s">
        <v>22</v>
      </c>
      <c r="B10" s="23" t="s">
        <v>101</v>
      </c>
      <c r="C10" s="23" t="s">
        <v>102</v>
      </c>
      <c r="D10" s="23" t="s">
        <v>103</v>
      </c>
      <c r="E10" s="23" t="s">
        <v>104</v>
      </c>
      <c r="F10" s="23" t="s">
        <v>105</v>
      </c>
      <c r="G10" s="23" t="s">
        <v>106</v>
      </c>
      <c r="H10" s="18" t="s">
        <v>64</v>
      </c>
      <c r="I10" s="32"/>
      <c r="J10" s="32"/>
      <c r="K10" s="32"/>
      <c r="L10" s="31"/>
      <c r="M10" s="18" t="s">
        <v>65</v>
      </c>
      <c r="N10" s="32"/>
      <c r="O10" s="32"/>
      <c r="P10" s="32"/>
      <c r="Q10" s="31"/>
      <c r="R10" s="18" t="s">
        <v>66</v>
      </c>
      <c r="S10" s="32"/>
      <c r="T10" s="32"/>
      <c r="U10" s="32"/>
      <c r="V10" s="31"/>
      <c r="W10" s="23" t="s">
        <v>29</v>
      </c>
      <c r="X10" s="13"/>
      <c r="Y10" s="13"/>
      <c r="Z10" s="13"/>
    </row>
    <row r="11" customHeight="1" spans="1:26">
      <c r="A11" s="24"/>
      <c r="B11" s="24"/>
      <c r="C11" s="24"/>
      <c r="D11" s="24"/>
      <c r="E11" s="24"/>
      <c r="F11" s="24"/>
      <c r="G11" s="24"/>
      <c r="H11" s="18" t="s">
        <v>107</v>
      </c>
      <c r="I11" s="32"/>
      <c r="J11" s="31"/>
      <c r="K11" s="23" t="s">
        <v>108</v>
      </c>
      <c r="L11" s="23" t="s">
        <v>109</v>
      </c>
      <c r="M11" s="18" t="s">
        <v>107</v>
      </c>
      <c r="N11" s="32"/>
      <c r="O11" s="31"/>
      <c r="P11" s="23" t="s">
        <v>108</v>
      </c>
      <c r="Q11" s="23" t="s">
        <v>109</v>
      </c>
      <c r="R11" s="18" t="s">
        <v>107</v>
      </c>
      <c r="S11" s="32"/>
      <c r="T11" s="31"/>
      <c r="U11" s="23" t="s">
        <v>108</v>
      </c>
      <c r="V11" s="23" t="s">
        <v>109</v>
      </c>
      <c r="W11" s="24"/>
      <c r="X11" s="15"/>
      <c r="Y11" s="15"/>
      <c r="Z11" s="15"/>
    </row>
    <row r="12" customHeight="1" spans="1:26">
      <c r="A12" s="25"/>
      <c r="B12" s="25"/>
      <c r="C12" s="25"/>
      <c r="D12" s="25"/>
      <c r="E12" s="25"/>
      <c r="F12" s="25"/>
      <c r="G12" s="25"/>
      <c r="H12" s="6" t="s">
        <v>67</v>
      </c>
      <c r="I12" s="6" t="s">
        <v>68</v>
      </c>
      <c r="J12" s="6" t="s">
        <v>110</v>
      </c>
      <c r="K12" s="25"/>
      <c r="L12" s="25"/>
      <c r="M12" s="6" t="s">
        <v>91</v>
      </c>
      <c r="N12" s="6" t="s">
        <v>92</v>
      </c>
      <c r="O12" s="6" t="s">
        <v>110</v>
      </c>
      <c r="P12" s="25"/>
      <c r="Q12" s="25"/>
      <c r="R12" s="6" t="s">
        <v>67</v>
      </c>
      <c r="S12" s="6" t="s">
        <v>68</v>
      </c>
      <c r="T12" s="6" t="s">
        <v>110</v>
      </c>
      <c r="U12" s="25"/>
      <c r="V12" s="25"/>
      <c r="W12" s="25"/>
      <c r="X12" s="15"/>
      <c r="Y12" s="15"/>
      <c r="Z12" s="15"/>
    </row>
    <row r="13" ht="37.5" customHeight="1" spans="1:26">
      <c r="A13" s="54" t="str">
        <f t="shared" ref="A13:A26" si="14">"ID-00"&amp;(ROW()-(ROW($A$12)))</f>
        <v>ID-001</v>
      </c>
      <c r="B13" s="35" t="s">
        <v>111</v>
      </c>
      <c r="C13" s="35" t="s">
        <v>112</v>
      </c>
      <c r="D13" s="55" t="s">
        <v>113</v>
      </c>
      <c r="E13" s="55" t="s">
        <v>114</v>
      </c>
      <c r="F13" s="55" t="s">
        <v>115</v>
      </c>
      <c r="G13" s="55" t="s">
        <v>116</v>
      </c>
      <c r="H13" s="56" t="s">
        <v>69</v>
      </c>
      <c r="I13" s="56" t="s">
        <v>69</v>
      </c>
      <c r="J13" s="59"/>
      <c r="K13" s="60" t="s">
        <v>41</v>
      </c>
      <c r="L13" s="56" t="s">
        <v>117</v>
      </c>
      <c r="M13" s="8" t="s">
        <v>69</v>
      </c>
      <c r="N13" s="8" t="s">
        <v>69</v>
      </c>
      <c r="O13" s="8"/>
      <c r="P13" s="33" t="s">
        <v>118</v>
      </c>
      <c r="Q13" s="8" t="s">
        <v>117</v>
      </c>
      <c r="R13" s="8" t="s">
        <v>69</v>
      </c>
      <c r="S13" s="8" t="s">
        <v>69</v>
      </c>
      <c r="T13" s="36"/>
      <c r="U13" s="36">
        <v>45849</v>
      </c>
      <c r="V13" s="8" t="s">
        <v>117</v>
      </c>
      <c r="W13" s="30"/>
      <c r="X13" s="15"/>
      <c r="Y13" s="15"/>
      <c r="Z13" s="15"/>
    </row>
    <row r="14" ht="37.5" customHeight="1" spans="1:26">
      <c r="A14" s="54" t="str">
        <f t="shared" si="14"/>
        <v>ID-002</v>
      </c>
      <c r="B14" s="35" t="s">
        <v>111</v>
      </c>
      <c r="C14" s="35" t="s">
        <v>119</v>
      </c>
      <c r="D14" s="55" t="s">
        <v>120</v>
      </c>
      <c r="E14" s="55" t="s">
        <v>121</v>
      </c>
      <c r="F14" s="55" t="s">
        <v>122</v>
      </c>
      <c r="G14" s="55" t="s">
        <v>123</v>
      </c>
      <c r="H14" s="56" t="s">
        <v>69</v>
      </c>
      <c r="I14" s="56" t="s">
        <v>69</v>
      </c>
      <c r="J14" s="59"/>
      <c r="K14" s="60" t="s">
        <v>41</v>
      </c>
      <c r="L14" s="56" t="s">
        <v>117</v>
      </c>
      <c r="M14" s="8" t="s">
        <v>69</v>
      </c>
      <c r="N14" s="8" t="s">
        <v>69</v>
      </c>
      <c r="O14" s="8"/>
      <c r="P14" s="33" t="s">
        <v>118</v>
      </c>
      <c r="Q14" s="8" t="s">
        <v>117</v>
      </c>
      <c r="R14" s="8" t="s">
        <v>69</v>
      </c>
      <c r="S14" s="8" t="s">
        <v>69</v>
      </c>
      <c r="T14" s="36"/>
      <c r="U14" s="36">
        <v>45849</v>
      </c>
      <c r="V14" s="8" t="s">
        <v>117</v>
      </c>
      <c r="W14" s="30"/>
      <c r="X14" s="15"/>
      <c r="Y14" s="15"/>
      <c r="Z14" s="15"/>
    </row>
    <row r="15" ht="37.5" customHeight="1" spans="1:26">
      <c r="A15" s="54" t="str">
        <f t="shared" si="14"/>
        <v>ID-003</v>
      </c>
      <c r="B15" s="35" t="s">
        <v>111</v>
      </c>
      <c r="C15" s="35" t="s">
        <v>124</v>
      </c>
      <c r="D15" s="55" t="s">
        <v>125</v>
      </c>
      <c r="E15" s="55" t="s">
        <v>126</v>
      </c>
      <c r="F15" s="55" t="s">
        <v>127</v>
      </c>
      <c r="G15" s="55" t="s">
        <v>128</v>
      </c>
      <c r="H15" s="56" t="s">
        <v>69</v>
      </c>
      <c r="I15" s="56" t="s">
        <v>70</v>
      </c>
      <c r="J15" s="59" t="s">
        <v>129</v>
      </c>
      <c r="K15" s="60" t="s">
        <v>41</v>
      </c>
      <c r="L15" s="56" t="s">
        <v>117</v>
      </c>
      <c r="M15" s="8" t="s">
        <v>69</v>
      </c>
      <c r="N15" s="8" t="s">
        <v>70</v>
      </c>
      <c r="O15" s="8"/>
      <c r="P15" s="33" t="s">
        <v>118</v>
      </c>
      <c r="Q15" s="8" t="s">
        <v>117</v>
      </c>
      <c r="R15" s="8" t="s">
        <v>69</v>
      </c>
      <c r="S15" s="8" t="s">
        <v>69</v>
      </c>
      <c r="T15" s="36"/>
      <c r="U15" s="36">
        <v>45849</v>
      </c>
      <c r="V15" s="8" t="s">
        <v>117</v>
      </c>
      <c r="W15" s="30"/>
      <c r="X15" s="15"/>
      <c r="Y15" s="15"/>
      <c r="Z15" s="15"/>
    </row>
    <row r="16" ht="51" customHeight="1" spans="1:26">
      <c r="A16" s="54" t="str">
        <f t="shared" si="14"/>
        <v>ID-004</v>
      </c>
      <c r="B16" s="35" t="s">
        <v>111</v>
      </c>
      <c r="C16" s="35" t="s">
        <v>124</v>
      </c>
      <c r="D16" s="55" t="s">
        <v>113</v>
      </c>
      <c r="E16" s="55" t="s">
        <v>130</v>
      </c>
      <c r="F16" s="55" t="s">
        <v>122</v>
      </c>
      <c r="G16" s="55" t="s">
        <v>131</v>
      </c>
      <c r="H16" s="56" t="s">
        <v>69</v>
      </c>
      <c r="I16" s="56" t="s">
        <v>69</v>
      </c>
      <c r="J16" s="59"/>
      <c r="K16" s="60" t="s">
        <v>41</v>
      </c>
      <c r="L16" s="56" t="s">
        <v>117</v>
      </c>
      <c r="M16" s="8" t="s">
        <v>69</v>
      </c>
      <c r="N16" s="8" t="s">
        <v>69</v>
      </c>
      <c r="O16" s="8"/>
      <c r="P16" s="33" t="s">
        <v>118</v>
      </c>
      <c r="Q16" s="8" t="s">
        <v>117</v>
      </c>
      <c r="R16" s="8" t="s">
        <v>69</v>
      </c>
      <c r="S16" s="8" t="s">
        <v>69</v>
      </c>
      <c r="T16" s="36"/>
      <c r="U16" s="36">
        <v>45849</v>
      </c>
      <c r="V16" s="8" t="s">
        <v>117</v>
      </c>
      <c r="W16" s="30"/>
      <c r="X16" s="15"/>
      <c r="Y16" s="15"/>
      <c r="Z16" s="15"/>
    </row>
    <row r="17" ht="42.75" customHeight="1" spans="1:26">
      <c r="A17" s="54" t="str">
        <f t="shared" si="14"/>
        <v>ID-005</v>
      </c>
      <c r="B17" s="35" t="s">
        <v>111</v>
      </c>
      <c r="C17" s="35" t="s">
        <v>124</v>
      </c>
      <c r="D17" s="55" t="s">
        <v>132</v>
      </c>
      <c r="E17" s="57" t="s">
        <v>133</v>
      </c>
      <c r="F17" s="55" t="s">
        <v>134</v>
      </c>
      <c r="G17" s="55" t="s">
        <v>123</v>
      </c>
      <c r="H17" s="56" t="s">
        <v>70</v>
      </c>
      <c r="I17" s="56" t="s">
        <v>70</v>
      </c>
      <c r="J17" s="59" t="s">
        <v>135</v>
      </c>
      <c r="K17" s="60" t="s">
        <v>41</v>
      </c>
      <c r="L17" s="56" t="s">
        <v>117</v>
      </c>
      <c r="M17" s="8" t="s">
        <v>70</v>
      </c>
      <c r="N17" s="8" t="s">
        <v>70</v>
      </c>
      <c r="O17" s="8" t="s">
        <v>136</v>
      </c>
      <c r="P17" s="33" t="s">
        <v>118</v>
      </c>
      <c r="Q17" s="8" t="s">
        <v>117</v>
      </c>
      <c r="R17" s="8" t="s">
        <v>69</v>
      </c>
      <c r="S17" s="8" t="s">
        <v>69</v>
      </c>
      <c r="T17" s="36"/>
      <c r="U17" s="36">
        <v>45849</v>
      </c>
      <c r="V17" s="8" t="s">
        <v>117</v>
      </c>
      <c r="W17" s="30"/>
      <c r="X17" s="15"/>
      <c r="Y17" s="15"/>
      <c r="Z17" s="15"/>
    </row>
    <row r="18" ht="39.6" spans="1:26">
      <c r="A18" s="54" t="str">
        <f t="shared" si="14"/>
        <v>ID-006</v>
      </c>
      <c r="B18" s="35" t="s">
        <v>111</v>
      </c>
      <c r="C18" s="55" t="s">
        <v>137</v>
      </c>
      <c r="D18" s="55" t="s">
        <v>138</v>
      </c>
      <c r="E18" s="55" t="s">
        <v>139</v>
      </c>
      <c r="F18" s="55" t="s">
        <v>140</v>
      </c>
      <c r="G18" s="55" t="s">
        <v>141</v>
      </c>
      <c r="H18" s="56" t="s">
        <v>70</v>
      </c>
      <c r="I18" s="56" t="s">
        <v>70</v>
      </c>
      <c r="J18" s="59" t="s">
        <v>142</v>
      </c>
      <c r="K18" s="60" t="s">
        <v>41</v>
      </c>
      <c r="L18" s="56" t="s">
        <v>117</v>
      </c>
      <c r="M18" s="8" t="s">
        <v>69</v>
      </c>
      <c r="N18" s="8" t="s">
        <v>70</v>
      </c>
      <c r="O18" s="8" t="s">
        <v>143</v>
      </c>
      <c r="P18" s="33" t="s">
        <v>118</v>
      </c>
      <c r="Q18" s="8" t="s">
        <v>117</v>
      </c>
      <c r="R18" s="8" t="s">
        <v>69</v>
      </c>
      <c r="S18" s="8" t="s">
        <v>69</v>
      </c>
      <c r="T18" s="36"/>
      <c r="U18" s="36">
        <v>45849</v>
      </c>
      <c r="V18" s="8" t="s">
        <v>117</v>
      </c>
      <c r="W18" s="30"/>
      <c r="X18" s="15"/>
      <c r="Y18" s="15"/>
      <c r="Z18" s="15"/>
    </row>
    <row r="19" ht="42.75" customHeight="1" spans="1:26">
      <c r="A19" s="54" t="str">
        <f t="shared" si="14"/>
        <v>ID-007</v>
      </c>
      <c r="B19" s="35" t="s">
        <v>144</v>
      </c>
      <c r="C19" s="35" t="s">
        <v>145</v>
      </c>
      <c r="D19" s="55" t="s">
        <v>138</v>
      </c>
      <c r="E19" s="55" t="s">
        <v>146</v>
      </c>
      <c r="F19" s="55" t="s">
        <v>147</v>
      </c>
      <c r="G19" s="55" t="s">
        <v>148</v>
      </c>
      <c r="H19" s="56" t="s">
        <v>69</v>
      </c>
      <c r="I19" s="56" t="s">
        <v>69</v>
      </c>
      <c r="J19" s="59"/>
      <c r="K19" s="60" t="s">
        <v>149</v>
      </c>
      <c r="L19" s="56" t="s">
        <v>117</v>
      </c>
      <c r="M19" s="8" t="s">
        <v>69</v>
      </c>
      <c r="N19" s="8" t="s">
        <v>69</v>
      </c>
      <c r="O19" s="8"/>
      <c r="P19" s="33" t="s">
        <v>78</v>
      </c>
      <c r="Q19" s="8" t="s">
        <v>117</v>
      </c>
      <c r="R19" s="8" t="s">
        <v>69</v>
      </c>
      <c r="S19" s="8" t="s">
        <v>69</v>
      </c>
      <c r="T19" s="37"/>
      <c r="U19" s="37">
        <v>45941</v>
      </c>
      <c r="V19" s="8" t="s">
        <v>117</v>
      </c>
      <c r="W19" s="30"/>
      <c r="X19" s="15"/>
      <c r="Y19" s="15"/>
      <c r="Z19" s="15"/>
    </row>
    <row r="20" ht="39.6" spans="1:26">
      <c r="A20" s="54" t="str">
        <f t="shared" si="14"/>
        <v>ID-008</v>
      </c>
      <c r="B20" s="35" t="s">
        <v>144</v>
      </c>
      <c r="C20" s="55" t="s">
        <v>150</v>
      </c>
      <c r="D20" s="55" t="s">
        <v>151</v>
      </c>
      <c r="E20" s="55" t="s">
        <v>152</v>
      </c>
      <c r="F20" s="55" t="s">
        <v>153</v>
      </c>
      <c r="G20" s="55" t="s">
        <v>154</v>
      </c>
      <c r="H20" s="56" t="s">
        <v>69</v>
      </c>
      <c r="I20" s="56" t="s">
        <v>69</v>
      </c>
      <c r="J20" s="59"/>
      <c r="K20" s="60" t="s">
        <v>149</v>
      </c>
      <c r="L20" s="56" t="s">
        <v>117</v>
      </c>
      <c r="M20" s="8" t="s">
        <v>69</v>
      </c>
      <c r="N20" s="8" t="s">
        <v>69</v>
      </c>
      <c r="O20" s="8"/>
      <c r="P20" s="33" t="s">
        <v>78</v>
      </c>
      <c r="Q20" s="8" t="s">
        <v>117</v>
      </c>
      <c r="R20" s="8" t="s">
        <v>69</v>
      </c>
      <c r="S20" s="8" t="s">
        <v>69</v>
      </c>
      <c r="T20" s="37"/>
      <c r="U20" s="37">
        <v>45941</v>
      </c>
      <c r="V20" s="8" t="s">
        <v>117</v>
      </c>
      <c r="W20" s="30"/>
      <c r="X20" s="15"/>
      <c r="Y20" s="15"/>
      <c r="Z20" s="15"/>
    </row>
    <row r="21" ht="39.6" spans="1:26">
      <c r="A21" s="54" t="str">
        <f t="shared" si="14"/>
        <v>ID-009</v>
      </c>
      <c r="B21" s="35" t="s">
        <v>144</v>
      </c>
      <c r="C21" s="55" t="s">
        <v>155</v>
      </c>
      <c r="D21" s="55" t="s">
        <v>156</v>
      </c>
      <c r="E21" s="55" t="s">
        <v>157</v>
      </c>
      <c r="F21" s="55" t="s">
        <v>158</v>
      </c>
      <c r="G21" s="55" t="s">
        <v>159</v>
      </c>
      <c r="H21" s="56" t="s">
        <v>69</v>
      </c>
      <c r="I21" s="56" t="s">
        <v>69</v>
      </c>
      <c r="J21" s="59"/>
      <c r="K21" s="60" t="s">
        <v>149</v>
      </c>
      <c r="L21" s="56" t="s">
        <v>117</v>
      </c>
      <c r="M21" s="8" t="s">
        <v>69</v>
      </c>
      <c r="N21" s="8" t="s">
        <v>69</v>
      </c>
      <c r="O21" s="8"/>
      <c r="P21" s="33" t="s">
        <v>78</v>
      </c>
      <c r="Q21" s="8" t="s">
        <v>117</v>
      </c>
      <c r="R21" s="8" t="s">
        <v>69</v>
      </c>
      <c r="S21" s="8" t="s">
        <v>69</v>
      </c>
      <c r="T21" s="37"/>
      <c r="U21" s="37">
        <v>45941</v>
      </c>
      <c r="V21" s="8" t="s">
        <v>117</v>
      </c>
      <c r="W21" s="30"/>
      <c r="X21" s="15"/>
      <c r="Y21" s="15"/>
      <c r="Z21" s="15"/>
    </row>
    <row r="22" ht="39.6" spans="1:26">
      <c r="A22" s="54" t="str">
        <f t="shared" si="14"/>
        <v>ID-0010</v>
      </c>
      <c r="B22" s="35" t="s">
        <v>144</v>
      </c>
      <c r="C22" s="35" t="s">
        <v>160</v>
      </c>
      <c r="D22" s="55" t="s">
        <v>138</v>
      </c>
      <c r="E22" s="55" t="s">
        <v>161</v>
      </c>
      <c r="F22" s="55" t="s">
        <v>162</v>
      </c>
      <c r="G22" s="55" t="s">
        <v>141</v>
      </c>
      <c r="H22" s="56" t="s">
        <v>69</v>
      </c>
      <c r="I22" s="56" t="s">
        <v>69</v>
      </c>
      <c r="J22" s="59"/>
      <c r="K22" s="60" t="s">
        <v>163</v>
      </c>
      <c r="L22" s="56" t="s">
        <v>117</v>
      </c>
      <c r="M22" s="8" t="s">
        <v>69</v>
      </c>
      <c r="N22" s="8" t="s">
        <v>69</v>
      </c>
      <c r="O22" s="8"/>
      <c r="P22" s="33" t="s">
        <v>164</v>
      </c>
      <c r="Q22" s="8" t="s">
        <v>117</v>
      </c>
      <c r="R22" s="8" t="s">
        <v>69</v>
      </c>
      <c r="S22" s="8" t="s">
        <v>69</v>
      </c>
      <c r="T22" s="8"/>
      <c r="U22" s="8" t="s">
        <v>72</v>
      </c>
      <c r="V22" s="8" t="s">
        <v>117</v>
      </c>
      <c r="W22" s="30"/>
      <c r="X22" s="15"/>
      <c r="Y22" s="15"/>
      <c r="Z22" s="15"/>
    </row>
    <row r="23" ht="39.6" spans="1:26">
      <c r="A23" s="54" t="str">
        <f t="shared" si="14"/>
        <v>ID-0011</v>
      </c>
      <c r="B23" s="35" t="s">
        <v>144</v>
      </c>
      <c r="C23" s="35" t="s">
        <v>165</v>
      </c>
      <c r="D23" s="58" t="s">
        <v>166</v>
      </c>
      <c r="E23" s="55" t="s">
        <v>167</v>
      </c>
      <c r="F23" s="55" t="s">
        <v>168</v>
      </c>
      <c r="G23" s="55" t="s">
        <v>141</v>
      </c>
      <c r="H23" s="56" t="s">
        <v>69</v>
      </c>
      <c r="I23" s="56" t="s">
        <v>69</v>
      </c>
      <c r="J23" s="59"/>
      <c r="K23" s="60" t="s">
        <v>163</v>
      </c>
      <c r="L23" s="56" t="s">
        <v>117</v>
      </c>
      <c r="M23" s="8" t="s">
        <v>69</v>
      </c>
      <c r="N23" s="8" t="s">
        <v>69</v>
      </c>
      <c r="O23" s="8"/>
      <c r="P23" s="33" t="s">
        <v>164</v>
      </c>
      <c r="Q23" s="8" t="s">
        <v>117</v>
      </c>
      <c r="R23" s="8" t="s">
        <v>69</v>
      </c>
      <c r="S23" s="8" t="s">
        <v>69</v>
      </c>
      <c r="T23" s="8"/>
      <c r="U23" s="8" t="s">
        <v>72</v>
      </c>
      <c r="V23" s="8" t="s">
        <v>117</v>
      </c>
      <c r="W23" s="30"/>
      <c r="X23" s="15"/>
      <c r="Y23" s="15"/>
      <c r="Z23" s="15"/>
    </row>
    <row r="24" ht="39.6" spans="1:26">
      <c r="A24" s="54" t="str">
        <f t="shared" si="14"/>
        <v>ID-0012</v>
      </c>
      <c r="B24" s="35" t="s">
        <v>144</v>
      </c>
      <c r="C24" s="55" t="s">
        <v>169</v>
      </c>
      <c r="D24" s="38" t="s">
        <v>170</v>
      </c>
      <c r="E24" s="28" t="s">
        <v>171</v>
      </c>
      <c r="F24" s="55" t="s">
        <v>172</v>
      </c>
      <c r="G24" s="28" t="s">
        <v>173</v>
      </c>
      <c r="H24" s="8" t="s">
        <v>70</v>
      </c>
      <c r="I24" s="8" t="s">
        <v>70</v>
      </c>
      <c r="J24" s="8" t="s">
        <v>174</v>
      </c>
      <c r="K24" s="60" t="s">
        <v>163</v>
      </c>
      <c r="L24" s="56" t="s">
        <v>117</v>
      </c>
      <c r="M24" s="8" t="s">
        <v>70</v>
      </c>
      <c r="N24" s="8" t="s">
        <v>69</v>
      </c>
      <c r="O24" s="8" t="s">
        <v>175</v>
      </c>
      <c r="P24" s="33" t="s">
        <v>164</v>
      </c>
      <c r="Q24" s="8" t="s">
        <v>117</v>
      </c>
      <c r="R24" s="8" t="s">
        <v>69</v>
      </c>
      <c r="S24" s="8" t="s">
        <v>69</v>
      </c>
      <c r="T24" s="8"/>
      <c r="U24" s="8" t="s">
        <v>72</v>
      </c>
      <c r="V24" s="8" t="s">
        <v>117</v>
      </c>
      <c r="W24" s="30"/>
      <c r="X24" s="15"/>
      <c r="Y24" s="15"/>
      <c r="Z24" s="15"/>
    </row>
    <row r="25" ht="39.6" spans="1:26">
      <c r="A25" s="54" t="str">
        <f t="shared" si="14"/>
        <v>ID-0013</v>
      </c>
      <c r="B25" s="55" t="s">
        <v>176</v>
      </c>
      <c r="C25" s="55" t="s">
        <v>177</v>
      </c>
      <c r="D25" s="55" t="s">
        <v>178</v>
      </c>
      <c r="E25" s="55" t="s">
        <v>179</v>
      </c>
      <c r="F25" s="55" t="s">
        <v>180</v>
      </c>
      <c r="G25" s="55" t="s">
        <v>181</v>
      </c>
      <c r="H25" s="8" t="s">
        <v>69</v>
      </c>
      <c r="I25" s="8" t="s">
        <v>69</v>
      </c>
      <c r="J25" s="8"/>
      <c r="K25" s="60" t="s">
        <v>163</v>
      </c>
      <c r="L25" s="56" t="s">
        <v>117</v>
      </c>
      <c r="M25" s="8" t="s">
        <v>69</v>
      </c>
      <c r="N25" s="8" t="s">
        <v>69</v>
      </c>
      <c r="O25" s="8"/>
      <c r="P25" s="33" t="s">
        <v>164</v>
      </c>
      <c r="Q25" s="8" t="s">
        <v>117</v>
      </c>
      <c r="R25" s="8" t="s">
        <v>69</v>
      </c>
      <c r="S25" s="8" t="s">
        <v>69</v>
      </c>
      <c r="T25" s="8"/>
      <c r="U25" s="8" t="s">
        <v>72</v>
      </c>
      <c r="V25" s="8" t="s">
        <v>117</v>
      </c>
      <c r="W25" s="30"/>
      <c r="X25" s="15"/>
      <c r="Y25" s="15"/>
      <c r="Z25" s="15"/>
    </row>
    <row r="26" ht="52.8" spans="1:26">
      <c r="A26" s="54" t="str">
        <f t="shared" si="14"/>
        <v>ID-0014</v>
      </c>
      <c r="B26" s="55" t="s">
        <v>182</v>
      </c>
      <c r="C26" s="55" t="s">
        <v>183</v>
      </c>
      <c r="D26" s="55" t="s">
        <v>184</v>
      </c>
      <c r="E26" s="55" t="s">
        <v>185</v>
      </c>
      <c r="F26" s="55" t="s">
        <v>186</v>
      </c>
      <c r="G26" s="55" t="s">
        <v>187</v>
      </c>
      <c r="H26" s="8" t="s">
        <v>69</v>
      </c>
      <c r="I26" s="8" t="s">
        <v>69</v>
      </c>
      <c r="J26" s="8"/>
      <c r="K26" s="60" t="s">
        <v>163</v>
      </c>
      <c r="L26" s="56" t="s">
        <v>117</v>
      </c>
      <c r="M26" s="8" t="s">
        <v>69</v>
      </c>
      <c r="N26" s="8" t="s">
        <v>69</v>
      </c>
      <c r="O26" s="8"/>
      <c r="P26" s="33" t="s">
        <v>164</v>
      </c>
      <c r="Q26" s="8" t="s">
        <v>117</v>
      </c>
      <c r="R26" s="8" t="s">
        <v>69</v>
      </c>
      <c r="S26" s="8" t="s">
        <v>69</v>
      </c>
      <c r="T26" s="8"/>
      <c r="U26" s="8" t="s">
        <v>72</v>
      </c>
      <c r="V26" s="8" t="s">
        <v>117</v>
      </c>
      <c r="W26" s="30"/>
      <c r="X26" s="15"/>
      <c r="Y26" s="15"/>
      <c r="Z26" s="15"/>
    </row>
    <row r="27" customHeight="1" spans="1:26">
      <c r="A27" s="26"/>
      <c r="B27" s="30"/>
      <c r="C27" s="30"/>
      <c r="D27" s="30"/>
      <c r="E27" s="30"/>
      <c r="F27" s="30"/>
      <c r="G27" s="30"/>
      <c r="H27" s="8"/>
      <c r="I27" s="8"/>
      <c r="J27" s="8"/>
      <c r="K27" s="8"/>
      <c r="L27" s="8"/>
      <c r="M27" s="8"/>
      <c r="N27" s="8"/>
      <c r="O27" s="8"/>
      <c r="P27" s="8"/>
      <c r="Q27" s="8"/>
      <c r="R27" s="8"/>
      <c r="S27" s="8"/>
      <c r="T27" s="8"/>
      <c r="U27" s="8"/>
      <c r="V27" s="8"/>
      <c r="W27" s="30"/>
      <c r="X27" s="15"/>
      <c r="Y27" s="15"/>
      <c r="Z27" s="15"/>
    </row>
    <row r="28" customHeight="1" spans="1:26">
      <c r="A28" s="26"/>
      <c r="B28" s="30"/>
      <c r="C28" s="30"/>
      <c r="D28" s="30"/>
      <c r="E28" s="30"/>
      <c r="F28" s="30"/>
      <c r="G28" s="30"/>
      <c r="H28" s="8"/>
      <c r="I28" s="8"/>
      <c r="J28" s="8"/>
      <c r="K28" s="8"/>
      <c r="L28" s="8"/>
      <c r="M28" s="8"/>
      <c r="N28" s="8"/>
      <c r="O28" s="8"/>
      <c r="P28" s="8"/>
      <c r="Q28" s="8"/>
      <c r="R28" s="8"/>
      <c r="S28" s="8"/>
      <c r="T28" s="8"/>
      <c r="U28" s="8"/>
      <c r="V28" s="8"/>
      <c r="W28" s="30"/>
      <c r="X28" s="15"/>
      <c r="Y28" s="15"/>
      <c r="Z28" s="15"/>
    </row>
    <row r="29" customHeight="1" spans="1:26">
      <c r="A29" s="26"/>
      <c r="B29" s="30"/>
      <c r="C29" s="30"/>
      <c r="D29" s="30"/>
      <c r="E29" s="30"/>
      <c r="F29" s="30"/>
      <c r="G29" s="30"/>
      <c r="H29" s="8"/>
      <c r="I29" s="8"/>
      <c r="J29" s="8"/>
      <c r="K29" s="8"/>
      <c r="L29" s="8"/>
      <c r="M29" s="8"/>
      <c r="N29" s="8"/>
      <c r="O29" s="8"/>
      <c r="P29" s="8"/>
      <c r="Q29" s="8"/>
      <c r="R29" s="8"/>
      <c r="S29" s="8"/>
      <c r="T29" s="8"/>
      <c r="U29" s="8"/>
      <c r="V29" s="8"/>
      <c r="W29" s="30"/>
      <c r="X29" s="15"/>
      <c r="Y29" s="15"/>
      <c r="Z29" s="15"/>
    </row>
    <row r="30" customHeight="1" spans="1:26">
      <c r="A30" s="26"/>
      <c r="B30" s="30"/>
      <c r="C30" s="30"/>
      <c r="D30" s="30"/>
      <c r="E30" s="30"/>
      <c r="F30" s="30"/>
      <c r="G30" s="30"/>
      <c r="H30" s="8"/>
      <c r="I30" s="8"/>
      <c r="J30" s="8"/>
      <c r="K30" s="8"/>
      <c r="L30" s="8"/>
      <c r="M30" s="8"/>
      <c r="N30" s="8"/>
      <c r="O30" s="8"/>
      <c r="P30" s="8"/>
      <c r="Q30" s="8"/>
      <c r="R30" s="8"/>
      <c r="S30" s="8"/>
      <c r="T30" s="8"/>
      <c r="U30" s="8"/>
      <c r="V30" s="8"/>
      <c r="W30" s="30"/>
      <c r="X30" s="15"/>
      <c r="Y30" s="15"/>
      <c r="Z30" s="15"/>
    </row>
    <row r="31" customHeight="1" spans="1:26">
      <c r="A31" s="26"/>
      <c r="B31" s="30"/>
      <c r="C31" s="30"/>
      <c r="D31" s="30"/>
      <c r="E31" s="30"/>
      <c r="F31" s="30"/>
      <c r="G31" s="30"/>
      <c r="H31" s="8"/>
      <c r="I31" s="8"/>
      <c r="J31" s="8"/>
      <c r="K31" s="8"/>
      <c r="L31" s="8"/>
      <c r="M31" s="8"/>
      <c r="N31" s="8"/>
      <c r="O31" s="8"/>
      <c r="P31" s="8"/>
      <c r="Q31" s="8"/>
      <c r="R31" s="8"/>
      <c r="S31" s="8"/>
      <c r="T31" s="8"/>
      <c r="U31" s="8"/>
      <c r="V31" s="8"/>
      <c r="W31" s="30"/>
      <c r="X31" s="15"/>
      <c r="Y31" s="15"/>
      <c r="Z31" s="15"/>
    </row>
    <row r="32" customHeight="1" spans="1:26">
      <c r="A32" s="26"/>
      <c r="B32" s="30"/>
      <c r="C32" s="30"/>
      <c r="D32" s="30"/>
      <c r="E32" s="30"/>
      <c r="F32" s="30"/>
      <c r="G32" s="30"/>
      <c r="H32" s="8"/>
      <c r="I32" s="8"/>
      <c r="J32" s="8"/>
      <c r="K32" s="8"/>
      <c r="L32" s="8"/>
      <c r="M32" s="8"/>
      <c r="N32" s="8"/>
      <c r="O32" s="8"/>
      <c r="P32" s="8"/>
      <c r="Q32" s="8"/>
      <c r="R32" s="8"/>
      <c r="S32" s="8"/>
      <c r="T32" s="8"/>
      <c r="U32" s="8"/>
      <c r="V32" s="8"/>
      <c r="W32" s="30"/>
      <c r="X32" s="15"/>
      <c r="Y32" s="15"/>
      <c r="Z32" s="15"/>
    </row>
    <row r="33" customHeight="1" spans="1:26">
      <c r="A33" s="26"/>
      <c r="B33" s="30"/>
      <c r="C33" s="30"/>
      <c r="D33" s="30"/>
      <c r="E33" s="30"/>
      <c r="F33" s="30"/>
      <c r="G33" s="30"/>
      <c r="H33" s="8"/>
      <c r="I33" s="8"/>
      <c r="J33" s="8"/>
      <c r="K33" s="8"/>
      <c r="L33" s="8"/>
      <c r="M33" s="8"/>
      <c r="N33" s="8"/>
      <c r="O33" s="8"/>
      <c r="P33" s="8"/>
      <c r="Q33" s="8"/>
      <c r="R33" s="8"/>
      <c r="S33" s="8"/>
      <c r="T33" s="8"/>
      <c r="U33" s="8"/>
      <c r="V33" s="8"/>
      <c r="W33" s="30"/>
      <c r="X33" s="15"/>
      <c r="Y33" s="15"/>
      <c r="Z33" s="15"/>
    </row>
    <row r="34" customHeight="1" spans="1:26">
      <c r="A34" s="26"/>
      <c r="B34" s="30"/>
      <c r="C34" s="30"/>
      <c r="D34" s="30"/>
      <c r="E34" s="30"/>
      <c r="F34" s="30"/>
      <c r="G34" s="30"/>
      <c r="H34" s="8"/>
      <c r="I34" s="8"/>
      <c r="J34" s="8"/>
      <c r="K34" s="8"/>
      <c r="L34" s="8"/>
      <c r="M34" s="8"/>
      <c r="N34" s="8"/>
      <c r="O34" s="8"/>
      <c r="P34" s="8"/>
      <c r="Q34" s="8"/>
      <c r="R34" s="8"/>
      <c r="S34" s="8"/>
      <c r="T34" s="8"/>
      <c r="U34" s="8"/>
      <c r="V34" s="8"/>
      <c r="W34" s="30"/>
      <c r="X34" s="15"/>
      <c r="Y34" s="15"/>
      <c r="Z34" s="15"/>
    </row>
    <row r="35" customHeight="1" spans="1:26">
      <c r="A35" s="26"/>
      <c r="B35" s="30"/>
      <c r="C35" s="30"/>
      <c r="D35" s="30"/>
      <c r="E35" s="30"/>
      <c r="F35" s="30"/>
      <c r="G35" s="30"/>
      <c r="H35" s="8"/>
      <c r="I35" s="8"/>
      <c r="J35" s="8"/>
      <c r="K35" s="8"/>
      <c r="L35" s="8"/>
      <c r="M35" s="8"/>
      <c r="N35" s="8"/>
      <c r="O35" s="8"/>
      <c r="P35" s="8"/>
      <c r="Q35" s="8"/>
      <c r="R35" s="8"/>
      <c r="S35" s="8"/>
      <c r="T35" s="8"/>
      <c r="U35" s="8"/>
      <c r="V35" s="8"/>
      <c r="W35" s="30"/>
      <c r="X35" s="15"/>
      <c r="Y35" s="15"/>
      <c r="Z35" s="15"/>
    </row>
    <row r="36" customHeight="1" spans="1:26">
      <c r="A36" s="26"/>
      <c r="B36" s="30"/>
      <c r="C36" s="30"/>
      <c r="D36" s="30"/>
      <c r="E36" s="30"/>
      <c r="F36" s="30"/>
      <c r="G36" s="30"/>
      <c r="H36" s="8"/>
      <c r="I36" s="8"/>
      <c r="J36" s="8"/>
      <c r="K36" s="8"/>
      <c r="L36" s="8"/>
      <c r="M36" s="8"/>
      <c r="N36" s="8"/>
      <c r="O36" s="8"/>
      <c r="P36" s="8"/>
      <c r="Q36" s="8"/>
      <c r="R36" s="8"/>
      <c r="S36" s="8"/>
      <c r="T36" s="8"/>
      <c r="U36" s="8"/>
      <c r="V36" s="8"/>
      <c r="W36" s="30"/>
      <c r="X36" s="15"/>
      <c r="Y36" s="15"/>
      <c r="Z36" s="15"/>
    </row>
    <row r="37" customHeight="1" spans="1:26">
      <c r="A37" s="17"/>
      <c r="B37" s="15"/>
      <c r="C37" s="15"/>
      <c r="D37" s="15"/>
      <c r="E37" s="15"/>
      <c r="F37" s="15"/>
      <c r="G37" s="15"/>
      <c r="H37" s="16"/>
      <c r="I37" s="16"/>
      <c r="J37" s="16"/>
      <c r="K37" s="16"/>
      <c r="L37" s="16"/>
      <c r="M37" s="16"/>
      <c r="N37" s="16"/>
      <c r="O37" s="16"/>
      <c r="P37" s="16"/>
      <c r="Q37" s="16"/>
      <c r="R37" s="16"/>
      <c r="S37" s="16"/>
      <c r="T37" s="16"/>
      <c r="U37" s="16"/>
      <c r="V37" s="16"/>
      <c r="W37" s="15"/>
      <c r="X37" s="15"/>
      <c r="Y37" s="15"/>
      <c r="Z37" s="15"/>
    </row>
    <row r="38" customHeight="1" spans="1:26">
      <c r="A38" s="17"/>
      <c r="B38" s="15"/>
      <c r="C38" s="15"/>
      <c r="D38" s="15"/>
      <c r="E38" s="15"/>
      <c r="F38" s="15"/>
      <c r="G38" s="15"/>
      <c r="H38" s="16"/>
      <c r="I38" s="16"/>
      <c r="J38" s="16"/>
      <c r="K38" s="16"/>
      <c r="L38" s="16"/>
      <c r="M38" s="16"/>
      <c r="N38" s="16"/>
      <c r="O38" s="16"/>
      <c r="P38" s="16"/>
      <c r="Q38" s="16"/>
      <c r="R38" s="16"/>
      <c r="S38" s="16"/>
      <c r="T38" s="16"/>
      <c r="U38" s="16"/>
      <c r="V38" s="16"/>
      <c r="W38" s="15"/>
      <c r="X38" s="15"/>
      <c r="Y38" s="15"/>
      <c r="Z38" s="15"/>
    </row>
    <row r="39" customHeight="1" spans="1:26">
      <c r="A39" s="17"/>
      <c r="B39" s="15"/>
      <c r="C39" s="15"/>
      <c r="D39" s="15"/>
      <c r="E39" s="15"/>
      <c r="F39" s="15"/>
      <c r="G39" s="15"/>
      <c r="H39" s="16"/>
      <c r="I39" s="16"/>
      <c r="J39" s="16"/>
      <c r="K39" s="16"/>
      <c r="L39" s="16"/>
      <c r="M39" s="16"/>
      <c r="N39" s="16"/>
      <c r="O39" s="16"/>
      <c r="P39" s="16"/>
      <c r="Q39" s="16"/>
      <c r="R39" s="16"/>
      <c r="S39" s="16"/>
      <c r="T39" s="16"/>
      <c r="U39" s="16"/>
      <c r="V39" s="16"/>
      <c r="W39" s="15"/>
      <c r="X39" s="15"/>
      <c r="Y39" s="15"/>
      <c r="Z39" s="15"/>
    </row>
    <row r="40" customHeight="1" spans="1:26">
      <c r="A40" s="17"/>
      <c r="B40" s="15"/>
      <c r="C40" s="15"/>
      <c r="D40" s="15"/>
      <c r="E40" s="15"/>
      <c r="F40" s="15"/>
      <c r="G40" s="15"/>
      <c r="H40" s="16"/>
      <c r="I40" s="16"/>
      <c r="J40" s="16"/>
      <c r="K40" s="16"/>
      <c r="L40" s="16"/>
      <c r="M40" s="16"/>
      <c r="N40" s="16"/>
      <c r="O40" s="16"/>
      <c r="P40" s="16"/>
      <c r="Q40" s="16"/>
      <c r="R40" s="16"/>
      <c r="S40" s="16"/>
      <c r="T40" s="16"/>
      <c r="U40" s="16"/>
      <c r="V40" s="16"/>
      <c r="W40" s="15"/>
      <c r="X40" s="15"/>
      <c r="Y40" s="15"/>
      <c r="Z40" s="15"/>
    </row>
    <row r="41" customHeight="1" spans="1:26">
      <c r="A41" s="17"/>
      <c r="B41" s="15"/>
      <c r="C41" s="15"/>
      <c r="D41" s="15"/>
      <c r="E41" s="15"/>
      <c r="F41" s="15"/>
      <c r="G41" s="15"/>
      <c r="H41" s="16"/>
      <c r="I41" s="16"/>
      <c r="J41" s="16"/>
      <c r="K41" s="16"/>
      <c r="L41" s="16"/>
      <c r="M41" s="16"/>
      <c r="N41" s="16"/>
      <c r="O41" s="16"/>
      <c r="P41" s="16"/>
      <c r="Q41" s="16"/>
      <c r="R41" s="16"/>
      <c r="S41" s="16"/>
      <c r="T41" s="16"/>
      <c r="U41" s="16"/>
      <c r="V41" s="16"/>
      <c r="W41" s="15"/>
      <c r="X41" s="15"/>
      <c r="Y41" s="15"/>
      <c r="Z41" s="15"/>
    </row>
    <row r="42" customHeight="1" spans="1:26">
      <c r="A42" s="17"/>
      <c r="B42" s="15"/>
      <c r="C42" s="15"/>
      <c r="D42" s="15"/>
      <c r="E42" s="15"/>
      <c r="F42" s="15"/>
      <c r="G42" s="15"/>
      <c r="H42" s="16"/>
      <c r="I42" s="16"/>
      <c r="J42" s="16"/>
      <c r="K42" s="16"/>
      <c r="L42" s="16"/>
      <c r="M42" s="16"/>
      <c r="N42" s="16"/>
      <c r="O42" s="16"/>
      <c r="P42" s="16"/>
      <c r="Q42" s="16"/>
      <c r="R42" s="16"/>
      <c r="S42" s="16"/>
      <c r="T42" s="16"/>
      <c r="U42" s="16"/>
      <c r="V42" s="16"/>
      <c r="W42" s="15"/>
      <c r="X42" s="15"/>
      <c r="Y42" s="15"/>
      <c r="Z42" s="15"/>
    </row>
    <row r="43" customHeight="1" spans="1:26">
      <c r="A43" s="17"/>
      <c r="B43" s="15"/>
      <c r="C43" s="15"/>
      <c r="D43" s="15"/>
      <c r="E43" s="15"/>
      <c r="F43" s="15"/>
      <c r="G43" s="15"/>
      <c r="H43" s="16"/>
      <c r="I43" s="16"/>
      <c r="J43" s="16"/>
      <c r="K43" s="16"/>
      <c r="L43" s="16"/>
      <c r="M43" s="16"/>
      <c r="N43" s="16"/>
      <c r="O43" s="16"/>
      <c r="P43" s="16"/>
      <c r="Q43" s="16"/>
      <c r="R43" s="16"/>
      <c r="S43" s="16"/>
      <c r="T43" s="16"/>
      <c r="U43" s="16"/>
      <c r="V43" s="16"/>
      <c r="W43" s="15"/>
      <c r="X43" s="15"/>
      <c r="Y43" s="15"/>
      <c r="Z43" s="15"/>
    </row>
    <row r="44" customHeight="1" spans="1:26">
      <c r="A44" s="17"/>
      <c r="B44" s="15"/>
      <c r="C44" s="15"/>
      <c r="D44" s="15"/>
      <c r="E44" s="15"/>
      <c r="F44" s="15"/>
      <c r="G44" s="15"/>
      <c r="H44" s="16"/>
      <c r="I44" s="16"/>
      <c r="J44" s="16"/>
      <c r="K44" s="16"/>
      <c r="L44" s="16"/>
      <c r="M44" s="16"/>
      <c r="N44" s="16"/>
      <c r="O44" s="16"/>
      <c r="P44" s="16"/>
      <c r="Q44" s="16"/>
      <c r="R44" s="16"/>
      <c r="S44" s="16"/>
      <c r="T44" s="16"/>
      <c r="U44" s="16"/>
      <c r="V44" s="16"/>
      <c r="W44" s="15"/>
      <c r="X44" s="15"/>
      <c r="Y44" s="15"/>
      <c r="Z44" s="15"/>
    </row>
    <row r="45" customHeight="1" spans="1:26">
      <c r="A45" s="17"/>
      <c r="B45" s="15"/>
      <c r="C45" s="15"/>
      <c r="D45" s="15"/>
      <c r="E45" s="15"/>
      <c r="F45" s="15"/>
      <c r="G45" s="15"/>
      <c r="H45" s="16"/>
      <c r="I45" s="16"/>
      <c r="J45" s="16"/>
      <c r="K45" s="16"/>
      <c r="L45" s="16"/>
      <c r="M45" s="16"/>
      <c r="N45" s="16"/>
      <c r="O45" s="16"/>
      <c r="P45" s="16"/>
      <c r="Q45" s="16"/>
      <c r="R45" s="16"/>
      <c r="S45" s="16"/>
      <c r="T45" s="16"/>
      <c r="U45" s="16"/>
      <c r="V45" s="16"/>
      <c r="W45" s="15"/>
      <c r="X45" s="15"/>
      <c r="Y45" s="15"/>
      <c r="Z45" s="15"/>
    </row>
    <row r="46" customHeight="1" spans="1:26">
      <c r="A46" s="17"/>
      <c r="B46" s="15"/>
      <c r="C46" s="15"/>
      <c r="D46" s="15"/>
      <c r="E46" s="15"/>
      <c r="F46" s="15"/>
      <c r="G46" s="15"/>
      <c r="H46" s="16"/>
      <c r="I46" s="16"/>
      <c r="J46" s="16"/>
      <c r="K46" s="16"/>
      <c r="L46" s="16"/>
      <c r="M46" s="16"/>
      <c r="N46" s="16"/>
      <c r="O46" s="16"/>
      <c r="P46" s="16"/>
      <c r="Q46" s="16"/>
      <c r="R46" s="16"/>
      <c r="S46" s="16"/>
      <c r="T46" s="16"/>
      <c r="U46" s="16"/>
      <c r="V46" s="16"/>
      <c r="W46" s="15"/>
      <c r="X46" s="15"/>
      <c r="Y46" s="15"/>
      <c r="Z46" s="15"/>
    </row>
    <row r="47" customHeight="1" spans="1:26">
      <c r="A47" s="17"/>
      <c r="B47" s="15"/>
      <c r="C47" s="15"/>
      <c r="D47" s="15"/>
      <c r="E47" s="15"/>
      <c r="F47" s="15"/>
      <c r="G47" s="15"/>
      <c r="H47" s="16"/>
      <c r="I47" s="16"/>
      <c r="J47" s="16"/>
      <c r="K47" s="16"/>
      <c r="L47" s="16"/>
      <c r="M47" s="16"/>
      <c r="N47" s="16"/>
      <c r="O47" s="16"/>
      <c r="P47" s="16"/>
      <c r="Q47" s="16"/>
      <c r="R47" s="16"/>
      <c r="S47" s="16"/>
      <c r="T47" s="16"/>
      <c r="U47" s="16"/>
      <c r="V47" s="16"/>
      <c r="W47" s="15"/>
      <c r="X47" s="15"/>
      <c r="Y47" s="15"/>
      <c r="Z47" s="15"/>
    </row>
    <row r="48" customHeight="1" spans="1:26">
      <c r="A48" s="17"/>
      <c r="B48" s="15"/>
      <c r="C48" s="15"/>
      <c r="D48" s="15"/>
      <c r="E48" s="15"/>
      <c r="F48" s="15"/>
      <c r="G48" s="15"/>
      <c r="H48" s="16"/>
      <c r="I48" s="16"/>
      <c r="J48" s="16"/>
      <c r="K48" s="16"/>
      <c r="L48" s="16"/>
      <c r="M48" s="16"/>
      <c r="N48" s="16"/>
      <c r="O48" s="16"/>
      <c r="P48" s="16"/>
      <c r="Q48" s="16"/>
      <c r="R48" s="16"/>
      <c r="S48" s="16"/>
      <c r="T48" s="16"/>
      <c r="U48" s="16"/>
      <c r="V48" s="16"/>
      <c r="W48" s="15"/>
      <c r="X48" s="15"/>
      <c r="Y48" s="15"/>
      <c r="Z48" s="15"/>
    </row>
    <row r="49" customHeight="1" spans="1:26">
      <c r="A49" s="17"/>
      <c r="B49" s="15"/>
      <c r="C49" s="15"/>
      <c r="D49" s="15"/>
      <c r="E49" s="15"/>
      <c r="F49" s="15"/>
      <c r="G49" s="15"/>
      <c r="H49" s="16"/>
      <c r="I49" s="16"/>
      <c r="J49" s="16"/>
      <c r="K49" s="16"/>
      <c r="L49" s="16"/>
      <c r="M49" s="16"/>
      <c r="N49" s="16"/>
      <c r="O49" s="16"/>
      <c r="P49" s="16"/>
      <c r="Q49" s="16"/>
      <c r="R49" s="16"/>
      <c r="S49" s="16"/>
      <c r="T49" s="16"/>
      <c r="U49" s="16"/>
      <c r="V49" s="16"/>
      <c r="W49" s="15"/>
      <c r="X49" s="15"/>
      <c r="Y49" s="15"/>
      <c r="Z49" s="15"/>
    </row>
    <row r="50" customHeight="1" spans="1:26">
      <c r="A50" s="17"/>
      <c r="B50" s="15"/>
      <c r="C50" s="15"/>
      <c r="D50" s="15"/>
      <c r="E50" s="15"/>
      <c r="F50" s="15"/>
      <c r="G50" s="15"/>
      <c r="H50" s="16"/>
      <c r="I50" s="16"/>
      <c r="J50" s="16"/>
      <c r="K50" s="16"/>
      <c r="L50" s="16"/>
      <c r="M50" s="16"/>
      <c r="N50" s="16"/>
      <c r="O50" s="16"/>
      <c r="P50" s="16"/>
      <c r="Q50" s="16"/>
      <c r="R50" s="16"/>
      <c r="S50" s="16"/>
      <c r="T50" s="16"/>
      <c r="U50" s="16"/>
      <c r="V50" s="16"/>
      <c r="W50" s="15"/>
      <c r="X50" s="15"/>
      <c r="Y50" s="15"/>
      <c r="Z50" s="15"/>
    </row>
    <row r="51" customHeight="1" spans="1:26">
      <c r="A51" s="17"/>
      <c r="B51" s="15"/>
      <c r="C51" s="15"/>
      <c r="D51" s="15"/>
      <c r="E51" s="15"/>
      <c r="F51" s="15"/>
      <c r="G51" s="15"/>
      <c r="H51" s="16"/>
      <c r="I51" s="16"/>
      <c r="J51" s="16"/>
      <c r="K51" s="16"/>
      <c r="L51" s="16"/>
      <c r="M51" s="16"/>
      <c r="N51" s="16"/>
      <c r="O51" s="16"/>
      <c r="P51" s="16"/>
      <c r="Q51" s="16"/>
      <c r="R51" s="16"/>
      <c r="S51" s="16"/>
      <c r="T51" s="16"/>
      <c r="U51" s="16"/>
      <c r="V51" s="16"/>
      <c r="W51" s="15"/>
      <c r="X51" s="15"/>
      <c r="Y51" s="15"/>
      <c r="Z51" s="15"/>
    </row>
    <row r="52" customHeight="1" spans="1:26">
      <c r="A52" s="17"/>
      <c r="B52" s="15"/>
      <c r="C52" s="15"/>
      <c r="D52" s="15"/>
      <c r="E52" s="15"/>
      <c r="F52" s="15"/>
      <c r="G52" s="15"/>
      <c r="H52" s="16"/>
      <c r="I52" s="16"/>
      <c r="J52" s="16"/>
      <c r="K52" s="16"/>
      <c r="L52" s="16"/>
      <c r="M52" s="16"/>
      <c r="N52" s="16"/>
      <c r="O52" s="16"/>
      <c r="P52" s="16"/>
      <c r="Q52" s="16"/>
      <c r="R52" s="16"/>
      <c r="S52" s="16"/>
      <c r="T52" s="16"/>
      <c r="U52" s="16"/>
      <c r="V52" s="16"/>
      <c r="W52" s="15"/>
      <c r="X52" s="15"/>
      <c r="Y52" s="15"/>
      <c r="Z52" s="15"/>
    </row>
    <row r="53" customHeight="1" spans="1:26">
      <c r="A53" s="17"/>
      <c r="B53" s="15"/>
      <c r="C53" s="15"/>
      <c r="D53" s="15"/>
      <c r="E53" s="15"/>
      <c r="F53" s="15"/>
      <c r="G53" s="15"/>
      <c r="H53" s="16"/>
      <c r="I53" s="16"/>
      <c r="J53" s="16"/>
      <c r="K53" s="16"/>
      <c r="L53" s="16"/>
      <c r="M53" s="16"/>
      <c r="N53" s="16"/>
      <c r="O53" s="16"/>
      <c r="P53" s="16"/>
      <c r="Q53" s="16"/>
      <c r="R53" s="16"/>
      <c r="S53" s="16"/>
      <c r="T53" s="16"/>
      <c r="U53" s="16"/>
      <c r="V53" s="16"/>
      <c r="W53" s="15"/>
      <c r="X53" s="15"/>
      <c r="Y53" s="15"/>
      <c r="Z53" s="15"/>
    </row>
    <row r="54" customHeight="1" spans="1:26">
      <c r="A54" s="17"/>
      <c r="B54" s="15"/>
      <c r="C54" s="15"/>
      <c r="D54" s="15"/>
      <c r="E54" s="15"/>
      <c r="F54" s="15"/>
      <c r="G54" s="15"/>
      <c r="H54" s="16"/>
      <c r="I54" s="16"/>
      <c r="J54" s="16"/>
      <c r="K54" s="16"/>
      <c r="L54" s="16"/>
      <c r="M54" s="16"/>
      <c r="N54" s="16"/>
      <c r="O54" s="16"/>
      <c r="P54" s="16"/>
      <c r="Q54" s="16"/>
      <c r="R54" s="16"/>
      <c r="S54" s="16"/>
      <c r="T54" s="16"/>
      <c r="U54" s="16"/>
      <c r="V54" s="16"/>
      <c r="W54" s="15"/>
      <c r="X54" s="15"/>
      <c r="Y54" s="15"/>
      <c r="Z54" s="15"/>
    </row>
    <row r="55" customHeight="1" spans="1:26">
      <c r="A55" s="17"/>
      <c r="B55" s="15"/>
      <c r="C55" s="15"/>
      <c r="D55" s="15"/>
      <c r="E55" s="15"/>
      <c r="F55" s="15"/>
      <c r="G55" s="15"/>
      <c r="H55" s="16"/>
      <c r="I55" s="16"/>
      <c r="J55" s="16"/>
      <c r="K55" s="16"/>
      <c r="L55" s="16"/>
      <c r="M55" s="16"/>
      <c r="N55" s="16"/>
      <c r="O55" s="16"/>
      <c r="P55" s="16"/>
      <c r="Q55" s="16"/>
      <c r="R55" s="16"/>
      <c r="S55" s="16"/>
      <c r="T55" s="16"/>
      <c r="U55" s="16"/>
      <c r="V55" s="16"/>
      <c r="W55" s="15"/>
      <c r="X55" s="15"/>
      <c r="Y55" s="15"/>
      <c r="Z55" s="15"/>
    </row>
    <row r="56" customHeight="1" spans="1:26">
      <c r="A56" s="17"/>
      <c r="B56" s="15"/>
      <c r="C56" s="15"/>
      <c r="D56" s="15"/>
      <c r="E56" s="15"/>
      <c r="F56" s="15"/>
      <c r="G56" s="15"/>
      <c r="H56" s="16"/>
      <c r="I56" s="16"/>
      <c r="J56" s="16"/>
      <c r="K56" s="16"/>
      <c r="L56" s="16"/>
      <c r="M56" s="16"/>
      <c r="N56" s="16"/>
      <c r="O56" s="16"/>
      <c r="P56" s="16"/>
      <c r="Q56" s="16"/>
      <c r="R56" s="16"/>
      <c r="S56" s="16"/>
      <c r="T56" s="16"/>
      <c r="U56" s="16"/>
      <c r="V56" s="16"/>
      <c r="W56" s="15"/>
      <c r="X56" s="15"/>
      <c r="Y56" s="15"/>
      <c r="Z56" s="15"/>
    </row>
    <row r="57" customHeight="1" spans="1:26">
      <c r="A57" s="17"/>
      <c r="B57" s="15"/>
      <c r="C57" s="15"/>
      <c r="D57" s="15"/>
      <c r="E57" s="15"/>
      <c r="F57" s="15"/>
      <c r="G57" s="15"/>
      <c r="H57" s="16"/>
      <c r="I57" s="16"/>
      <c r="J57" s="16"/>
      <c r="K57" s="16"/>
      <c r="L57" s="16"/>
      <c r="M57" s="16"/>
      <c r="N57" s="16"/>
      <c r="O57" s="16"/>
      <c r="P57" s="16"/>
      <c r="Q57" s="16"/>
      <c r="R57" s="16"/>
      <c r="S57" s="16"/>
      <c r="T57" s="16"/>
      <c r="U57" s="16"/>
      <c r="V57" s="16"/>
      <c r="W57" s="15"/>
      <c r="X57" s="15"/>
      <c r="Y57" s="15"/>
      <c r="Z57" s="15"/>
    </row>
    <row r="58" customHeight="1" spans="1:26">
      <c r="A58" s="17"/>
      <c r="B58" s="15"/>
      <c r="C58" s="15"/>
      <c r="D58" s="15"/>
      <c r="E58" s="15"/>
      <c r="F58" s="15"/>
      <c r="G58" s="15"/>
      <c r="H58" s="16"/>
      <c r="I58" s="16"/>
      <c r="J58" s="16"/>
      <c r="K58" s="16"/>
      <c r="L58" s="16"/>
      <c r="M58" s="16"/>
      <c r="N58" s="16"/>
      <c r="O58" s="16"/>
      <c r="P58" s="16"/>
      <c r="Q58" s="16"/>
      <c r="R58" s="16"/>
      <c r="S58" s="16"/>
      <c r="T58" s="16"/>
      <c r="U58" s="16"/>
      <c r="V58" s="16"/>
      <c r="W58" s="15"/>
      <c r="X58" s="15"/>
      <c r="Y58" s="15"/>
      <c r="Z58" s="15"/>
    </row>
    <row r="59" customHeight="1" spans="1:26">
      <c r="A59" s="17"/>
      <c r="B59" s="15"/>
      <c r="C59" s="15"/>
      <c r="D59" s="15"/>
      <c r="E59" s="15"/>
      <c r="F59" s="15"/>
      <c r="G59" s="15"/>
      <c r="H59" s="16"/>
      <c r="I59" s="16"/>
      <c r="J59" s="16"/>
      <c r="K59" s="16"/>
      <c r="L59" s="16"/>
      <c r="M59" s="16"/>
      <c r="N59" s="16"/>
      <c r="O59" s="16"/>
      <c r="P59" s="16"/>
      <c r="Q59" s="16"/>
      <c r="R59" s="16"/>
      <c r="S59" s="16"/>
      <c r="T59" s="16"/>
      <c r="U59" s="16"/>
      <c r="V59" s="16"/>
      <c r="W59" s="15"/>
      <c r="X59" s="15"/>
      <c r="Y59" s="15"/>
      <c r="Z59" s="15"/>
    </row>
    <row r="60" customHeight="1" spans="1:26">
      <c r="A60" s="17"/>
      <c r="B60" s="15"/>
      <c r="C60" s="15"/>
      <c r="D60" s="15"/>
      <c r="E60" s="15"/>
      <c r="F60" s="15"/>
      <c r="G60" s="15"/>
      <c r="H60" s="16"/>
      <c r="I60" s="16"/>
      <c r="J60" s="16"/>
      <c r="K60" s="16"/>
      <c r="L60" s="16"/>
      <c r="M60" s="16"/>
      <c r="N60" s="16"/>
      <c r="O60" s="16"/>
      <c r="P60" s="16"/>
      <c r="Q60" s="16"/>
      <c r="R60" s="16"/>
      <c r="S60" s="16"/>
      <c r="T60" s="16"/>
      <c r="U60" s="16"/>
      <c r="V60" s="16"/>
      <c r="W60" s="15"/>
      <c r="X60" s="15"/>
      <c r="Y60" s="15"/>
      <c r="Z60" s="15"/>
    </row>
    <row r="61" customHeight="1" spans="1:26">
      <c r="A61" s="17"/>
      <c r="B61" s="15"/>
      <c r="C61" s="15"/>
      <c r="D61" s="15"/>
      <c r="E61" s="15"/>
      <c r="F61" s="15"/>
      <c r="G61" s="15"/>
      <c r="H61" s="16"/>
      <c r="I61" s="16"/>
      <c r="J61" s="16"/>
      <c r="K61" s="16"/>
      <c r="L61" s="16"/>
      <c r="M61" s="16"/>
      <c r="N61" s="16"/>
      <c r="O61" s="16"/>
      <c r="P61" s="16"/>
      <c r="Q61" s="16"/>
      <c r="R61" s="16"/>
      <c r="S61" s="16"/>
      <c r="T61" s="16"/>
      <c r="U61" s="16"/>
      <c r="V61" s="16"/>
      <c r="W61" s="15"/>
      <c r="X61" s="15"/>
      <c r="Y61" s="15"/>
      <c r="Z61" s="15"/>
    </row>
    <row r="62" customHeight="1" spans="1:26">
      <c r="A62" s="17"/>
      <c r="B62" s="15"/>
      <c r="C62" s="15"/>
      <c r="D62" s="15"/>
      <c r="E62" s="15"/>
      <c r="F62" s="15"/>
      <c r="G62" s="15"/>
      <c r="H62" s="16"/>
      <c r="I62" s="16"/>
      <c r="J62" s="16"/>
      <c r="K62" s="16"/>
      <c r="L62" s="16"/>
      <c r="M62" s="16"/>
      <c r="N62" s="16"/>
      <c r="O62" s="16"/>
      <c r="P62" s="16"/>
      <c r="Q62" s="16"/>
      <c r="R62" s="16"/>
      <c r="S62" s="16"/>
      <c r="T62" s="16"/>
      <c r="U62" s="16"/>
      <c r="V62" s="16"/>
      <c r="W62" s="15"/>
      <c r="X62" s="15"/>
      <c r="Y62" s="15"/>
      <c r="Z62" s="15"/>
    </row>
    <row r="63" customHeight="1" spans="1:26">
      <c r="A63" s="17"/>
      <c r="B63" s="15"/>
      <c r="C63" s="15"/>
      <c r="D63" s="15"/>
      <c r="E63" s="15"/>
      <c r="F63" s="15"/>
      <c r="G63" s="15"/>
      <c r="H63" s="16"/>
      <c r="I63" s="16"/>
      <c r="J63" s="16"/>
      <c r="K63" s="16"/>
      <c r="L63" s="16"/>
      <c r="M63" s="16"/>
      <c r="N63" s="16"/>
      <c r="O63" s="16"/>
      <c r="P63" s="16"/>
      <c r="Q63" s="16"/>
      <c r="R63" s="16"/>
      <c r="S63" s="16"/>
      <c r="T63" s="16"/>
      <c r="U63" s="16"/>
      <c r="V63" s="16"/>
      <c r="W63" s="15"/>
      <c r="X63" s="15"/>
      <c r="Y63" s="15"/>
      <c r="Z63" s="15"/>
    </row>
    <row r="64" customHeight="1" spans="1:26">
      <c r="A64" s="17"/>
      <c r="B64" s="15"/>
      <c r="C64" s="15"/>
      <c r="D64" s="15"/>
      <c r="E64" s="15"/>
      <c r="F64" s="15"/>
      <c r="G64" s="15"/>
      <c r="H64" s="16"/>
      <c r="I64" s="16"/>
      <c r="J64" s="16"/>
      <c r="K64" s="16"/>
      <c r="L64" s="16"/>
      <c r="M64" s="16"/>
      <c r="N64" s="16"/>
      <c r="O64" s="16"/>
      <c r="P64" s="16"/>
      <c r="Q64" s="16"/>
      <c r="R64" s="16"/>
      <c r="S64" s="16"/>
      <c r="T64" s="16"/>
      <c r="U64" s="16"/>
      <c r="V64" s="16"/>
      <c r="W64" s="15"/>
      <c r="X64" s="15"/>
      <c r="Y64" s="15"/>
      <c r="Z64" s="15"/>
    </row>
    <row r="65" customHeight="1" spans="1:26">
      <c r="A65" s="17"/>
      <c r="B65" s="15"/>
      <c r="C65" s="15"/>
      <c r="D65" s="15"/>
      <c r="E65" s="15"/>
      <c r="F65" s="15"/>
      <c r="G65" s="15"/>
      <c r="H65" s="16"/>
      <c r="I65" s="16"/>
      <c r="J65" s="16"/>
      <c r="K65" s="16"/>
      <c r="L65" s="16"/>
      <c r="M65" s="16"/>
      <c r="N65" s="16"/>
      <c r="O65" s="16"/>
      <c r="P65" s="16"/>
      <c r="Q65" s="16"/>
      <c r="R65" s="16"/>
      <c r="S65" s="16"/>
      <c r="T65" s="16"/>
      <c r="U65" s="16"/>
      <c r="V65" s="16"/>
      <c r="W65" s="15"/>
      <c r="X65" s="15"/>
      <c r="Y65" s="15"/>
      <c r="Z65" s="15"/>
    </row>
    <row r="66" customHeight="1" spans="1:26">
      <c r="A66" s="17"/>
      <c r="B66" s="15"/>
      <c r="C66" s="15"/>
      <c r="D66" s="15"/>
      <c r="E66" s="15"/>
      <c r="F66" s="15"/>
      <c r="G66" s="15"/>
      <c r="H66" s="16"/>
      <c r="I66" s="16"/>
      <c r="J66" s="16"/>
      <c r="K66" s="16"/>
      <c r="L66" s="16"/>
      <c r="M66" s="16"/>
      <c r="N66" s="16"/>
      <c r="O66" s="16"/>
      <c r="P66" s="16"/>
      <c r="Q66" s="16"/>
      <c r="R66" s="16"/>
      <c r="S66" s="16"/>
      <c r="T66" s="16"/>
      <c r="U66" s="16"/>
      <c r="V66" s="16"/>
      <c r="W66" s="15"/>
      <c r="X66" s="15"/>
      <c r="Y66" s="15"/>
      <c r="Z66" s="15"/>
    </row>
    <row r="67" customHeight="1" spans="1:26">
      <c r="A67" s="17"/>
      <c r="B67" s="15"/>
      <c r="C67" s="15"/>
      <c r="D67" s="15"/>
      <c r="E67" s="15"/>
      <c r="F67" s="15"/>
      <c r="G67" s="15"/>
      <c r="H67" s="16"/>
      <c r="I67" s="16"/>
      <c r="J67" s="16"/>
      <c r="K67" s="16"/>
      <c r="L67" s="16"/>
      <c r="M67" s="16"/>
      <c r="N67" s="16"/>
      <c r="O67" s="16"/>
      <c r="P67" s="16"/>
      <c r="Q67" s="16"/>
      <c r="R67" s="16"/>
      <c r="S67" s="16"/>
      <c r="T67" s="16"/>
      <c r="U67" s="16"/>
      <c r="V67" s="16"/>
      <c r="W67" s="15"/>
      <c r="X67" s="15"/>
      <c r="Y67" s="15"/>
      <c r="Z67" s="15"/>
    </row>
    <row r="68" customHeight="1" spans="1:26">
      <c r="A68" s="17"/>
      <c r="B68" s="15"/>
      <c r="C68" s="15"/>
      <c r="D68" s="15"/>
      <c r="E68" s="15"/>
      <c r="F68" s="15"/>
      <c r="G68" s="15"/>
      <c r="H68" s="16"/>
      <c r="I68" s="16"/>
      <c r="J68" s="16"/>
      <c r="K68" s="16"/>
      <c r="L68" s="16"/>
      <c r="M68" s="16"/>
      <c r="N68" s="16"/>
      <c r="O68" s="16"/>
      <c r="P68" s="16"/>
      <c r="Q68" s="16"/>
      <c r="R68" s="16"/>
      <c r="S68" s="16"/>
      <c r="T68" s="16"/>
      <c r="U68" s="16"/>
      <c r="V68" s="16"/>
      <c r="W68" s="15"/>
      <c r="X68" s="15"/>
      <c r="Y68" s="15"/>
      <c r="Z68" s="15"/>
    </row>
    <row r="69" customHeight="1" spans="1:26">
      <c r="A69" s="17"/>
      <c r="B69" s="15"/>
      <c r="C69" s="15"/>
      <c r="D69" s="15"/>
      <c r="E69" s="15"/>
      <c r="F69" s="15"/>
      <c r="G69" s="15"/>
      <c r="H69" s="16"/>
      <c r="I69" s="16"/>
      <c r="J69" s="16"/>
      <c r="K69" s="16"/>
      <c r="L69" s="16"/>
      <c r="M69" s="16"/>
      <c r="N69" s="16"/>
      <c r="O69" s="16"/>
      <c r="P69" s="16"/>
      <c r="Q69" s="16"/>
      <c r="R69" s="16"/>
      <c r="S69" s="16"/>
      <c r="T69" s="16"/>
      <c r="U69" s="16"/>
      <c r="V69" s="16"/>
      <c r="W69" s="15"/>
      <c r="X69" s="15"/>
      <c r="Y69" s="15"/>
      <c r="Z69" s="15"/>
    </row>
    <row r="70" customHeight="1" spans="1:26">
      <c r="A70" s="17"/>
      <c r="B70" s="15"/>
      <c r="C70" s="15"/>
      <c r="D70" s="15"/>
      <c r="E70" s="15"/>
      <c r="F70" s="15"/>
      <c r="G70" s="15"/>
      <c r="H70" s="16"/>
      <c r="I70" s="16"/>
      <c r="J70" s="16"/>
      <c r="K70" s="16"/>
      <c r="L70" s="16"/>
      <c r="M70" s="16"/>
      <c r="N70" s="16"/>
      <c r="O70" s="16"/>
      <c r="P70" s="16"/>
      <c r="Q70" s="16"/>
      <c r="R70" s="16"/>
      <c r="S70" s="16"/>
      <c r="T70" s="16"/>
      <c r="U70" s="16"/>
      <c r="V70" s="16"/>
      <c r="W70" s="15"/>
      <c r="X70" s="15"/>
      <c r="Y70" s="15"/>
      <c r="Z70" s="15"/>
    </row>
    <row r="71" customHeight="1" spans="1:26">
      <c r="A71" s="17"/>
      <c r="B71" s="15"/>
      <c r="C71" s="15"/>
      <c r="D71" s="15"/>
      <c r="E71" s="15"/>
      <c r="F71" s="15"/>
      <c r="G71" s="15"/>
      <c r="H71" s="16"/>
      <c r="I71" s="16"/>
      <c r="J71" s="16"/>
      <c r="K71" s="16"/>
      <c r="L71" s="16"/>
      <c r="M71" s="16"/>
      <c r="N71" s="16"/>
      <c r="O71" s="16"/>
      <c r="P71" s="16"/>
      <c r="Q71" s="16"/>
      <c r="R71" s="16"/>
      <c r="S71" s="16"/>
      <c r="T71" s="16"/>
      <c r="U71" s="16"/>
      <c r="V71" s="16"/>
      <c r="W71" s="15"/>
      <c r="X71" s="15"/>
      <c r="Y71" s="15"/>
      <c r="Z71" s="15"/>
    </row>
    <row r="72" customHeight="1" spans="1:26">
      <c r="A72" s="17"/>
      <c r="B72" s="15"/>
      <c r="C72" s="15"/>
      <c r="D72" s="15"/>
      <c r="E72" s="15"/>
      <c r="F72" s="15"/>
      <c r="G72" s="15"/>
      <c r="H72" s="16"/>
      <c r="I72" s="16"/>
      <c r="J72" s="16"/>
      <c r="K72" s="16"/>
      <c r="L72" s="16"/>
      <c r="M72" s="16"/>
      <c r="N72" s="16"/>
      <c r="O72" s="16"/>
      <c r="P72" s="16"/>
      <c r="Q72" s="16"/>
      <c r="R72" s="16"/>
      <c r="S72" s="16"/>
      <c r="T72" s="16"/>
      <c r="U72" s="16"/>
      <c r="V72" s="16"/>
      <c r="W72" s="15"/>
      <c r="X72" s="15"/>
      <c r="Y72" s="15"/>
      <c r="Z72" s="15"/>
    </row>
    <row r="73" customHeight="1" spans="1:26">
      <c r="A73" s="17"/>
      <c r="B73" s="15"/>
      <c r="C73" s="15"/>
      <c r="D73" s="15"/>
      <c r="E73" s="15"/>
      <c r="F73" s="15"/>
      <c r="G73" s="15"/>
      <c r="H73" s="16"/>
      <c r="I73" s="16"/>
      <c r="J73" s="16"/>
      <c r="K73" s="16"/>
      <c r="L73" s="16"/>
      <c r="M73" s="16"/>
      <c r="N73" s="16"/>
      <c r="O73" s="16"/>
      <c r="P73" s="16"/>
      <c r="Q73" s="16"/>
      <c r="R73" s="16"/>
      <c r="S73" s="16"/>
      <c r="T73" s="16"/>
      <c r="U73" s="16"/>
      <c r="V73" s="16"/>
      <c r="W73" s="15"/>
      <c r="X73" s="15"/>
      <c r="Y73" s="15"/>
      <c r="Z73" s="15"/>
    </row>
    <row r="74" customHeight="1" spans="1:26">
      <c r="A74" s="17"/>
      <c r="B74" s="15"/>
      <c r="C74" s="15"/>
      <c r="D74" s="15"/>
      <c r="E74" s="15"/>
      <c r="F74" s="15"/>
      <c r="G74" s="15"/>
      <c r="H74" s="16"/>
      <c r="I74" s="16"/>
      <c r="J74" s="16"/>
      <c r="K74" s="16"/>
      <c r="L74" s="16"/>
      <c r="M74" s="16"/>
      <c r="N74" s="16"/>
      <c r="O74" s="16"/>
      <c r="P74" s="16"/>
      <c r="Q74" s="16"/>
      <c r="R74" s="16"/>
      <c r="S74" s="16"/>
      <c r="T74" s="16"/>
      <c r="U74" s="16"/>
      <c r="V74" s="16"/>
      <c r="W74" s="15"/>
      <c r="X74" s="15"/>
      <c r="Y74" s="15"/>
      <c r="Z74" s="15"/>
    </row>
    <row r="75" customHeight="1" spans="1:26">
      <c r="A75" s="17"/>
      <c r="B75" s="15"/>
      <c r="C75" s="15"/>
      <c r="D75" s="15"/>
      <c r="E75" s="15"/>
      <c r="F75" s="15"/>
      <c r="G75" s="15"/>
      <c r="H75" s="16"/>
      <c r="I75" s="16"/>
      <c r="J75" s="16"/>
      <c r="K75" s="16"/>
      <c r="L75" s="16"/>
      <c r="M75" s="16"/>
      <c r="N75" s="16"/>
      <c r="O75" s="16"/>
      <c r="P75" s="16"/>
      <c r="Q75" s="16"/>
      <c r="R75" s="16"/>
      <c r="S75" s="16"/>
      <c r="T75" s="16"/>
      <c r="U75" s="16"/>
      <c r="V75" s="16"/>
      <c r="W75" s="15"/>
      <c r="X75" s="15"/>
      <c r="Y75" s="15"/>
      <c r="Z75" s="15"/>
    </row>
    <row r="76" customHeight="1" spans="1:26">
      <c r="A76" s="17"/>
      <c r="B76" s="15"/>
      <c r="C76" s="15"/>
      <c r="D76" s="15"/>
      <c r="E76" s="15"/>
      <c r="F76" s="15"/>
      <c r="G76" s="15"/>
      <c r="H76" s="16"/>
      <c r="I76" s="16"/>
      <c r="J76" s="16"/>
      <c r="K76" s="16"/>
      <c r="L76" s="16"/>
      <c r="M76" s="16"/>
      <c r="N76" s="16"/>
      <c r="O76" s="16"/>
      <c r="P76" s="16"/>
      <c r="Q76" s="16"/>
      <c r="R76" s="16"/>
      <c r="S76" s="16"/>
      <c r="T76" s="16"/>
      <c r="U76" s="16"/>
      <c r="V76" s="16"/>
      <c r="W76" s="15"/>
      <c r="X76" s="15"/>
      <c r="Y76" s="15"/>
      <c r="Z76" s="15"/>
    </row>
    <row r="77" customHeight="1" spans="1:26">
      <c r="A77" s="17"/>
      <c r="B77" s="15"/>
      <c r="C77" s="15"/>
      <c r="D77" s="15"/>
      <c r="E77" s="15"/>
      <c r="F77" s="15"/>
      <c r="G77" s="15"/>
      <c r="H77" s="16"/>
      <c r="I77" s="16"/>
      <c r="J77" s="16"/>
      <c r="K77" s="16"/>
      <c r="L77" s="16"/>
      <c r="M77" s="16"/>
      <c r="N77" s="16"/>
      <c r="O77" s="16"/>
      <c r="P77" s="16"/>
      <c r="Q77" s="16"/>
      <c r="R77" s="16"/>
      <c r="S77" s="16"/>
      <c r="T77" s="16"/>
      <c r="U77" s="16"/>
      <c r="V77" s="16"/>
      <c r="W77" s="15"/>
      <c r="X77" s="15"/>
      <c r="Y77" s="15"/>
      <c r="Z77" s="15"/>
    </row>
    <row r="78" customHeight="1" spans="1:26">
      <c r="A78" s="17"/>
      <c r="B78" s="15"/>
      <c r="C78" s="15"/>
      <c r="D78" s="15"/>
      <c r="E78" s="15"/>
      <c r="F78" s="15"/>
      <c r="G78" s="15"/>
      <c r="H78" s="16"/>
      <c r="I78" s="16"/>
      <c r="J78" s="16"/>
      <c r="K78" s="16"/>
      <c r="L78" s="16"/>
      <c r="M78" s="16"/>
      <c r="N78" s="16"/>
      <c r="O78" s="16"/>
      <c r="P78" s="16"/>
      <c r="Q78" s="16"/>
      <c r="R78" s="16"/>
      <c r="S78" s="16"/>
      <c r="T78" s="16"/>
      <c r="U78" s="16"/>
      <c r="V78" s="16"/>
      <c r="W78" s="15"/>
      <c r="X78" s="15"/>
      <c r="Y78" s="15"/>
      <c r="Z78" s="15"/>
    </row>
    <row r="79" customHeight="1" spans="1:26">
      <c r="A79" s="17"/>
      <c r="B79" s="15"/>
      <c r="C79" s="15"/>
      <c r="D79" s="15"/>
      <c r="E79" s="15"/>
      <c r="F79" s="15"/>
      <c r="G79" s="15"/>
      <c r="H79" s="16"/>
      <c r="I79" s="16"/>
      <c r="J79" s="16"/>
      <c r="K79" s="16"/>
      <c r="L79" s="16"/>
      <c r="M79" s="16"/>
      <c r="N79" s="16"/>
      <c r="O79" s="16"/>
      <c r="P79" s="16"/>
      <c r="Q79" s="16"/>
      <c r="R79" s="16"/>
      <c r="S79" s="16"/>
      <c r="T79" s="16"/>
      <c r="U79" s="16"/>
      <c r="V79" s="16"/>
      <c r="W79" s="15"/>
      <c r="X79" s="15"/>
      <c r="Y79" s="15"/>
      <c r="Z79" s="15"/>
    </row>
    <row r="80" customHeight="1" spans="1:26">
      <c r="A80" s="17"/>
      <c r="B80" s="15"/>
      <c r="C80" s="15"/>
      <c r="D80" s="15"/>
      <c r="E80" s="15"/>
      <c r="F80" s="15"/>
      <c r="G80" s="15"/>
      <c r="H80" s="16"/>
      <c r="I80" s="16"/>
      <c r="J80" s="16"/>
      <c r="K80" s="16"/>
      <c r="L80" s="16"/>
      <c r="M80" s="16"/>
      <c r="N80" s="16"/>
      <c r="O80" s="16"/>
      <c r="P80" s="16"/>
      <c r="Q80" s="16"/>
      <c r="R80" s="16"/>
      <c r="S80" s="16"/>
      <c r="T80" s="16"/>
      <c r="U80" s="16"/>
      <c r="V80" s="16"/>
      <c r="W80" s="15"/>
      <c r="X80" s="15"/>
      <c r="Y80" s="15"/>
      <c r="Z80" s="15"/>
    </row>
    <row r="81" customHeight="1" spans="1:26">
      <c r="A81" s="17"/>
      <c r="B81" s="15"/>
      <c r="C81" s="15"/>
      <c r="D81" s="15"/>
      <c r="E81" s="15"/>
      <c r="F81" s="15"/>
      <c r="G81" s="15"/>
      <c r="H81" s="16"/>
      <c r="I81" s="16"/>
      <c r="J81" s="16"/>
      <c r="K81" s="16"/>
      <c r="L81" s="16"/>
      <c r="M81" s="16"/>
      <c r="N81" s="16"/>
      <c r="O81" s="16"/>
      <c r="P81" s="16"/>
      <c r="Q81" s="16"/>
      <c r="R81" s="16"/>
      <c r="S81" s="16"/>
      <c r="T81" s="16"/>
      <c r="U81" s="16"/>
      <c r="V81" s="16"/>
      <c r="W81" s="15"/>
      <c r="X81" s="15"/>
      <c r="Y81" s="15"/>
      <c r="Z81" s="15"/>
    </row>
    <row r="82" customHeight="1" spans="1:26">
      <c r="A82" s="17"/>
      <c r="B82" s="15"/>
      <c r="C82" s="15"/>
      <c r="D82" s="15"/>
      <c r="E82" s="15"/>
      <c r="F82" s="15"/>
      <c r="G82" s="15"/>
      <c r="H82" s="16"/>
      <c r="I82" s="16"/>
      <c r="J82" s="16"/>
      <c r="K82" s="16"/>
      <c r="L82" s="16"/>
      <c r="M82" s="16"/>
      <c r="N82" s="16"/>
      <c r="O82" s="16"/>
      <c r="P82" s="16"/>
      <c r="Q82" s="16"/>
      <c r="R82" s="16"/>
      <c r="S82" s="16"/>
      <c r="T82" s="16"/>
      <c r="U82" s="16"/>
      <c r="V82" s="16"/>
      <c r="W82" s="15"/>
      <c r="X82" s="15"/>
      <c r="Y82" s="15"/>
      <c r="Z82" s="15"/>
    </row>
    <row r="83" customHeight="1" spans="1:26">
      <c r="A83" s="17"/>
      <c r="B83" s="15"/>
      <c r="C83" s="15"/>
      <c r="D83" s="15"/>
      <c r="E83" s="15"/>
      <c r="F83" s="15"/>
      <c r="G83" s="15"/>
      <c r="H83" s="16"/>
      <c r="I83" s="16"/>
      <c r="J83" s="16"/>
      <c r="K83" s="16"/>
      <c r="L83" s="16"/>
      <c r="M83" s="16"/>
      <c r="N83" s="16"/>
      <c r="O83" s="16"/>
      <c r="P83" s="16"/>
      <c r="Q83" s="16"/>
      <c r="R83" s="16"/>
      <c r="S83" s="16"/>
      <c r="T83" s="16"/>
      <c r="U83" s="16"/>
      <c r="V83" s="16"/>
      <c r="W83" s="15"/>
      <c r="X83" s="15"/>
      <c r="Y83" s="15"/>
      <c r="Z83" s="15"/>
    </row>
    <row r="84" customHeight="1" spans="1:26">
      <c r="A84" s="17"/>
      <c r="B84" s="15"/>
      <c r="C84" s="15"/>
      <c r="D84" s="15"/>
      <c r="E84" s="15"/>
      <c r="F84" s="15"/>
      <c r="G84" s="15"/>
      <c r="H84" s="16"/>
      <c r="I84" s="16"/>
      <c r="J84" s="16"/>
      <c r="K84" s="16"/>
      <c r="L84" s="16"/>
      <c r="M84" s="16"/>
      <c r="N84" s="16"/>
      <c r="O84" s="16"/>
      <c r="P84" s="16"/>
      <c r="Q84" s="16"/>
      <c r="R84" s="16"/>
      <c r="S84" s="16"/>
      <c r="T84" s="16"/>
      <c r="U84" s="16"/>
      <c r="V84" s="16"/>
      <c r="W84" s="15"/>
      <c r="X84" s="15"/>
      <c r="Y84" s="15"/>
      <c r="Z84" s="15"/>
    </row>
    <row r="85" customHeight="1" spans="1:26">
      <c r="A85" s="17"/>
      <c r="B85" s="15"/>
      <c r="C85" s="15"/>
      <c r="D85" s="15"/>
      <c r="E85" s="15"/>
      <c r="F85" s="15"/>
      <c r="G85" s="15"/>
      <c r="H85" s="16"/>
      <c r="I85" s="16"/>
      <c r="J85" s="16"/>
      <c r="K85" s="16"/>
      <c r="L85" s="16"/>
      <c r="M85" s="16"/>
      <c r="N85" s="16"/>
      <c r="O85" s="16"/>
      <c r="P85" s="16"/>
      <c r="Q85" s="16"/>
      <c r="R85" s="16"/>
      <c r="S85" s="16"/>
      <c r="T85" s="16"/>
      <c r="U85" s="16"/>
      <c r="V85" s="16"/>
      <c r="W85" s="15"/>
      <c r="X85" s="15"/>
      <c r="Y85" s="15"/>
      <c r="Z85" s="15"/>
    </row>
    <row r="86" customHeight="1" spans="1:26">
      <c r="A86" s="17"/>
      <c r="B86" s="15"/>
      <c r="C86" s="15"/>
      <c r="D86" s="15"/>
      <c r="E86" s="15"/>
      <c r="F86" s="15"/>
      <c r="G86" s="15"/>
      <c r="H86" s="16"/>
      <c r="I86" s="16"/>
      <c r="J86" s="16"/>
      <c r="K86" s="16"/>
      <c r="L86" s="16"/>
      <c r="M86" s="16"/>
      <c r="N86" s="16"/>
      <c r="O86" s="16"/>
      <c r="P86" s="16"/>
      <c r="Q86" s="16"/>
      <c r="R86" s="16"/>
      <c r="S86" s="16"/>
      <c r="T86" s="16"/>
      <c r="U86" s="16"/>
      <c r="V86" s="16"/>
      <c r="W86" s="15"/>
      <c r="X86" s="15"/>
      <c r="Y86" s="15"/>
      <c r="Z86" s="15"/>
    </row>
    <row r="87" customHeight="1" spans="1:26">
      <c r="A87" s="17"/>
      <c r="B87" s="15"/>
      <c r="C87" s="15"/>
      <c r="D87" s="15"/>
      <c r="E87" s="15"/>
      <c r="F87" s="15"/>
      <c r="G87" s="15"/>
      <c r="H87" s="16"/>
      <c r="I87" s="16"/>
      <c r="J87" s="16"/>
      <c r="K87" s="16"/>
      <c r="L87" s="16"/>
      <c r="M87" s="16"/>
      <c r="N87" s="16"/>
      <c r="O87" s="16"/>
      <c r="P87" s="16"/>
      <c r="Q87" s="16"/>
      <c r="R87" s="16"/>
      <c r="S87" s="16"/>
      <c r="T87" s="16"/>
      <c r="U87" s="16"/>
      <c r="V87" s="16"/>
      <c r="W87" s="15"/>
      <c r="X87" s="15"/>
      <c r="Y87" s="15"/>
      <c r="Z87" s="15"/>
    </row>
    <row r="88" customHeight="1" spans="1:26">
      <c r="A88" s="17"/>
      <c r="B88" s="15"/>
      <c r="C88" s="15"/>
      <c r="D88" s="15"/>
      <c r="E88" s="15"/>
      <c r="F88" s="15"/>
      <c r="G88" s="15"/>
      <c r="H88" s="16"/>
      <c r="I88" s="16"/>
      <c r="J88" s="16"/>
      <c r="K88" s="16"/>
      <c r="L88" s="16"/>
      <c r="M88" s="16"/>
      <c r="N88" s="16"/>
      <c r="O88" s="16"/>
      <c r="P88" s="16"/>
      <c r="Q88" s="16"/>
      <c r="R88" s="16"/>
      <c r="S88" s="16"/>
      <c r="T88" s="16"/>
      <c r="U88" s="16"/>
      <c r="V88" s="16"/>
      <c r="W88" s="15"/>
      <c r="X88" s="15"/>
      <c r="Y88" s="15"/>
      <c r="Z88" s="15"/>
    </row>
    <row r="89" customHeight="1" spans="1:26">
      <c r="A89" s="17"/>
      <c r="B89" s="15"/>
      <c r="C89" s="15"/>
      <c r="D89" s="15"/>
      <c r="E89" s="15"/>
      <c r="F89" s="15"/>
      <c r="G89" s="15"/>
      <c r="H89" s="16"/>
      <c r="I89" s="16"/>
      <c r="J89" s="16"/>
      <c r="K89" s="16"/>
      <c r="L89" s="16"/>
      <c r="M89" s="16"/>
      <c r="N89" s="16"/>
      <c r="O89" s="16"/>
      <c r="P89" s="16"/>
      <c r="Q89" s="16"/>
      <c r="R89" s="16"/>
      <c r="S89" s="16"/>
      <c r="T89" s="16"/>
      <c r="U89" s="16"/>
      <c r="V89" s="16"/>
      <c r="W89" s="15"/>
      <c r="X89" s="15"/>
      <c r="Y89" s="15"/>
      <c r="Z89" s="15"/>
    </row>
    <row r="90" customHeight="1" spans="1:26">
      <c r="A90" s="17"/>
      <c r="B90" s="15"/>
      <c r="C90" s="15"/>
      <c r="D90" s="15"/>
      <c r="E90" s="15"/>
      <c r="F90" s="15"/>
      <c r="G90" s="15"/>
      <c r="H90" s="16"/>
      <c r="I90" s="16"/>
      <c r="J90" s="16"/>
      <c r="K90" s="16"/>
      <c r="L90" s="16"/>
      <c r="M90" s="16"/>
      <c r="N90" s="16"/>
      <c r="O90" s="16"/>
      <c r="P90" s="16"/>
      <c r="Q90" s="16"/>
      <c r="R90" s="16"/>
      <c r="S90" s="16"/>
      <c r="T90" s="16"/>
      <c r="U90" s="16"/>
      <c r="V90" s="16"/>
      <c r="W90" s="15"/>
      <c r="X90" s="15"/>
      <c r="Y90" s="15"/>
      <c r="Z90" s="15"/>
    </row>
    <row r="91" customHeight="1" spans="1:26">
      <c r="A91" s="17"/>
      <c r="B91" s="15"/>
      <c r="C91" s="15"/>
      <c r="D91" s="15"/>
      <c r="E91" s="15"/>
      <c r="F91" s="15"/>
      <c r="G91" s="15"/>
      <c r="H91" s="16"/>
      <c r="I91" s="16"/>
      <c r="J91" s="16"/>
      <c r="K91" s="16"/>
      <c r="L91" s="16"/>
      <c r="M91" s="16"/>
      <c r="N91" s="16"/>
      <c r="O91" s="16"/>
      <c r="P91" s="16"/>
      <c r="Q91" s="16"/>
      <c r="R91" s="16"/>
      <c r="S91" s="16"/>
      <c r="T91" s="16"/>
      <c r="U91" s="16"/>
      <c r="V91" s="16"/>
      <c r="W91" s="15"/>
      <c r="X91" s="15"/>
      <c r="Y91" s="15"/>
      <c r="Z91" s="15"/>
    </row>
    <row r="92" customHeight="1" spans="1:26">
      <c r="A92" s="17"/>
      <c r="B92" s="15"/>
      <c r="C92" s="15"/>
      <c r="D92" s="15"/>
      <c r="E92" s="15"/>
      <c r="F92" s="15"/>
      <c r="G92" s="15"/>
      <c r="H92" s="16"/>
      <c r="I92" s="16"/>
      <c r="J92" s="16"/>
      <c r="K92" s="16"/>
      <c r="L92" s="16"/>
      <c r="M92" s="16"/>
      <c r="N92" s="16"/>
      <c r="O92" s="16"/>
      <c r="P92" s="16"/>
      <c r="Q92" s="16"/>
      <c r="R92" s="16"/>
      <c r="S92" s="16"/>
      <c r="T92" s="16"/>
      <c r="U92" s="16"/>
      <c r="V92" s="16"/>
      <c r="W92" s="15"/>
      <c r="X92" s="15"/>
      <c r="Y92" s="15"/>
      <c r="Z92" s="15"/>
    </row>
    <row r="93" customHeight="1" spans="1:26">
      <c r="A93" s="17"/>
      <c r="B93" s="15"/>
      <c r="C93" s="15"/>
      <c r="D93" s="15"/>
      <c r="E93" s="15"/>
      <c r="F93" s="15"/>
      <c r="G93" s="15"/>
      <c r="H93" s="16"/>
      <c r="I93" s="16"/>
      <c r="J93" s="16"/>
      <c r="K93" s="16"/>
      <c r="L93" s="16"/>
      <c r="M93" s="16"/>
      <c r="N93" s="16"/>
      <c r="O93" s="16"/>
      <c r="P93" s="16"/>
      <c r="Q93" s="16"/>
      <c r="R93" s="16"/>
      <c r="S93" s="16"/>
      <c r="T93" s="16"/>
      <c r="U93" s="16"/>
      <c r="V93" s="16"/>
      <c r="W93" s="15"/>
      <c r="X93" s="15"/>
      <c r="Y93" s="15"/>
      <c r="Z93" s="15"/>
    </row>
    <row r="94" customHeight="1" spans="1:26">
      <c r="A94" s="17"/>
      <c r="B94" s="15"/>
      <c r="C94" s="15"/>
      <c r="D94" s="15"/>
      <c r="E94" s="15"/>
      <c r="F94" s="15"/>
      <c r="G94" s="15"/>
      <c r="H94" s="16"/>
      <c r="I94" s="16"/>
      <c r="J94" s="16"/>
      <c r="K94" s="16"/>
      <c r="L94" s="16"/>
      <c r="M94" s="16"/>
      <c r="N94" s="16"/>
      <c r="O94" s="16"/>
      <c r="P94" s="16"/>
      <c r="Q94" s="16"/>
      <c r="R94" s="16"/>
      <c r="S94" s="16"/>
      <c r="T94" s="16"/>
      <c r="U94" s="16"/>
      <c r="V94" s="16"/>
      <c r="W94" s="15"/>
      <c r="X94" s="15"/>
      <c r="Y94" s="15"/>
      <c r="Z94" s="15"/>
    </row>
    <row r="95" customHeight="1" spans="1:26">
      <c r="A95" s="17"/>
      <c r="B95" s="15"/>
      <c r="C95" s="15"/>
      <c r="D95" s="15"/>
      <c r="E95" s="15"/>
      <c r="F95" s="15"/>
      <c r="G95" s="15"/>
      <c r="H95" s="16"/>
      <c r="I95" s="16"/>
      <c r="J95" s="16"/>
      <c r="K95" s="16"/>
      <c r="L95" s="16"/>
      <c r="M95" s="16"/>
      <c r="N95" s="16"/>
      <c r="O95" s="16"/>
      <c r="P95" s="16"/>
      <c r="Q95" s="16"/>
      <c r="R95" s="16"/>
      <c r="S95" s="16"/>
      <c r="T95" s="16"/>
      <c r="U95" s="16"/>
      <c r="V95" s="16"/>
      <c r="W95" s="15"/>
      <c r="X95" s="15"/>
      <c r="Y95" s="15"/>
      <c r="Z95" s="15"/>
    </row>
    <row r="96" customHeight="1" spans="1:26">
      <c r="A96" s="17"/>
      <c r="B96" s="15"/>
      <c r="C96" s="15"/>
      <c r="D96" s="15"/>
      <c r="E96" s="15"/>
      <c r="F96" s="15"/>
      <c r="G96" s="15"/>
      <c r="H96" s="16"/>
      <c r="I96" s="16"/>
      <c r="J96" s="16"/>
      <c r="K96" s="16"/>
      <c r="L96" s="16"/>
      <c r="M96" s="16"/>
      <c r="N96" s="16"/>
      <c r="O96" s="16"/>
      <c r="P96" s="16"/>
      <c r="Q96" s="16"/>
      <c r="R96" s="16"/>
      <c r="S96" s="16"/>
      <c r="T96" s="16"/>
      <c r="U96" s="16"/>
      <c r="V96" s="16"/>
      <c r="W96" s="15"/>
      <c r="X96" s="15"/>
      <c r="Y96" s="15"/>
      <c r="Z96" s="15"/>
    </row>
    <row r="97" customHeight="1" spans="1:26">
      <c r="A97" s="17"/>
      <c r="B97" s="15"/>
      <c r="C97" s="15"/>
      <c r="D97" s="15"/>
      <c r="E97" s="15"/>
      <c r="F97" s="15"/>
      <c r="G97" s="15"/>
      <c r="H97" s="16"/>
      <c r="I97" s="16"/>
      <c r="J97" s="16"/>
      <c r="K97" s="16"/>
      <c r="L97" s="16"/>
      <c r="M97" s="16"/>
      <c r="N97" s="16"/>
      <c r="O97" s="16"/>
      <c r="P97" s="16"/>
      <c r="Q97" s="16"/>
      <c r="R97" s="16"/>
      <c r="S97" s="16"/>
      <c r="T97" s="16"/>
      <c r="U97" s="16"/>
      <c r="V97" s="16"/>
      <c r="W97" s="15"/>
      <c r="X97" s="15"/>
      <c r="Y97" s="15"/>
      <c r="Z97" s="15"/>
    </row>
    <row r="98" customHeight="1" spans="1:26">
      <c r="A98" s="17"/>
      <c r="B98" s="15"/>
      <c r="C98" s="15"/>
      <c r="D98" s="15"/>
      <c r="E98" s="15"/>
      <c r="F98" s="15"/>
      <c r="G98" s="15"/>
      <c r="H98" s="16"/>
      <c r="I98" s="16"/>
      <c r="J98" s="16"/>
      <c r="K98" s="16"/>
      <c r="L98" s="16"/>
      <c r="M98" s="16"/>
      <c r="N98" s="16"/>
      <c r="O98" s="16"/>
      <c r="P98" s="16"/>
      <c r="Q98" s="16"/>
      <c r="R98" s="16"/>
      <c r="S98" s="16"/>
      <c r="T98" s="16"/>
      <c r="U98" s="16"/>
      <c r="V98" s="16"/>
      <c r="W98" s="15"/>
      <c r="X98" s="15"/>
      <c r="Y98" s="15"/>
      <c r="Z98" s="15"/>
    </row>
    <row r="99" customHeight="1" spans="1:26">
      <c r="A99" s="17"/>
      <c r="B99" s="15"/>
      <c r="C99" s="15"/>
      <c r="D99" s="15"/>
      <c r="E99" s="15"/>
      <c r="F99" s="15"/>
      <c r="G99" s="15"/>
      <c r="H99" s="16"/>
      <c r="I99" s="16"/>
      <c r="J99" s="16"/>
      <c r="K99" s="16"/>
      <c r="L99" s="16"/>
      <c r="M99" s="16"/>
      <c r="N99" s="16"/>
      <c r="O99" s="16"/>
      <c r="P99" s="16"/>
      <c r="Q99" s="16"/>
      <c r="R99" s="16"/>
      <c r="S99" s="16"/>
      <c r="T99" s="16"/>
      <c r="U99" s="16"/>
      <c r="V99" s="16"/>
      <c r="W99" s="15"/>
      <c r="X99" s="15"/>
      <c r="Y99" s="15"/>
      <c r="Z99" s="15"/>
    </row>
    <row r="100" customHeight="1" spans="1:26">
      <c r="A100" s="17"/>
      <c r="B100" s="15"/>
      <c r="C100" s="15"/>
      <c r="D100" s="15"/>
      <c r="E100" s="15"/>
      <c r="F100" s="15"/>
      <c r="G100" s="15"/>
      <c r="H100" s="16"/>
      <c r="I100" s="16"/>
      <c r="J100" s="16"/>
      <c r="K100" s="16"/>
      <c r="L100" s="16"/>
      <c r="M100" s="16"/>
      <c r="N100" s="16"/>
      <c r="O100" s="16"/>
      <c r="P100" s="16"/>
      <c r="Q100" s="16"/>
      <c r="R100" s="16"/>
      <c r="S100" s="16"/>
      <c r="T100" s="16"/>
      <c r="U100" s="16"/>
      <c r="V100" s="16"/>
      <c r="W100" s="15"/>
      <c r="X100" s="15"/>
      <c r="Y100" s="15"/>
      <c r="Z100" s="15"/>
    </row>
    <row r="101" customHeight="1" spans="1:26">
      <c r="A101" s="17"/>
      <c r="B101" s="15"/>
      <c r="C101" s="15"/>
      <c r="D101" s="15"/>
      <c r="E101" s="15"/>
      <c r="F101" s="15"/>
      <c r="G101" s="15"/>
      <c r="H101" s="16"/>
      <c r="I101" s="16"/>
      <c r="J101" s="16"/>
      <c r="K101" s="16"/>
      <c r="L101" s="16"/>
      <c r="M101" s="16"/>
      <c r="N101" s="16"/>
      <c r="O101" s="16"/>
      <c r="P101" s="16"/>
      <c r="Q101" s="16"/>
      <c r="R101" s="16"/>
      <c r="S101" s="16"/>
      <c r="T101" s="16"/>
      <c r="U101" s="16"/>
      <c r="V101" s="16"/>
      <c r="W101" s="15"/>
      <c r="X101" s="15"/>
      <c r="Y101" s="15"/>
      <c r="Z101" s="15"/>
    </row>
    <row r="102" customHeight="1" spans="1:26">
      <c r="A102" s="17"/>
      <c r="B102" s="15"/>
      <c r="C102" s="15"/>
      <c r="D102" s="15"/>
      <c r="E102" s="15"/>
      <c r="F102" s="15"/>
      <c r="G102" s="15"/>
      <c r="H102" s="16"/>
      <c r="I102" s="16"/>
      <c r="J102" s="16"/>
      <c r="K102" s="16"/>
      <c r="L102" s="16"/>
      <c r="M102" s="16"/>
      <c r="N102" s="16"/>
      <c r="O102" s="16"/>
      <c r="P102" s="16"/>
      <c r="Q102" s="16"/>
      <c r="R102" s="16"/>
      <c r="S102" s="16"/>
      <c r="T102" s="16"/>
      <c r="U102" s="16"/>
      <c r="V102" s="16"/>
      <c r="W102" s="15"/>
      <c r="X102" s="15"/>
      <c r="Y102" s="15"/>
      <c r="Z102" s="15"/>
    </row>
    <row r="103" customHeight="1" spans="1:26">
      <c r="A103" s="17"/>
      <c r="B103" s="15"/>
      <c r="C103" s="15"/>
      <c r="D103" s="15"/>
      <c r="E103" s="15"/>
      <c r="F103" s="15"/>
      <c r="G103" s="15"/>
      <c r="H103" s="16"/>
      <c r="I103" s="16"/>
      <c r="J103" s="16"/>
      <c r="K103" s="16"/>
      <c r="L103" s="16"/>
      <c r="M103" s="16"/>
      <c r="N103" s="16"/>
      <c r="O103" s="16"/>
      <c r="P103" s="16"/>
      <c r="Q103" s="16"/>
      <c r="R103" s="16"/>
      <c r="S103" s="16"/>
      <c r="T103" s="16"/>
      <c r="U103" s="16"/>
      <c r="V103" s="16"/>
      <c r="W103" s="15"/>
      <c r="X103" s="15"/>
      <c r="Y103" s="15"/>
      <c r="Z103" s="15"/>
    </row>
    <row r="104" customHeight="1" spans="1:26">
      <c r="A104" s="17"/>
      <c r="B104" s="15"/>
      <c r="C104" s="15"/>
      <c r="D104" s="15"/>
      <c r="E104" s="15"/>
      <c r="F104" s="15"/>
      <c r="G104" s="15"/>
      <c r="H104" s="16"/>
      <c r="I104" s="16"/>
      <c r="J104" s="16"/>
      <c r="K104" s="16"/>
      <c r="L104" s="16"/>
      <c r="M104" s="16"/>
      <c r="N104" s="16"/>
      <c r="O104" s="16"/>
      <c r="P104" s="16"/>
      <c r="Q104" s="16"/>
      <c r="R104" s="16"/>
      <c r="S104" s="16"/>
      <c r="T104" s="16"/>
      <c r="U104" s="16"/>
      <c r="V104" s="16"/>
      <c r="W104" s="15"/>
      <c r="X104" s="15"/>
      <c r="Y104" s="15"/>
      <c r="Z104" s="15"/>
    </row>
    <row r="105" customHeight="1" spans="1:26">
      <c r="A105" s="17"/>
      <c r="B105" s="15"/>
      <c r="C105" s="15"/>
      <c r="D105" s="15"/>
      <c r="E105" s="15"/>
      <c r="F105" s="15"/>
      <c r="G105" s="15"/>
      <c r="H105" s="16"/>
      <c r="I105" s="16"/>
      <c r="J105" s="16"/>
      <c r="K105" s="16"/>
      <c r="L105" s="16"/>
      <c r="M105" s="16"/>
      <c r="N105" s="16"/>
      <c r="O105" s="16"/>
      <c r="P105" s="16"/>
      <c r="Q105" s="16"/>
      <c r="R105" s="16"/>
      <c r="S105" s="16"/>
      <c r="T105" s="16"/>
      <c r="U105" s="16"/>
      <c r="V105" s="16"/>
      <c r="W105" s="15"/>
      <c r="X105" s="15"/>
      <c r="Y105" s="15"/>
      <c r="Z105" s="15"/>
    </row>
    <row r="106" customHeight="1" spans="1:26">
      <c r="A106" s="17"/>
      <c r="B106" s="15"/>
      <c r="C106" s="15"/>
      <c r="D106" s="15"/>
      <c r="E106" s="15"/>
      <c r="F106" s="15"/>
      <c r="G106" s="15"/>
      <c r="H106" s="16"/>
      <c r="I106" s="16"/>
      <c r="J106" s="16"/>
      <c r="K106" s="16"/>
      <c r="L106" s="16"/>
      <c r="M106" s="16"/>
      <c r="N106" s="16"/>
      <c r="O106" s="16"/>
      <c r="P106" s="16"/>
      <c r="Q106" s="16"/>
      <c r="R106" s="16"/>
      <c r="S106" s="16"/>
      <c r="T106" s="16"/>
      <c r="U106" s="16"/>
      <c r="V106" s="16"/>
      <c r="W106" s="15"/>
      <c r="X106" s="15"/>
      <c r="Y106" s="15"/>
      <c r="Z106" s="15"/>
    </row>
    <row r="107" customHeight="1" spans="1:26">
      <c r="A107" s="17"/>
      <c r="B107" s="15"/>
      <c r="C107" s="15"/>
      <c r="D107" s="15"/>
      <c r="E107" s="15"/>
      <c r="F107" s="15"/>
      <c r="G107" s="15"/>
      <c r="H107" s="16"/>
      <c r="I107" s="16"/>
      <c r="J107" s="16"/>
      <c r="K107" s="16"/>
      <c r="L107" s="16"/>
      <c r="M107" s="16"/>
      <c r="N107" s="16"/>
      <c r="O107" s="16"/>
      <c r="P107" s="16"/>
      <c r="Q107" s="16"/>
      <c r="R107" s="16"/>
      <c r="S107" s="16"/>
      <c r="T107" s="16"/>
      <c r="U107" s="16"/>
      <c r="V107" s="16"/>
      <c r="W107" s="15"/>
      <c r="X107" s="15"/>
      <c r="Y107" s="15"/>
      <c r="Z107" s="15"/>
    </row>
    <row r="108" customHeight="1" spans="1:26">
      <c r="A108" s="17"/>
      <c r="B108" s="15"/>
      <c r="C108" s="15"/>
      <c r="D108" s="15"/>
      <c r="E108" s="15"/>
      <c r="F108" s="15"/>
      <c r="G108" s="15"/>
      <c r="H108" s="16"/>
      <c r="I108" s="16"/>
      <c r="J108" s="16"/>
      <c r="K108" s="16"/>
      <c r="L108" s="16"/>
      <c r="M108" s="16"/>
      <c r="N108" s="16"/>
      <c r="O108" s="16"/>
      <c r="P108" s="16"/>
      <c r="Q108" s="16"/>
      <c r="R108" s="16"/>
      <c r="S108" s="16"/>
      <c r="T108" s="16"/>
      <c r="U108" s="16"/>
      <c r="V108" s="16"/>
      <c r="W108" s="15"/>
      <c r="X108" s="15"/>
      <c r="Y108" s="15"/>
      <c r="Z108" s="15"/>
    </row>
    <row r="109" customHeight="1" spans="1:26">
      <c r="A109" s="17"/>
      <c r="B109" s="15"/>
      <c r="C109" s="15"/>
      <c r="D109" s="15"/>
      <c r="E109" s="15"/>
      <c r="F109" s="15"/>
      <c r="G109" s="15"/>
      <c r="H109" s="16"/>
      <c r="I109" s="16"/>
      <c r="J109" s="16"/>
      <c r="K109" s="16"/>
      <c r="L109" s="16"/>
      <c r="M109" s="16"/>
      <c r="N109" s="16"/>
      <c r="O109" s="16"/>
      <c r="P109" s="16"/>
      <c r="Q109" s="16"/>
      <c r="R109" s="16"/>
      <c r="S109" s="16"/>
      <c r="T109" s="16"/>
      <c r="U109" s="16"/>
      <c r="V109" s="16"/>
      <c r="W109" s="15"/>
      <c r="X109" s="15"/>
      <c r="Y109" s="15"/>
      <c r="Z109" s="15"/>
    </row>
    <row r="110" customHeight="1" spans="1:26">
      <c r="A110" s="17"/>
      <c r="B110" s="15"/>
      <c r="C110" s="15"/>
      <c r="D110" s="15"/>
      <c r="E110" s="15"/>
      <c r="F110" s="15"/>
      <c r="G110" s="15"/>
      <c r="H110" s="16"/>
      <c r="I110" s="16"/>
      <c r="J110" s="16"/>
      <c r="K110" s="16"/>
      <c r="L110" s="16"/>
      <c r="M110" s="16"/>
      <c r="N110" s="16"/>
      <c r="O110" s="16"/>
      <c r="P110" s="16"/>
      <c r="Q110" s="16"/>
      <c r="R110" s="16"/>
      <c r="S110" s="16"/>
      <c r="T110" s="16"/>
      <c r="U110" s="16"/>
      <c r="V110" s="16"/>
      <c r="W110" s="15"/>
      <c r="X110" s="15"/>
      <c r="Y110" s="15"/>
      <c r="Z110" s="15"/>
    </row>
    <row r="111" customHeight="1" spans="1:26">
      <c r="A111" s="17"/>
      <c r="B111" s="15"/>
      <c r="C111" s="15"/>
      <c r="D111" s="15"/>
      <c r="E111" s="15"/>
      <c r="F111" s="15"/>
      <c r="G111" s="15"/>
      <c r="H111" s="16"/>
      <c r="I111" s="16"/>
      <c r="J111" s="16"/>
      <c r="K111" s="16"/>
      <c r="L111" s="16"/>
      <c r="M111" s="16"/>
      <c r="N111" s="16"/>
      <c r="O111" s="16"/>
      <c r="P111" s="16"/>
      <c r="Q111" s="16"/>
      <c r="R111" s="16"/>
      <c r="S111" s="16"/>
      <c r="T111" s="16"/>
      <c r="U111" s="16"/>
      <c r="V111" s="16"/>
      <c r="W111" s="15"/>
      <c r="X111" s="15"/>
      <c r="Y111" s="15"/>
      <c r="Z111" s="15"/>
    </row>
    <row r="112" customHeight="1" spans="1:26">
      <c r="A112" s="17"/>
      <c r="B112" s="15"/>
      <c r="C112" s="15"/>
      <c r="D112" s="15"/>
      <c r="E112" s="15"/>
      <c r="F112" s="15"/>
      <c r="G112" s="15"/>
      <c r="H112" s="16"/>
      <c r="I112" s="16"/>
      <c r="J112" s="16"/>
      <c r="K112" s="16"/>
      <c r="L112" s="16"/>
      <c r="M112" s="16"/>
      <c r="N112" s="16"/>
      <c r="O112" s="16"/>
      <c r="P112" s="16"/>
      <c r="Q112" s="16"/>
      <c r="R112" s="16"/>
      <c r="S112" s="16"/>
      <c r="T112" s="16"/>
      <c r="U112" s="16"/>
      <c r="V112" s="16"/>
      <c r="W112" s="15"/>
      <c r="X112" s="15"/>
      <c r="Y112" s="15"/>
      <c r="Z112" s="15"/>
    </row>
    <row r="113" customHeight="1" spans="1:26">
      <c r="A113" s="17"/>
      <c r="B113" s="15"/>
      <c r="C113" s="15"/>
      <c r="D113" s="15"/>
      <c r="E113" s="15"/>
      <c r="F113" s="15"/>
      <c r="G113" s="15"/>
      <c r="H113" s="16"/>
      <c r="I113" s="16"/>
      <c r="J113" s="16"/>
      <c r="K113" s="16"/>
      <c r="L113" s="16"/>
      <c r="M113" s="16"/>
      <c r="N113" s="16"/>
      <c r="O113" s="16"/>
      <c r="P113" s="16"/>
      <c r="Q113" s="16"/>
      <c r="R113" s="16"/>
      <c r="S113" s="16"/>
      <c r="T113" s="16"/>
      <c r="U113" s="16"/>
      <c r="V113" s="16"/>
      <c r="W113" s="15"/>
      <c r="X113" s="15"/>
      <c r="Y113" s="15"/>
      <c r="Z113" s="15"/>
    </row>
    <row r="114" customHeight="1" spans="1:26">
      <c r="A114" s="17"/>
      <c r="B114" s="15"/>
      <c r="C114" s="15"/>
      <c r="D114" s="15"/>
      <c r="E114" s="15"/>
      <c r="F114" s="15"/>
      <c r="G114" s="15"/>
      <c r="H114" s="16"/>
      <c r="I114" s="16"/>
      <c r="J114" s="16"/>
      <c r="K114" s="16"/>
      <c r="L114" s="16"/>
      <c r="M114" s="16"/>
      <c r="N114" s="16"/>
      <c r="O114" s="16"/>
      <c r="P114" s="16"/>
      <c r="Q114" s="16"/>
      <c r="R114" s="16"/>
      <c r="S114" s="16"/>
      <c r="T114" s="16"/>
      <c r="U114" s="16"/>
      <c r="V114" s="16"/>
      <c r="W114" s="15"/>
      <c r="X114" s="15"/>
      <c r="Y114" s="15"/>
      <c r="Z114" s="15"/>
    </row>
    <row r="115" customHeight="1" spans="1:26">
      <c r="A115" s="17"/>
      <c r="B115" s="15"/>
      <c r="C115" s="15"/>
      <c r="D115" s="15"/>
      <c r="E115" s="15"/>
      <c r="F115" s="15"/>
      <c r="G115" s="15"/>
      <c r="H115" s="16"/>
      <c r="I115" s="16"/>
      <c r="J115" s="16"/>
      <c r="K115" s="16"/>
      <c r="L115" s="16"/>
      <c r="M115" s="16"/>
      <c r="N115" s="16"/>
      <c r="O115" s="16"/>
      <c r="P115" s="16"/>
      <c r="Q115" s="16"/>
      <c r="R115" s="16"/>
      <c r="S115" s="16"/>
      <c r="T115" s="16"/>
      <c r="U115" s="16"/>
      <c r="V115" s="16"/>
      <c r="W115" s="15"/>
      <c r="X115" s="15"/>
      <c r="Y115" s="15"/>
      <c r="Z115" s="15"/>
    </row>
    <row r="116" customHeight="1" spans="1:26">
      <c r="A116" s="17"/>
      <c r="B116" s="15"/>
      <c r="C116" s="15"/>
      <c r="D116" s="15"/>
      <c r="E116" s="15"/>
      <c r="F116" s="15"/>
      <c r="G116" s="15"/>
      <c r="H116" s="16"/>
      <c r="I116" s="16"/>
      <c r="J116" s="16"/>
      <c r="K116" s="16"/>
      <c r="L116" s="16"/>
      <c r="M116" s="16"/>
      <c r="N116" s="16"/>
      <c r="O116" s="16"/>
      <c r="P116" s="16"/>
      <c r="Q116" s="16"/>
      <c r="R116" s="16"/>
      <c r="S116" s="16"/>
      <c r="T116" s="16"/>
      <c r="U116" s="16"/>
      <c r="V116" s="16"/>
      <c r="W116" s="15"/>
      <c r="X116" s="15"/>
      <c r="Y116" s="15"/>
      <c r="Z116" s="15"/>
    </row>
    <row r="117" customHeight="1" spans="1:26">
      <c r="A117" s="17"/>
      <c r="B117" s="15"/>
      <c r="C117" s="15"/>
      <c r="D117" s="15"/>
      <c r="E117" s="15"/>
      <c r="F117" s="15"/>
      <c r="G117" s="15"/>
      <c r="H117" s="16"/>
      <c r="I117" s="16"/>
      <c r="J117" s="16"/>
      <c r="K117" s="16"/>
      <c r="L117" s="16"/>
      <c r="M117" s="16"/>
      <c r="N117" s="16"/>
      <c r="O117" s="16"/>
      <c r="P117" s="16"/>
      <c r="Q117" s="16"/>
      <c r="R117" s="16"/>
      <c r="S117" s="16"/>
      <c r="T117" s="16"/>
      <c r="U117" s="16"/>
      <c r="V117" s="16"/>
      <c r="W117" s="15"/>
      <c r="X117" s="15"/>
      <c r="Y117" s="15"/>
      <c r="Z117" s="15"/>
    </row>
    <row r="118" customHeight="1" spans="1:26">
      <c r="A118" s="17"/>
      <c r="B118" s="15"/>
      <c r="C118" s="15"/>
      <c r="D118" s="15"/>
      <c r="E118" s="15"/>
      <c r="F118" s="15"/>
      <c r="G118" s="15"/>
      <c r="H118" s="16"/>
      <c r="I118" s="16"/>
      <c r="J118" s="16"/>
      <c r="K118" s="16"/>
      <c r="L118" s="16"/>
      <c r="M118" s="16"/>
      <c r="N118" s="16"/>
      <c r="O118" s="16"/>
      <c r="P118" s="16"/>
      <c r="Q118" s="16"/>
      <c r="R118" s="16"/>
      <c r="S118" s="16"/>
      <c r="T118" s="16"/>
      <c r="U118" s="16"/>
      <c r="V118" s="16"/>
      <c r="W118" s="15"/>
      <c r="X118" s="15"/>
      <c r="Y118" s="15"/>
      <c r="Z118" s="15"/>
    </row>
    <row r="119" customHeight="1" spans="1:26">
      <c r="A119" s="17"/>
      <c r="B119" s="15"/>
      <c r="C119" s="15"/>
      <c r="D119" s="15"/>
      <c r="E119" s="15"/>
      <c r="F119" s="15"/>
      <c r="G119" s="15"/>
      <c r="H119" s="16"/>
      <c r="I119" s="16"/>
      <c r="J119" s="16"/>
      <c r="K119" s="16"/>
      <c r="L119" s="16"/>
      <c r="M119" s="16"/>
      <c r="N119" s="16"/>
      <c r="O119" s="16"/>
      <c r="P119" s="16"/>
      <c r="Q119" s="16"/>
      <c r="R119" s="16"/>
      <c r="S119" s="16"/>
      <c r="T119" s="16"/>
      <c r="U119" s="16"/>
      <c r="V119" s="16"/>
      <c r="W119" s="15"/>
      <c r="X119" s="15"/>
      <c r="Y119" s="15"/>
      <c r="Z119" s="15"/>
    </row>
    <row r="120" customHeight="1" spans="1:26">
      <c r="A120" s="17"/>
      <c r="B120" s="15"/>
      <c r="C120" s="15"/>
      <c r="D120" s="15"/>
      <c r="E120" s="15"/>
      <c r="F120" s="15"/>
      <c r="G120" s="15"/>
      <c r="H120" s="16"/>
      <c r="I120" s="16"/>
      <c r="J120" s="16"/>
      <c r="K120" s="16"/>
      <c r="L120" s="16"/>
      <c r="M120" s="16"/>
      <c r="N120" s="16"/>
      <c r="O120" s="16"/>
      <c r="P120" s="16"/>
      <c r="Q120" s="16"/>
      <c r="R120" s="16"/>
      <c r="S120" s="16"/>
      <c r="T120" s="16"/>
      <c r="U120" s="16"/>
      <c r="V120" s="16"/>
      <c r="W120" s="15"/>
      <c r="X120" s="15"/>
      <c r="Y120" s="15"/>
      <c r="Z120" s="15"/>
    </row>
    <row r="121" customHeight="1" spans="1:26">
      <c r="A121" s="17"/>
      <c r="B121" s="15"/>
      <c r="C121" s="15"/>
      <c r="D121" s="15"/>
      <c r="E121" s="15"/>
      <c r="F121" s="15"/>
      <c r="G121" s="15"/>
      <c r="H121" s="16"/>
      <c r="I121" s="16"/>
      <c r="J121" s="16"/>
      <c r="K121" s="16"/>
      <c r="L121" s="16"/>
      <c r="M121" s="16"/>
      <c r="N121" s="16"/>
      <c r="O121" s="16"/>
      <c r="P121" s="16"/>
      <c r="Q121" s="16"/>
      <c r="R121" s="16"/>
      <c r="S121" s="16"/>
      <c r="T121" s="16"/>
      <c r="U121" s="16"/>
      <c r="V121" s="16"/>
      <c r="W121" s="15"/>
      <c r="X121" s="15"/>
      <c r="Y121" s="15"/>
      <c r="Z121" s="15"/>
    </row>
    <row r="122" customHeight="1" spans="1:26">
      <c r="A122" s="17"/>
      <c r="B122" s="15"/>
      <c r="C122" s="15"/>
      <c r="D122" s="15"/>
      <c r="E122" s="15"/>
      <c r="F122" s="15"/>
      <c r="G122" s="15"/>
      <c r="H122" s="16"/>
      <c r="I122" s="16"/>
      <c r="J122" s="16"/>
      <c r="K122" s="16"/>
      <c r="L122" s="16"/>
      <c r="M122" s="16"/>
      <c r="N122" s="16"/>
      <c r="O122" s="16"/>
      <c r="P122" s="16"/>
      <c r="Q122" s="16"/>
      <c r="R122" s="16"/>
      <c r="S122" s="16"/>
      <c r="T122" s="16"/>
      <c r="U122" s="16"/>
      <c r="V122" s="16"/>
      <c r="W122" s="15"/>
      <c r="X122" s="15"/>
      <c r="Y122" s="15"/>
      <c r="Z122" s="15"/>
    </row>
    <row r="123" customHeight="1" spans="1:26">
      <c r="A123" s="17"/>
      <c r="B123" s="15"/>
      <c r="C123" s="15"/>
      <c r="D123" s="15"/>
      <c r="E123" s="15"/>
      <c r="F123" s="15"/>
      <c r="G123" s="15"/>
      <c r="H123" s="16"/>
      <c r="I123" s="16"/>
      <c r="J123" s="16"/>
      <c r="K123" s="16"/>
      <c r="L123" s="16"/>
      <c r="M123" s="16"/>
      <c r="N123" s="16"/>
      <c r="O123" s="16"/>
      <c r="P123" s="16"/>
      <c r="Q123" s="16"/>
      <c r="R123" s="16"/>
      <c r="S123" s="16"/>
      <c r="T123" s="16"/>
      <c r="U123" s="16"/>
      <c r="V123" s="16"/>
      <c r="W123" s="15"/>
      <c r="X123" s="15"/>
      <c r="Y123" s="15"/>
      <c r="Z123" s="15"/>
    </row>
    <row r="124" customHeight="1" spans="1:26">
      <c r="A124" s="17"/>
      <c r="B124" s="15"/>
      <c r="C124" s="15"/>
      <c r="D124" s="15"/>
      <c r="E124" s="15"/>
      <c r="F124" s="15"/>
      <c r="G124" s="15"/>
      <c r="H124" s="16"/>
      <c r="I124" s="16"/>
      <c r="J124" s="16"/>
      <c r="K124" s="16"/>
      <c r="L124" s="16"/>
      <c r="M124" s="16"/>
      <c r="N124" s="16"/>
      <c r="O124" s="16"/>
      <c r="P124" s="16"/>
      <c r="Q124" s="16"/>
      <c r="R124" s="16"/>
      <c r="S124" s="16"/>
      <c r="T124" s="16"/>
      <c r="U124" s="16"/>
      <c r="V124" s="16"/>
      <c r="W124" s="15"/>
      <c r="X124" s="15"/>
      <c r="Y124" s="15"/>
      <c r="Z124" s="15"/>
    </row>
    <row r="125" customHeight="1" spans="1:26">
      <c r="A125" s="17"/>
      <c r="B125" s="15"/>
      <c r="C125" s="15"/>
      <c r="D125" s="15"/>
      <c r="E125" s="15"/>
      <c r="F125" s="15"/>
      <c r="G125" s="15"/>
      <c r="H125" s="16"/>
      <c r="I125" s="16"/>
      <c r="J125" s="16"/>
      <c r="K125" s="16"/>
      <c r="L125" s="16"/>
      <c r="M125" s="16"/>
      <c r="N125" s="16"/>
      <c r="O125" s="16"/>
      <c r="P125" s="16"/>
      <c r="Q125" s="16"/>
      <c r="R125" s="16"/>
      <c r="S125" s="16"/>
      <c r="T125" s="16"/>
      <c r="U125" s="16"/>
      <c r="V125" s="16"/>
      <c r="W125" s="15"/>
      <c r="X125" s="15"/>
      <c r="Y125" s="15"/>
      <c r="Z125" s="15"/>
    </row>
    <row r="126" customHeight="1" spans="1:26">
      <c r="A126" s="17"/>
      <c r="B126" s="15"/>
      <c r="C126" s="15"/>
      <c r="D126" s="15"/>
      <c r="E126" s="15"/>
      <c r="F126" s="15"/>
      <c r="G126" s="15"/>
      <c r="H126" s="16"/>
      <c r="I126" s="16"/>
      <c r="J126" s="16"/>
      <c r="K126" s="16"/>
      <c r="L126" s="16"/>
      <c r="M126" s="16"/>
      <c r="N126" s="16"/>
      <c r="O126" s="16"/>
      <c r="P126" s="16"/>
      <c r="Q126" s="16"/>
      <c r="R126" s="16"/>
      <c r="S126" s="16"/>
      <c r="T126" s="16"/>
      <c r="U126" s="16"/>
      <c r="V126" s="16"/>
      <c r="W126" s="15"/>
      <c r="X126" s="15"/>
      <c r="Y126" s="15"/>
      <c r="Z126" s="15"/>
    </row>
    <row r="127" customHeight="1" spans="1:26">
      <c r="A127" s="17"/>
      <c r="B127" s="15"/>
      <c r="C127" s="15"/>
      <c r="D127" s="15"/>
      <c r="E127" s="15"/>
      <c r="F127" s="15"/>
      <c r="G127" s="15"/>
      <c r="H127" s="16"/>
      <c r="I127" s="16"/>
      <c r="J127" s="16"/>
      <c r="K127" s="16"/>
      <c r="L127" s="16"/>
      <c r="M127" s="16"/>
      <c r="N127" s="16"/>
      <c r="O127" s="16"/>
      <c r="P127" s="16"/>
      <c r="Q127" s="16"/>
      <c r="R127" s="16"/>
      <c r="S127" s="16"/>
      <c r="T127" s="16"/>
      <c r="U127" s="16"/>
      <c r="V127" s="16"/>
      <c r="W127" s="15"/>
      <c r="X127" s="15"/>
      <c r="Y127" s="15"/>
      <c r="Z127" s="15"/>
    </row>
    <row r="128" customHeight="1" spans="1:26">
      <c r="A128" s="17"/>
      <c r="B128" s="15"/>
      <c r="C128" s="15"/>
      <c r="D128" s="15"/>
      <c r="E128" s="15"/>
      <c r="F128" s="15"/>
      <c r="G128" s="15"/>
      <c r="H128" s="16"/>
      <c r="I128" s="16"/>
      <c r="J128" s="16"/>
      <c r="K128" s="16"/>
      <c r="L128" s="16"/>
      <c r="M128" s="16"/>
      <c r="N128" s="16"/>
      <c r="O128" s="16"/>
      <c r="P128" s="16"/>
      <c r="Q128" s="16"/>
      <c r="R128" s="16"/>
      <c r="S128" s="16"/>
      <c r="T128" s="16"/>
      <c r="U128" s="16"/>
      <c r="V128" s="16"/>
      <c r="W128" s="15"/>
      <c r="X128" s="15"/>
      <c r="Y128" s="15"/>
      <c r="Z128" s="15"/>
    </row>
    <row r="129" customHeight="1" spans="1:26">
      <c r="A129" s="17"/>
      <c r="B129" s="15"/>
      <c r="C129" s="15"/>
      <c r="D129" s="15"/>
      <c r="E129" s="15"/>
      <c r="F129" s="15"/>
      <c r="G129" s="15"/>
      <c r="H129" s="16"/>
      <c r="I129" s="16"/>
      <c r="J129" s="16"/>
      <c r="K129" s="16"/>
      <c r="L129" s="16"/>
      <c r="M129" s="16"/>
      <c r="N129" s="16"/>
      <c r="O129" s="16"/>
      <c r="P129" s="16"/>
      <c r="Q129" s="16"/>
      <c r="R129" s="16"/>
      <c r="S129" s="16"/>
      <c r="T129" s="16"/>
      <c r="U129" s="16"/>
      <c r="V129" s="16"/>
      <c r="W129" s="15"/>
      <c r="X129" s="15"/>
      <c r="Y129" s="15"/>
      <c r="Z129" s="15"/>
    </row>
    <row r="130" customHeight="1" spans="1:26">
      <c r="A130" s="17"/>
      <c r="B130" s="15"/>
      <c r="C130" s="15"/>
      <c r="D130" s="15"/>
      <c r="E130" s="15"/>
      <c r="F130" s="15"/>
      <c r="G130" s="15"/>
      <c r="H130" s="16"/>
      <c r="I130" s="16"/>
      <c r="J130" s="16"/>
      <c r="K130" s="16"/>
      <c r="L130" s="16"/>
      <c r="M130" s="16"/>
      <c r="N130" s="16"/>
      <c r="O130" s="16"/>
      <c r="P130" s="16"/>
      <c r="Q130" s="16"/>
      <c r="R130" s="16"/>
      <c r="S130" s="16"/>
      <c r="T130" s="16"/>
      <c r="U130" s="16"/>
      <c r="V130" s="16"/>
      <c r="W130" s="15"/>
      <c r="X130" s="15"/>
      <c r="Y130" s="15"/>
      <c r="Z130" s="15"/>
    </row>
    <row r="131" customHeight="1" spans="1:26">
      <c r="A131" s="17"/>
      <c r="B131" s="15"/>
      <c r="C131" s="15"/>
      <c r="D131" s="15"/>
      <c r="E131" s="15"/>
      <c r="F131" s="15"/>
      <c r="G131" s="15"/>
      <c r="H131" s="16"/>
      <c r="I131" s="16"/>
      <c r="J131" s="16"/>
      <c r="K131" s="16"/>
      <c r="L131" s="16"/>
      <c r="M131" s="16"/>
      <c r="N131" s="16"/>
      <c r="O131" s="16"/>
      <c r="P131" s="16"/>
      <c r="Q131" s="16"/>
      <c r="R131" s="16"/>
      <c r="S131" s="16"/>
      <c r="T131" s="16"/>
      <c r="U131" s="16"/>
      <c r="V131" s="16"/>
      <c r="W131" s="15"/>
      <c r="X131" s="15"/>
      <c r="Y131" s="15"/>
      <c r="Z131" s="15"/>
    </row>
    <row r="132" customHeight="1" spans="1:26">
      <c r="A132" s="17"/>
      <c r="B132" s="15"/>
      <c r="C132" s="15"/>
      <c r="D132" s="15"/>
      <c r="E132" s="15"/>
      <c r="F132" s="15"/>
      <c r="G132" s="15"/>
      <c r="H132" s="16"/>
      <c r="I132" s="16"/>
      <c r="J132" s="16"/>
      <c r="K132" s="16"/>
      <c r="L132" s="16"/>
      <c r="M132" s="16"/>
      <c r="N132" s="16"/>
      <c r="O132" s="16"/>
      <c r="P132" s="16"/>
      <c r="Q132" s="16"/>
      <c r="R132" s="16"/>
      <c r="S132" s="16"/>
      <c r="T132" s="16"/>
      <c r="U132" s="16"/>
      <c r="V132" s="16"/>
      <c r="W132" s="15"/>
      <c r="X132" s="15"/>
      <c r="Y132" s="15"/>
      <c r="Z132" s="15"/>
    </row>
    <row r="133" customHeight="1" spans="1:26">
      <c r="A133" s="17"/>
      <c r="B133" s="15"/>
      <c r="C133" s="15"/>
      <c r="D133" s="15"/>
      <c r="E133" s="15"/>
      <c r="F133" s="15"/>
      <c r="G133" s="15"/>
      <c r="H133" s="16"/>
      <c r="I133" s="16"/>
      <c r="J133" s="16"/>
      <c r="K133" s="16"/>
      <c r="L133" s="16"/>
      <c r="M133" s="16"/>
      <c r="N133" s="16"/>
      <c r="O133" s="16"/>
      <c r="P133" s="16"/>
      <c r="Q133" s="16"/>
      <c r="R133" s="16"/>
      <c r="S133" s="16"/>
      <c r="T133" s="16"/>
      <c r="U133" s="16"/>
      <c r="V133" s="16"/>
      <c r="W133" s="15"/>
      <c r="X133" s="15"/>
      <c r="Y133" s="15"/>
      <c r="Z133" s="15"/>
    </row>
    <row r="134" customHeight="1" spans="1:26">
      <c r="A134" s="17"/>
      <c r="B134" s="15"/>
      <c r="C134" s="15"/>
      <c r="D134" s="15"/>
      <c r="E134" s="15"/>
      <c r="F134" s="15"/>
      <c r="G134" s="15"/>
      <c r="H134" s="16"/>
      <c r="I134" s="16"/>
      <c r="J134" s="16"/>
      <c r="K134" s="16"/>
      <c r="L134" s="16"/>
      <c r="M134" s="16"/>
      <c r="N134" s="16"/>
      <c r="O134" s="16"/>
      <c r="P134" s="16"/>
      <c r="Q134" s="16"/>
      <c r="R134" s="16"/>
      <c r="S134" s="16"/>
      <c r="T134" s="16"/>
      <c r="U134" s="16"/>
      <c r="V134" s="16"/>
      <c r="W134" s="15"/>
      <c r="X134" s="15"/>
      <c r="Y134" s="15"/>
      <c r="Z134" s="15"/>
    </row>
    <row r="135" customHeight="1" spans="1:26">
      <c r="A135" s="17"/>
      <c r="B135" s="15"/>
      <c r="C135" s="15"/>
      <c r="D135" s="15"/>
      <c r="E135" s="15"/>
      <c r="F135" s="15"/>
      <c r="G135" s="15"/>
      <c r="H135" s="16"/>
      <c r="I135" s="16"/>
      <c r="J135" s="16"/>
      <c r="K135" s="16"/>
      <c r="L135" s="16"/>
      <c r="M135" s="16"/>
      <c r="N135" s="16"/>
      <c r="O135" s="16"/>
      <c r="P135" s="16"/>
      <c r="Q135" s="16"/>
      <c r="R135" s="16"/>
      <c r="S135" s="16"/>
      <c r="T135" s="16"/>
      <c r="U135" s="16"/>
      <c r="V135" s="16"/>
      <c r="W135" s="15"/>
      <c r="X135" s="15"/>
      <c r="Y135" s="15"/>
      <c r="Z135" s="15"/>
    </row>
    <row r="136" customHeight="1" spans="1:26">
      <c r="A136" s="17"/>
      <c r="B136" s="15"/>
      <c r="C136" s="15"/>
      <c r="D136" s="15"/>
      <c r="E136" s="15"/>
      <c r="F136" s="15"/>
      <c r="G136" s="15"/>
      <c r="H136" s="16"/>
      <c r="I136" s="16"/>
      <c r="J136" s="16"/>
      <c r="K136" s="16"/>
      <c r="L136" s="16"/>
      <c r="M136" s="16"/>
      <c r="N136" s="16"/>
      <c r="O136" s="16"/>
      <c r="P136" s="16"/>
      <c r="Q136" s="16"/>
      <c r="R136" s="16"/>
      <c r="S136" s="16"/>
      <c r="T136" s="16"/>
      <c r="U136" s="16"/>
      <c r="V136" s="16"/>
      <c r="W136" s="15"/>
      <c r="X136" s="15"/>
      <c r="Y136" s="15"/>
      <c r="Z136" s="15"/>
    </row>
    <row r="137" customHeight="1" spans="1:26">
      <c r="A137" s="17"/>
      <c r="B137" s="15"/>
      <c r="C137" s="15"/>
      <c r="D137" s="15"/>
      <c r="E137" s="15"/>
      <c r="F137" s="15"/>
      <c r="G137" s="15"/>
      <c r="H137" s="16"/>
      <c r="I137" s="16"/>
      <c r="J137" s="16"/>
      <c r="K137" s="16"/>
      <c r="L137" s="16"/>
      <c r="M137" s="16"/>
      <c r="N137" s="16"/>
      <c r="O137" s="16"/>
      <c r="P137" s="16"/>
      <c r="Q137" s="16"/>
      <c r="R137" s="16"/>
      <c r="S137" s="16"/>
      <c r="T137" s="16"/>
      <c r="U137" s="16"/>
      <c r="V137" s="16"/>
      <c r="W137" s="15"/>
      <c r="X137" s="15"/>
      <c r="Y137" s="15"/>
      <c r="Z137" s="15"/>
    </row>
    <row r="138" customHeight="1" spans="1:26">
      <c r="A138" s="17"/>
      <c r="B138" s="15"/>
      <c r="C138" s="15"/>
      <c r="D138" s="15"/>
      <c r="E138" s="15"/>
      <c r="F138" s="15"/>
      <c r="G138" s="15"/>
      <c r="H138" s="16"/>
      <c r="I138" s="16"/>
      <c r="J138" s="16"/>
      <c r="K138" s="16"/>
      <c r="L138" s="16"/>
      <c r="M138" s="16"/>
      <c r="N138" s="16"/>
      <c r="O138" s="16"/>
      <c r="P138" s="16"/>
      <c r="Q138" s="16"/>
      <c r="R138" s="16"/>
      <c r="S138" s="16"/>
      <c r="T138" s="16"/>
      <c r="U138" s="16"/>
      <c r="V138" s="16"/>
      <c r="W138" s="15"/>
      <c r="X138" s="15"/>
      <c r="Y138" s="15"/>
      <c r="Z138" s="15"/>
    </row>
    <row r="139" customHeight="1" spans="1:26">
      <c r="A139" s="17"/>
      <c r="B139" s="15"/>
      <c r="C139" s="15"/>
      <c r="D139" s="15"/>
      <c r="E139" s="15"/>
      <c r="F139" s="15"/>
      <c r="G139" s="15"/>
      <c r="H139" s="16"/>
      <c r="I139" s="16"/>
      <c r="J139" s="16"/>
      <c r="K139" s="16"/>
      <c r="L139" s="16"/>
      <c r="M139" s="16"/>
      <c r="N139" s="16"/>
      <c r="O139" s="16"/>
      <c r="P139" s="16"/>
      <c r="Q139" s="16"/>
      <c r="R139" s="16"/>
      <c r="S139" s="16"/>
      <c r="T139" s="16"/>
      <c r="U139" s="16"/>
      <c r="V139" s="16"/>
      <c r="W139" s="15"/>
      <c r="X139" s="15"/>
      <c r="Y139" s="15"/>
      <c r="Z139" s="15"/>
    </row>
    <row r="140" customHeight="1" spans="1:26">
      <c r="A140" s="17"/>
      <c r="B140" s="15"/>
      <c r="C140" s="15"/>
      <c r="D140" s="15"/>
      <c r="E140" s="15"/>
      <c r="F140" s="15"/>
      <c r="G140" s="15"/>
      <c r="H140" s="16"/>
      <c r="I140" s="16"/>
      <c r="J140" s="16"/>
      <c r="K140" s="16"/>
      <c r="L140" s="16"/>
      <c r="M140" s="16"/>
      <c r="N140" s="16"/>
      <c r="O140" s="16"/>
      <c r="P140" s="16"/>
      <c r="Q140" s="16"/>
      <c r="R140" s="16"/>
      <c r="S140" s="16"/>
      <c r="T140" s="16"/>
      <c r="U140" s="16"/>
      <c r="V140" s="16"/>
      <c r="W140" s="15"/>
      <c r="X140" s="15"/>
      <c r="Y140" s="15"/>
      <c r="Z140" s="15"/>
    </row>
    <row r="141" customHeight="1" spans="1:26">
      <c r="A141" s="17"/>
      <c r="B141" s="15"/>
      <c r="C141" s="15"/>
      <c r="D141" s="15"/>
      <c r="E141" s="15"/>
      <c r="F141" s="15"/>
      <c r="G141" s="15"/>
      <c r="H141" s="16"/>
      <c r="I141" s="16"/>
      <c r="J141" s="16"/>
      <c r="K141" s="16"/>
      <c r="L141" s="16"/>
      <c r="M141" s="16"/>
      <c r="N141" s="16"/>
      <c r="O141" s="16"/>
      <c r="P141" s="16"/>
      <c r="Q141" s="16"/>
      <c r="R141" s="16"/>
      <c r="S141" s="16"/>
      <c r="T141" s="16"/>
      <c r="U141" s="16"/>
      <c r="V141" s="16"/>
      <c r="W141" s="15"/>
      <c r="X141" s="15"/>
      <c r="Y141" s="15"/>
      <c r="Z141" s="15"/>
    </row>
    <row r="142" customHeight="1" spans="1:26">
      <c r="A142" s="17"/>
      <c r="B142" s="15"/>
      <c r="C142" s="15"/>
      <c r="D142" s="15"/>
      <c r="E142" s="15"/>
      <c r="F142" s="15"/>
      <c r="G142" s="15"/>
      <c r="H142" s="16"/>
      <c r="I142" s="16"/>
      <c r="J142" s="16"/>
      <c r="K142" s="16"/>
      <c r="L142" s="16"/>
      <c r="M142" s="16"/>
      <c r="N142" s="16"/>
      <c r="O142" s="16"/>
      <c r="P142" s="16"/>
      <c r="Q142" s="16"/>
      <c r="R142" s="16"/>
      <c r="S142" s="16"/>
      <c r="T142" s="16"/>
      <c r="U142" s="16"/>
      <c r="V142" s="16"/>
      <c r="W142" s="15"/>
      <c r="X142" s="15"/>
      <c r="Y142" s="15"/>
      <c r="Z142" s="15"/>
    </row>
    <row r="143" customHeight="1" spans="1:26">
      <c r="A143" s="17"/>
      <c r="B143" s="15"/>
      <c r="C143" s="15"/>
      <c r="D143" s="15"/>
      <c r="E143" s="15"/>
      <c r="F143" s="15"/>
      <c r="G143" s="15"/>
      <c r="H143" s="16"/>
      <c r="I143" s="16"/>
      <c r="J143" s="16"/>
      <c r="K143" s="16"/>
      <c r="L143" s="16"/>
      <c r="M143" s="16"/>
      <c r="N143" s="16"/>
      <c r="O143" s="16"/>
      <c r="P143" s="16"/>
      <c r="Q143" s="16"/>
      <c r="R143" s="16"/>
      <c r="S143" s="16"/>
      <c r="T143" s="16"/>
      <c r="U143" s="16"/>
      <c r="V143" s="16"/>
      <c r="W143" s="15"/>
      <c r="X143" s="15"/>
      <c r="Y143" s="15"/>
      <c r="Z143" s="15"/>
    </row>
    <row r="144" customHeight="1" spans="1:26">
      <c r="A144" s="17"/>
      <c r="B144" s="15"/>
      <c r="C144" s="15"/>
      <c r="D144" s="15"/>
      <c r="E144" s="15"/>
      <c r="F144" s="15"/>
      <c r="G144" s="15"/>
      <c r="H144" s="16"/>
      <c r="I144" s="16"/>
      <c r="J144" s="16"/>
      <c r="K144" s="16"/>
      <c r="L144" s="16"/>
      <c r="M144" s="16"/>
      <c r="N144" s="16"/>
      <c r="O144" s="16"/>
      <c r="P144" s="16"/>
      <c r="Q144" s="16"/>
      <c r="R144" s="16"/>
      <c r="S144" s="16"/>
      <c r="T144" s="16"/>
      <c r="U144" s="16"/>
      <c r="V144" s="16"/>
      <c r="W144" s="15"/>
      <c r="X144" s="15"/>
      <c r="Y144" s="15"/>
      <c r="Z144" s="15"/>
    </row>
    <row r="145" customHeight="1" spans="1:26">
      <c r="A145" s="17"/>
      <c r="B145" s="15"/>
      <c r="C145" s="15"/>
      <c r="D145" s="15"/>
      <c r="E145" s="15"/>
      <c r="F145" s="15"/>
      <c r="G145" s="15"/>
      <c r="H145" s="16"/>
      <c r="I145" s="16"/>
      <c r="J145" s="16"/>
      <c r="K145" s="16"/>
      <c r="L145" s="16"/>
      <c r="M145" s="16"/>
      <c r="N145" s="16"/>
      <c r="O145" s="16"/>
      <c r="P145" s="16"/>
      <c r="Q145" s="16"/>
      <c r="R145" s="16"/>
      <c r="S145" s="16"/>
      <c r="T145" s="16"/>
      <c r="U145" s="16"/>
      <c r="V145" s="16"/>
      <c r="W145" s="15"/>
      <c r="X145" s="15"/>
      <c r="Y145" s="15"/>
      <c r="Z145" s="15"/>
    </row>
    <row r="146" customHeight="1" spans="1:26">
      <c r="A146" s="17"/>
      <c r="B146" s="15"/>
      <c r="C146" s="15"/>
      <c r="D146" s="15"/>
      <c r="E146" s="15"/>
      <c r="F146" s="15"/>
      <c r="G146" s="15"/>
      <c r="H146" s="16"/>
      <c r="I146" s="16"/>
      <c r="J146" s="16"/>
      <c r="K146" s="16"/>
      <c r="L146" s="16"/>
      <c r="M146" s="16"/>
      <c r="N146" s="16"/>
      <c r="O146" s="16"/>
      <c r="P146" s="16"/>
      <c r="Q146" s="16"/>
      <c r="R146" s="16"/>
      <c r="S146" s="16"/>
      <c r="T146" s="16"/>
      <c r="U146" s="16"/>
      <c r="V146" s="16"/>
      <c r="W146" s="15"/>
      <c r="X146" s="15"/>
      <c r="Y146" s="15"/>
      <c r="Z146" s="15"/>
    </row>
    <row r="147" customHeight="1" spans="1:26">
      <c r="A147" s="17"/>
      <c r="B147" s="15"/>
      <c r="C147" s="15"/>
      <c r="D147" s="15"/>
      <c r="E147" s="15"/>
      <c r="F147" s="15"/>
      <c r="G147" s="15"/>
      <c r="H147" s="16"/>
      <c r="I147" s="16"/>
      <c r="J147" s="16"/>
      <c r="K147" s="16"/>
      <c r="L147" s="16"/>
      <c r="M147" s="16"/>
      <c r="N147" s="16"/>
      <c r="O147" s="16"/>
      <c r="P147" s="16"/>
      <c r="Q147" s="16"/>
      <c r="R147" s="16"/>
      <c r="S147" s="16"/>
      <c r="T147" s="16"/>
      <c r="U147" s="16"/>
      <c r="V147" s="16"/>
      <c r="W147" s="15"/>
      <c r="X147" s="15"/>
      <c r="Y147" s="15"/>
      <c r="Z147" s="15"/>
    </row>
    <row r="148" customHeight="1" spans="1:26">
      <c r="A148" s="17"/>
      <c r="B148" s="15"/>
      <c r="C148" s="15"/>
      <c r="D148" s="15"/>
      <c r="E148" s="15"/>
      <c r="F148" s="15"/>
      <c r="G148" s="15"/>
      <c r="H148" s="16"/>
      <c r="I148" s="16"/>
      <c r="J148" s="16"/>
      <c r="K148" s="16"/>
      <c r="L148" s="16"/>
      <c r="M148" s="16"/>
      <c r="N148" s="16"/>
      <c r="O148" s="16"/>
      <c r="P148" s="16"/>
      <c r="Q148" s="16"/>
      <c r="R148" s="16"/>
      <c r="S148" s="16"/>
      <c r="T148" s="16"/>
      <c r="U148" s="16"/>
      <c r="V148" s="16"/>
      <c r="W148" s="15"/>
      <c r="X148" s="15"/>
      <c r="Y148" s="15"/>
      <c r="Z148" s="15"/>
    </row>
    <row r="149" customHeight="1" spans="1:26">
      <c r="A149" s="17"/>
      <c r="B149" s="15"/>
      <c r="C149" s="15"/>
      <c r="D149" s="15"/>
      <c r="E149" s="15"/>
      <c r="F149" s="15"/>
      <c r="G149" s="15"/>
      <c r="H149" s="16"/>
      <c r="I149" s="16"/>
      <c r="J149" s="16"/>
      <c r="K149" s="16"/>
      <c r="L149" s="16"/>
      <c r="M149" s="16"/>
      <c r="N149" s="16"/>
      <c r="O149" s="16"/>
      <c r="P149" s="16"/>
      <c r="Q149" s="16"/>
      <c r="R149" s="16"/>
      <c r="S149" s="16"/>
      <c r="T149" s="16"/>
      <c r="U149" s="16"/>
      <c r="V149" s="16"/>
      <c r="W149" s="15"/>
      <c r="X149" s="15"/>
      <c r="Y149" s="15"/>
      <c r="Z149" s="15"/>
    </row>
    <row r="150" customHeight="1" spans="1:26">
      <c r="A150" s="17"/>
      <c r="B150" s="15"/>
      <c r="C150" s="15"/>
      <c r="D150" s="15"/>
      <c r="E150" s="15"/>
      <c r="F150" s="15"/>
      <c r="G150" s="15"/>
      <c r="H150" s="16"/>
      <c r="I150" s="16"/>
      <c r="J150" s="16"/>
      <c r="K150" s="16"/>
      <c r="L150" s="16"/>
      <c r="M150" s="16"/>
      <c r="N150" s="16"/>
      <c r="O150" s="16"/>
      <c r="P150" s="16"/>
      <c r="Q150" s="16"/>
      <c r="R150" s="16"/>
      <c r="S150" s="16"/>
      <c r="T150" s="16"/>
      <c r="U150" s="16"/>
      <c r="V150" s="16"/>
      <c r="W150" s="15"/>
      <c r="X150" s="15"/>
      <c r="Y150" s="15"/>
      <c r="Z150" s="15"/>
    </row>
    <row r="151" customHeight="1" spans="1:26">
      <c r="A151" s="17"/>
      <c r="B151" s="15"/>
      <c r="C151" s="15"/>
      <c r="D151" s="15"/>
      <c r="E151" s="15"/>
      <c r="F151" s="15"/>
      <c r="G151" s="15"/>
      <c r="H151" s="16"/>
      <c r="I151" s="16"/>
      <c r="J151" s="16"/>
      <c r="K151" s="16"/>
      <c r="L151" s="16"/>
      <c r="M151" s="16"/>
      <c r="N151" s="16"/>
      <c r="O151" s="16"/>
      <c r="P151" s="16"/>
      <c r="Q151" s="16"/>
      <c r="R151" s="16"/>
      <c r="S151" s="16"/>
      <c r="T151" s="16"/>
      <c r="U151" s="16"/>
      <c r="V151" s="16"/>
      <c r="W151" s="15"/>
      <c r="X151" s="15"/>
      <c r="Y151" s="15"/>
      <c r="Z151" s="15"/>
    </row>
    <row r="152" customHeight="1" spans="1:26">
      <c r="A152" s="17"/>
      <c r="B152" s="15"/>
      <c r="C152" s="15"/>
      <c r="D152" s="15"/>
      <c r="E152" s="15"/>
      <c r="F152" s="15"/>
      <c r="G152" s="15"/>
      <c r="H152" s="16"/>
      <c r="I152" s="16"/>
      <c r="J152" s="16"/>
      <c r="K152" s="16"/>
      <c r="L152" s="16"/>
      <c r="M152" s="16"/>
      <c r="N152" s="16"/>
      <c r="O152" s="16"/>
      <c r="P152" s="16"/>
      <c r="Q152" s="16"/>
      <c r="R152" s="16"/>
      <c r="S152" s="16"/>
      <c r="T152" s="16"/>
      <c r="U152" s="16"/>
      <c r="V152" s="16"/>
      <c r="W152" s="15"/>
      <c r="X152" s="15"/>
      <c r="Y152" s="15"/>
      <c r="Z152" s="15"/>
    </row>
    <row r="153" customHeight="1" spans="1:26">
      <c r="A153" s="17"/>
      <c r="B153" s="15"/>
      <c r="C153" s="15"/>
      <c r="D153" s="15"/>
      <c r="E153" s="15"/>
      <c r="F153" s="15"/>
      <c r="G153" s="15"/>
      <c r="H153" s="16"/>
      <c r="I153" s="16"/>
      <c r="J153" s="16"/>
      <c r="K153" s="16"/>
      <c r="L153" s="16"/>
      <c r="M153" s="16"/>
      <c r="N153" s="16"/>
      <c r="O153" s="16"/>
      <c r="P153" s="16"/>
      <c r="Q153" s="16"/>
      <c r="R153" s="16"/>
      <c r="S153" s="16"/>
      <c r="T153" s="16"/>
      <c r="U153" s="16"/>
      <c r="V153" s="16"/>
      <c r="W153" s="15"/>
      <c r="X153" s="15"/>
      <c r="Y153" s="15"/>
      <c r="Z153" s="15"/>
    </row>
    <row r="154" customHeight="1" spans="1:26">
      <c r="A154" s="17"/>
      <c r="B154" s="15"/>
      <c r="C154" s="15"/>
      <c r="D154" s="15"/>
      <c r="E154" s="15"/>
      <c r="F154" s="15"/>
      <c r="G154" s="15"/>
      <c r="H154" s="16"/>
      <c r="I154" s="16"/>
      <c r="J154" s="16"/>
      <c r="K154" s="16"/>
      <c r="L154" s="16"/>
      <c r="M154" s="16"/>
      <c r="N154" s="16"/>
      <c r="O154" s="16"/>
      <c r="P154" s="16"/>
      <c r="Q154" s="16"/>
      <c r="R154" s="16"/>
      <c r="S154" s="16"/>
      <c r="T154" s="16"/>
      <c r="U154" s="16"/>
      <c r="V154" s="16"/>
      <c r="W154" s="15"/>
      <c r="X154" s="15"/>
      <c r="Y154" s="15"/>
      <c r="Z154" s="15"/>
    </row>
    <row r="155" customHeight="1" spans="1:26">
      <c r="A155" s="17"/>
      <c r="B155" s="15"/>
      <c r="C155" s="15"/>
      <c r="D155" s="15"/>
      <c r="E155" s="15"/>
      <c r="F155" s="15"/>
      <c r="G155" s="15"/>
      <c r="H155" s="16"/>
      <c r="I155" s="16"/>
      <c r="J155" s="16"/>
      <c r="K155" s="16"/>
      <c r="L155" s="16"/>
      <c r="M155" s="16"/>
      <c r="N155" s="16"/>
      <c r="O155" s="16"/>
      <c r="P155" s="16"/>
      <c r="Q155" s="16"/>
      <c r="R155" s="16"/>
      <c r="S155" s="16"/>
      <c r="T155" s="16"/>
      <c r="U155" s="16"/>
      <c r="V155" s="16"/>
      <c r="W155" s="15"/>
      <c r="X155" s="15"/>
      <c r="Y155" s="15"/>
      <c r="Z155" s="15"/>
    </row>
    <row r="156" customHeight="1" spans="1:26">
      <c r="A156" s="17"/>
      <c r="B156" s="15"/>
      <c r="C156" s="15"/>
      <c r="D156" s="15"/>
      <c r="E156" s="15"/>
      <c r="F156" s="15"/>
      <c r="G156" s="15"/>
      <c r="H156" s="16"/>
      <c r="I156" s="16"/>
      <c r="J156" s="16"/>
      <c r="K156" s="16"/>
      <c r="L156" s="16"/>
      <c r="M156" s="16"/>
      <c r="N156" s="16"/>
      <c r="O156" s="16"/>
      <c r="P156" s="16"/>
      <c r="Q156" s="16"/>
      <c r="R156" s="16"/>
      <c r="S156" s="16"/>
      <c r="T156" s="16"/>
      <c r="U156" s="16"/>
      <c r="V156" s="16"/>
      <c r="W156" s="15"/>
      <c r="X156" s="15"/>
      <c r="Y156" s="15"/>
      <c r="Z156" s="15"/>
    </row>
    <row r="157" customHeight="1" spans="1:26">
      <c r="A157" s="17"/>
      <c r="B157" s="15"/>
      <c r="C157" s="15"/>
      <c r="D157" s="15"/>
      <c r="E157" s="15"/>
      <c r="F157" s="15"/>
      <c r="G157" s="15"/>
      <c r="H157" s="16"/>
      <c r="I157" s="16"/>
      <c r="J157" s="16"/>
      <c r="K157" s="16"/>
      <c r="L157" s="16"/>
      <c r="M157" s="16"/>
      <c r="N157" s="16"/>
      <c r="O157" s="16"/>
      <c r="P157" s="16"/>
      <c r="Q157" s="16"/>
      <c r="R157" s="16"/>
      <c r="S157" s="16"/>
      <c r="T157" s="16"/>
      <c r="U157" s="16"/>
      <c r="V157" s="16"/>
      <c r="W157" s="15"/>
      <c r="X157" s="15"/>
      <c r="Y157" s="15"/>
      <c r="Z157" s="15"/>
    </row>
    <row r="158" customHeight="1" spans="1:26">
      <c r="A158" s="17"/>
      <c r="B158" s="15"/>
      <c r="C158" s="15"/>
      <c r="D158" s="15"/>
      <c r="E158" s="15"/>
      <c r="F158" s="15"/>
      <c r="G158" s="15"/>
      <c r="H158" s="16"/>
      <c r="I158" s="16"/>
      <c r="J158" s="16"/>
      <c r="K158" s="16"/>
      <c r="L158" s="16"/>
      <c r="M158" s="16"/>
      <c r="N158" s="16"/>
      <c r="O158" s="16"/>
      <c r="P158" s="16"/>
      <c r="Q158" s="16"/>
      <c r="R158" s="16"/>
      <c r="S158" s="16"/>
      <c r="T158" s="16"/>
      <c r="U158" s="16"/>
      <c r="V158" s="16"/>
      <c r="W158" s="15"/>
      <c r="X158" s="15"/>
      <c r="Y158" s="15"/>
      <c r="Z158" s="15"/>
    </row>
    <row r="159" customHeight="1" spans="1:26">
      <c r="A159" s="17"/>
      <c r="B159" s="15"/>
      <c r="C159" s="15"/>
      <c r="D159" s="15"/>
      <c r="E159" s="15"/>
      <c r="F159" s="15"/>
      <c r="G159" s="15"/>
      <c r="H159" s="16"/>
      <c r="I159" s="16"/>
      <c r="J159" s="16"/>
      <c r="K159" s="16"/>
      <c r="L159" s="16"/>
      <c r="M159" s="16"/>
      <c r="N159" s="16"/>
      <c r="O159" s="16"/>
      <c r="P159" s="16"/>
      <c r="Q159" s="16"/>
      <c r="R159" s="16"/>
      <c r="S159" s="16"/>
      <c r="T159" s="16"/>
      <c r="U159" s="16"/>
      <c r="V159" s="16"/>
      <c r="W159" s="15"/>
      <c r="X159" s="15"/>
      <c r="Y159" s="15"/>
      <c r="Z159" s="15"/>
    </row>
    <row r="160" customHeight="1" spans="1:26">
      <c r="A160" s="17"/>
      <c r="B160" s="15"/>
      <c r="C160" s="15"/>
      <c r="D160" s="15"/>
      <c r="E160" s="15"/>
      <c r="F160" s="15"/>
      <c r="G160" s="15"/>
      <c r="H160" s="16"/>
      <c r="I160" s="16"/>
      <c r="J160" s="16"/>
      <c r="K160" s="16"/>
      <c r="L160" s="16"/>
      <c r="M160" s="16"/>
      <c r="N160" s="16"/>
      <c r="O160" s="16"/>
      <c r="P160" s="16"/>
      <c r="Q160" s="16"/>
      <c r="R160" s="16"/>
      <c r="S160" s="16"/>
      <c r="T160" s="16"/>
      <c r="U160" s="16"/>
      <c r="V160" s="16"/>
      <c r="W160" s="15"/>
      <c r="X160" s="15"/>
      <c r="Y160" s="15"/>
      <c r="Z160" s="15"/>
    </row>
    <row r="161" customHeight="1" spans="1:26">
      <c r="A161" s="17"/>
      <c r="B161" s="15"/>
      <c r="C161" s="15"/>
      <c r="D161" s="15"/>
      <c r="E161" s="15"/>
      <c r="F161" s="15"/>
      <c r="G161" s="15"/>
      <c r="H161" s="16"/>
      <c r="I161" s="16"/>
      <c r="J161" s="16"/>
      <c r="K161" s="16"/>
      <c r="L161" s="16"/>
      <c r="M161" s="16"/>
      <c r="N161" s="16"/>
      <c r="O161" s="16"/>
      <c r="P161" s="16"/>
      <c r="Q161" s="16"/>
      <c r="R161" s="16"/>
      <c r="S161" s="16"/>
      <c r="T161" s="16"/>
      <c r="U161" s="16"/>
      <c r="V161" s="16"/>
      <c r="W161" s="15"/>
      <c r="X161" s="15"/>
      <c r="Y161" s="15"/>
      <c r="Z161" s="15"/>
    </row>
    <row r="162" customHeight="1" spans="1:26">
      <c r="A162" s="17"/>
      <c r="B162" s="15"/>
      <c r="C162" s="15"/>
      <c r="D162" s="15"/>
      <c r="E162" s="15"/>
      <c r="F162" s="15"/>
      <c r="G162" s="15"/>
      <c r="H162" s="16"/>
      <c r="I162" s="16"/>
      <c r="J162" s="16"/>
      <c r="K162" s="16"/>
      <c r="L162" s="16"/>
      <c r="M162" s="16"/>
      <c r="N162" s="16"/>
      <c r="O162" s="16"/>
      <c r="P162" s="16"/>
      <c r="Q162" s="16"/>
      <c r="R162" s="16"/>
      <c r="S162" s="16"/>
      <c r="T162" s="16"/>
      <c r="U162" s="16"/>
      <c r="V162" s="16"/>
      <c r="W162" s="15"/>
      <c r="X162" s="15"/>
      <c r="Y162" s="15"/>
      <c r="Z162" s="15"/>
    </row>
    <row r="163" customHeight="1" spans="1:26">
      <c r="A163" s="17"/>
      <c r="B163" s="15"/>
      <c r="C163" s="15"/>
      <c r="D163" s="15"/>
      <c r="E163" s="15"/>
      <c r="F163" s="15"/>
      <c r="G163" s="15"/>
      <c r="H163" s="16"/>
      <c r="I163" s="16"/>
      <c r="J163" s="16"/>
      <c r="K163" s="16"/>
      <c r="L163" s="16"/>
      <c r="M163" s="16"/>
      <c r="N163" s="16"/>
      <c r="O163" s="16"/>
      <c r="P163" s="16"/>
      <c r="Q163" s="16"/>
      <c r="R163" s="16"/>
      <c r="S163" s="16"/>
      <c r="T163" s="16"/>
      <c r="U163" s="16"/>
      <c r="V163" s="16"/>
      <c r="W163" s="15"/>
      <c r="X163" s="15"/>
      <c r="Y163" s="15"/>
      <c r="Z163" s="15"/>
    </row>
    <row r="164" customHeight="1" spans="1:26">
      <c r="A164" s="17"/>
      <c r="B164" s="15"/>
      <c r="C164" s="15"/>
      <c r="D164" s="15"/>
      <c r="E164" s="15"/>
      <c r="F164" s="15"/>
      <c r="G164" s="15"/>
      <c r="H164" s="16"/>
      <c r="I164" s="16"/>
      <c r="J164" s="16"/>
      <c r="K164" s="16"/>
      <c r="L164" s="16"/>
      <c r="M164" s="16"/>
      <c r="N164" s="16"/>
      <c r="O164" s="16"/>
      <c r="P164" s="16"/>
      <c r="Q164" s="16"/>
      <c r="R164" s="16"/>
      <c r="S164" s="16"/>
      <c r="T164" s="16"/>
      <c r="U164" s="16"/>
      <c r="V164" s="16"/>
      <c r="W164" s="15"/>
      <c r="X164" s="15"/>
      <c r="Y164" s="15"/>
      <c r="Z164" s="15"/>
    </row>
    <row r="165" customHeight="1" spans="1:26">
      <c r="A165" s="17"/>
      <c r="B165" s="15"/>
      <c r="C165" s="15"/>
      <c r="D165" s="15"/>
      <c r="E165" s="15"/>
      <c r="F165" s="15"/>
      <c r="G165" s="15"/>
      <c r="H165" s="16"/>
      <c r="I165" s="16"/>
      <c r="J165" s="16"/>
      <c r="K165" s="16"/>
      <c r="L165" s="16"/>
      <c r="M165" s="16"/>
      <c r="N165" s="16"/>
      <c r="O165" s="16"/>
      <c r="P165" s="16"/>
      <c r="Q165" s="16"/>
      <c r="R165" s="16"/>
      <c r="S165" s="16"/>
      <c r="T165" s="16"/>
      <c r="U165" s="16"/>
      <c r="V165" s="16"/>
      <c r="W165" s="15"/>
      <c r="X165" s="15"/>
      <c r="Y165" s="15"/>
      <c r="Z165" s="15"/>
    </row>
    <row r="166" customHeight="1" spans="1:26">
      <c r="A166" s="17"/>
      <c r="B166" s="15"/>
      <c r="C166" s="15"/>
      <c r="D166" s="15"/>
      <c r="E166" s="15"/>
      <c r="F166" s="15"/>
      <c r="G166" s="15"/>
      <c r="H166" s="16"/>
      <c r="I166" s="16"/>
      <c r="J166" s="16"/>
      <c r="K166" s="16"/>
      <c r="L166" s="16"/>
      <c r="M166" s="16"/>
      <c r="N166" s="16"/>
      <c r="O166" s="16"/>
      <c r="P166" s="16"/>
      <c r="Q166" s="16"/>
      <c r="R166" s="16"/>
      <c r="S166" s="16"/>
      <c r="T166" s="16"/>
      <c r="U166" s="16"/>
      <c r="V166" s="16"/>
      <c r="W166" s="15"/>
      <c r="X166" s="15"/>
      <c r="Y166" s="15"/>
      <c r="Z166" s="15"/>
    </row>
    <row r="167" customHeight="1" spans="1:26">
      <c r="A167" s="17"/>
      <c r="B167" s="15"/>
      <c r="C167" s="15"/>
      <c r="D167" s="15"/>
      <c r="E167" s="15"/>
      <c r="F167" s="15"/>
      <c r="G167" s="15"/>
      <c r="H167" s="16"/>
      <c r="I167" s="16"/>
      <c r="J167" s="16"/>
      <c r="K167" s="16"/>
      <c r="L167" s="16"/>
      <c r="M167" s="16"/>
      <c r="N167" s="16"/>
      <c r="O167" s="16"/>
      <c r="P167" s="16"/>
      <c r="Q167" s="16"/>
      <c r="R167" s="16"/>
      <c r="S167" s="16"/>
      <c r="T167" s="16"/>
      <c r="U167" s="16"/>
      <c r="V167" s="16"/>
      <c r="W167" s="15"/>
      <c r="X167" s="15"/>
      <c r="Y167" s="15"/>
      <c r="Z167" s="15"/>
    </row>
    <row r="168" customHeight="1" spans="1:26">
      <c r="A168" s="17"/>
      <c r="B168" s="15"/>
      <c r="C168" s="15"/>
      <c r="D168" s="15"/>
      <c r="E168" s="15"/>
      <c r="F168" s="15"/>
      <c r="G168" s="15"/>
      <c r="H168" s="16"/>
      <c r="I168" s="16"/>
      <c r="J168" s="16"/>
      <c r="K168" s="16"/>
      <c r="L168" s="16"/>
      <c r="M168" s="16"/>
      <c r="N168" s="16"/>
      <c r="O168" s="16"/>
      <c r="P168" s="16"/>
      <c r="Q168" s="16"/>
      <c r="R168" s="16"/>
      <c r="S168" s="16"/>
      <c r="T168" s="16"/>
      <c r="U168" s="16"/>
      <c r="V168" s="16"/>
      <c r="W168" s="15"/>
      <c r="X168" s="15"/>
      <c r="Y168" s="15"/>
      <c r="Z168" s="15"/>
    </row>
    <row r="169" customHeight="1" spans="1:26">
      <c r="A169" s="17"/>
      <c r="B169" s="15"/>
      <c r="C169" s="15"/>
      <c r="D169" s="15"/>
      <c r="E169" s="15"/>
      <c r="F169" s="15"/>
      <c r="G169" s="15"/>
      <c r="H169" s="16"/>
      <c r="I169" s="16"/>
      <c r="J169" s="16"/>
      <c r="K169" s="16"/>
      <c r="L169" s="16"/>
      <c r="M169" s="16"/>
      <c r="N169" s="16"/>
      <c r="O169" s="16"/>
      <c r="P169" s="16"/>
      <c r="Q169" s="16"/>
      <c r="R169" s="16"/>
      <c r="S169" s="16"/>
      <c r="T169" s="16"/>
      <c r="U169" s="16"/>
      <c r="V169" s="16"/>
      <c r="W169" s="15"/>
      <c r="X169" s="15"/>
      <c r="Y169" s="15"/>
      <c r="Z169" s="15"/>
    </row>
    <row r="170" customHeight="1" spans="1:26">
      <c r="A170" s="17"/>
      <c r="B170" s="15"/>
      <c r="C170" s="15"/>
      <c r="D170" s="15"/>
      <c r="E170" s="15"/>
      <c r="F170" s="15"/>
      <c r="G170" s="15"/>
      <c r="H170" s="16"/>
      <c r="I170" s="16"/>
      <c r="J170" s="16"/>
      <c r="K170" s="16"/>
      <c r="L170" s="16"/>
      <c r="M170" s="16"/>
      <c r="N170" s="16"/>
      <c r="O170" s="16"/>
      <c r="P170" s="16"/>
      <c r="Q170" s="16"/>
      <c r="R170" s="16"/>
      <c r="S170" s="16"/>
      <c r="T170" s="16"/>
      <c r="U170" s="16"/>
      <c r="V170" s="16"/>
      <c r="W170" s="15"/>
      <c r="X170" s="15"/>
      <c r="Y170" s="15"/>
      <c r="Z170" s="15"/>
    </row>
    <row r="171" customHeight="1" spans="1:26">
      <c r="A171" s="17"/>
      <c r="B171" s="15"/>
      <c r="C171" s="15"/>
      <c r="D171" s="15"/>
      <c r="E171" s="15"/>
      <c r="F171" s="15"/>
      <c r="G171" s="15"/>
      <c r="H171" s="16"/>
      <c r="I171" s="16"/>
      <c r="J171" s="16"/>
      <c r="K171" s="16"/>
      <c r="L171" s="16"/>
      <c r="M171" s="16"/>
      <c r="N171" s="16"/>
      <c r="O171" s="16"/>
      <c r="P171" s="16"/>
      <c r="Q171" s="16"/>
      <c r="R171" s="16"/>
      <c r="S171" s="16"/>
      <c r="T171" s="16"/>
      <c r="U171" s="16"/>
      <c r="V171" s="16"/>
      <c r="W171" s="15"/>
      <c r="X171" s="15"/>
      <c r="Y171" s="15"/>
      <c r="Z171" s="15"/>
    </row>
    <row r="172" customHeight="1" spans="1:26">
      <c r="A172" s="17"/>
      <c r="B172" s="15"/>
      <c r="C172" s="15"/>
      <c r="D172" s="15"/>
      <c r="E172" s="15"/>
      <c r="F172" s="15"/>
      <c r="G172" s="15"/>
      <c r="H172" s="16"/>
      <c r="I172" s="16"/>
      <c r="J172" s="16"/>
      <c r="K172" s="16"/>
      <c r="L172" s="16"/>
      <c r="M172" s="16"/>
      <c r="N172" s="16"/>
      <c r="O172" s="16"/>
      <c r="P172" s="16"/>
      <c r="Q172" s="16"/>
      <c r="R172" s="16"/>
      <c r="S172" s="16"/>
      <c r="T172" s="16"/>
      <c r="U172" s="16"/>
      <c r="V172" s="16"/>
      <c r="W172" s="15"/>
      <c r="X172" s="15"/>
      <c r="Y172" s="15"/>
      <c r="Z172" s="15"/>
    </row>
    <row r="173" customHeight="1" spans="1:26">
      <c r="A173" s="17"/>
      <c r="B173" s="15"/>
      <c r="C173" s="15"/>
      <c r="D173" s="15"/>
      <c r="E173" s="15"/>
      <c r="F173" s="15"/>
      <c r="G173" s="15"/>
      <c r="H173" s="16"/>
      <c r="I173" s="16"/>
      <c r="J173" s="16"/>
      <c r="K173" s="16"/>
      <c r="L173" s="16"/>
      <c r="M173" s="16"/>
      <c r="N173" s="16"/>
      <c r="O173" s="16"/>
      <c r="P173" s="16"/>
      <c r="Q173" s="16"/>
      <c r="R173" s="16"/>
      <c r="S173" s="16"/>
      <c r="T173" s="16"/>
      <c r="U173" s="16"/>
      <c r="V173" s="16"/>
      <c r="W173" s="15"/>
      <c r="X173" s="15"/>
      <c r="Y173" s="15"/>
      <c r="Z173" s="15"/>
    </row>
    <row r="174" customHeight="1" spans="1:26">
      <c r="A174" s="17"/>
      <c r="B174" s="15"/>
      <c r="C174" s="15"/>
      <c r="D174" s="15"/>
      <c r="E174" s="15"/>
      <c r="F174" s="15"/>
      <c r="G174" s="15"/>
      <c r="H174" s="16"/>
      <c r="I174" s="16"/>
      <c r="J174" s="16"/>
      <c r="K174" s="16"/>
      <c r="L174" s="16"/>
      <c r="M174" s="16"/>
      <c r="N174" s="16"/>
      <c r="O174" s="16"/>
      <c r="P174" s="16"/>
      <c r="Q174" s="16"/>
      <c r="R174" s="16"/>
      <c r="S174" s="16"/>
      <c r="T174" s="16"/>
      <c r="U174" s="16"/>
      <c r="V174" s="16"/>
      <c r="W174" s="15"/>
      <c r="X174" s="15"/>
      <c r="Y174" s="15"/>
      <c r="Z174" s="15"/>
    </row>
    <row r="175" customHeight="1" spans="1:26">
      <c r="A175" s="17"/>
      <c r="B175" s="15"/>
      <c r="C175" s="15"/>
      <c r="D175" s="15"/>
      <c r="E175" s="15"/>
      <c r="F175" s="15"/>
      <c r="G175" s="15"/>
      <c r="H175" s="16"/>
      <c r="I175" s="16"/>
      <c r="J175" s="16"/>
      <c r="K175" s="16"/>
      <c r="L175" s="16"/>
      <c r="M175" s="16"/>
      <c r="N175" s="16"/>
      <c r="O175" s="16"/>
      <c r="P175" s="16"/>
      <c r="Q175" s="16"/>
      <c r="R175" s="16"/>
      <c r="S175" s="16"/>
      <c r="T175" s="16"/>
      <c r="U175" s="16"/>
      <c r="V175" s="16"/>
      <c r="W175" s="15"/>
      <c r="X175" s="15"/>
      <c r="Y175" s="15"/>
      <c r="Z175" s="15"/>
    </row>
    <row r="176" customHeight="1" spans="1:26">
      <c r="A176" s="17"/>
      <c r="B176" s="15"/>
      <c r="C176" s="15"/>
      <c r="D176" s="15"/>
      <c r="E176" s="15"/>
      <c r="F176" s="15"/>
      <c r="G176" s="15"/>
      <c r="H176" s="16"/>
      <c r="I176" s="16"/>
      <c r="J176" s="16"/>
      <c r="K176" s="16"/>
      <c r="L176" s="16"/>
      <c r="M176" s="16"/>
      <c r="N176" s="16"/>
      <c r="O176" s="16"/>
      <c r="P176" s="16"/>
      <c r="Q176" s="16"/>
      <c r="R176" s="16"/>
      <c r="S176" s="16"/>
      <c r="T176" s="16"/>
      <c r="U176" s="16"/>
      <c r="V176" s="16"/>
      <c r="W176" s="15"/>
      <c r="X176" s="15"/>
      <c r="Y176" s="15"/>
      <c r="Z176" s="15"/>
    </row>
    <row r="177" customHeight="1" spans="1:26">
      <c r="A177" s="17"/>
      <c r="B177" s="15"/>
      <c r="C177" s="15"/>
      <c r="D177" s="15"/>
      <c r="E177" s="15"/>
      <c r="F177" s="15"/>
      <c r="G177" s="15"/>
      <c r="H177" s="16"/>
      <c r="I177" s="16"/>
      <c r="J177" s="16"/>
      <c r="K177" s="16"/>
      <c r="L177" s="16"/>
      <c r="M177" s="16"/>
      <c r="N177" s="16"/>
      <c r="O177" s="16"/>
      <c r="P177" s="16"/>
      <c r="Q177" s="16"/>
      <c r="R177" s="16"/>
      <c r="S177" s="16"/>
      <c r="T177" s="16"/>
      <c r="U177" s="16"/>
      <c r="V177" s="16"/>
      <c r="W177" s="15"/>
      <c r="X177" s="15"/>
      <c r="Y177" s="15"/>
      <c r="Z177" s="15"/>
    </row>
    <row r="178" customHeight="1" spans="1:26">
      <c r="A178" s="17"/>
      <c r="B178" s="15"/>
      <c r="C178" s="15"/>
      <c r="D178" s="15"/>
      <c r="E178" s="15"/>
      <c r="F178" s="15"/>
      <c r="G178" s="15"/>
      <c r="H178" s="16"/>
      <c r="I178" s="16"/>
      <c r="J178" s="16"/>
      <c r="K178" s="16"/>
      <c r="L178" s="16"/>
      <c r="M178" s="16"/>
      <c r="N178" s="16"/>
      <c r="O178" s="16"/>
      <c r="P178" s="16"/>
      <c r="Q178" s="16"/>
      <c r="R178" s="16"/>
      <c r="S178" s="16"/>
      <c r="T178" s="16"/>
      <c r="U178" s="16"/>
      <c r="V178" s="16"/>
      <c r="W178" s="15"/>
      <c r="X178" s="15"/>
      <c r="Y178" s="15"/>
      <c r="Z178" s="15"/>
    </row>
    <row r="179" customHeight="1" spans="1:26">
      <c r="A179" s="17"/>
      <c r="B179" s="15"/>
      <c r="C179" s="15"/>
      <c r="D179" s="15"/>
      <c r="E179" s="15"/>
      <c r="F179" s="15"/>
      <c r="G179" s="15"/>
      <c r="H179" s="16"/>
      <c r="I179" s="16"/>
      <c r="J179" s="16"/>
      <c r="K179" s="16"/>
      <c r="L179" s="16"/>
      <c r="M179" s="16"/>
      <c r="N179" s="16"/>
      <c r="O179" s="16"/>
      <c r="P179" s="16"/>
      <c r="Q179" s="16"/>
      <c r="R179" s="16"/>
      <c r="S179" s="16"/>
      <c r="T179" s="16"/>
      <c r="U179" s="16"/>
      <c r="V179" s="16"/>
      <c r="W179" s="15"/>
      <c r="X179" s="15"/>
      <c r="Y179" s="15"/>
      <c r="Z179" s="15"/>
    </row>
    <row r="180" customHeight="1" spans="1:26">
      <c r="A180" s="17"/>
      <c r="B180" s="15"/>
      <c r="C180" s="15"/>
      <c r="D180" s="15"/>
      <c r="E180" s="15"/>
      <c r="F180" s="15"/>
      <c r="G180" s="15"/>
      <c r="H180" s="16"/>
      <c r="I180" s="16"/>
      <c r="J180" s="16"/>
      <c r="K180" s="16"/>
      <c r="L180" s="16"/>
      <c r="M180" s="16"/>
      <c r="N180" s="16"/>
      <c r="O180" s="16"/>
      <c r="P180" s="16"/>
      <c r="Q180" s="16"/>
      <c r="R180" s="16"/>
      <c r="S180" s="16"/>
      <c r="T180" s="16"/>
      <c r="U180" s="16"/>
      <c r="V180" s="16"/>
      <c r="W180" s="15"/>
      <c r="X180" s="15"/>
      <c r="Y180" s="15"/>
      <c r="Z180" s="15"/>
    </row>
    <row r="181" customHeight="1" spans="1:26">
      <c r="A181" s="17"/>
      <c r="B181" s="15"/>
      <c r="C181" s="15"/>
      <c r="D181" s="15"/>
      <c r="E181" s="15"/>
      <c r="F181" s="15"/>
      <c r="G181" s="15"/>
      <c r="H181" s="16"/>
      <c r="I181" s="16"/>
      <c r="J181" s="16"/>
      <c r="K181" s="16"/>
      <c r="L181" s="16"/>
      <c r="M181" s="16"/>
      <c r="N181" s="16"/>
      <c r="O181" s="16"/>
      <c r="P181" s="16"/>
      <c r="Q181" s="16"/>
      <c r="R181" s="16"/>
      <c r="S181" s="16"/>
      <c r="T181" s="16"/>
      <c r="U181" s="16"/>
      <c r="V181" s="16"/>
      <c r="W181" s="15"/>
      <c r="X181" s="15"/>
      <c r="Y181" s="15"/>
      <c r="Z181" s="15"/>
    </row>
    <row r="182" customHeight="1" spans="1:26">
      <c r="A182" s="17"/>
      <c r="B182" s="15"/>
      <c r="C182" s="15"/>
      <c r="D182" s="15"/>
      <c r="E182" s="15"/>
      <c r="F182" s="15"/>
      <c r="G182" s="15"/>
      <c r="H182" s="16"/>
      <c r="I182" s="16"/>
      <c r="J182" s="16"/>
      <c r="K182" s="16"/>
      <c r="L182" s="16"/>
      <c r="M182" s="16"/>
      <c r="N182" s="16"/>
      <c r="O182" s="16"/>
      <c r="P182" s="16"/>
      <c r="Q182" s="16"/>
      <c r="R182" s="16"/>
      <c r="S182" s="16"/>
      <c r="T182" s="16"/>
      <c r="U182" s="16"/>
      <c r="V182" s="16"/>
      <c r="W182" s="15"/>
      <c r="X182" s="15"/>
      <c r="Y182" s="15"/>
      <c r="Z182" s="15"/>
    </row>
    <row r="183" customHeight="1" spans="1:26">
      <c r="A183" s="17"/>
      <c r="B183" s="15"/>
      <c r="C183" s="15"/>
      <c r="D183" s="15"/>
      <c r="E183" s="15"/>
      <c r="F183" s="15"/>
      <c r="G183" s="15"/>
      <c r="H183" s="16"/>
      <c r="I183" s="16"/>
      <c r="J183" s="16"/>
      <c r="K183" s="16"/>
      <c r="L183" s="16"/>
      <c r="M183" s="16"/>
      <c r="N183" s="16"/>
      <c r="O183" s="16"/>
      <c r="P183" s="16"/>
      <c r="Q183" s="16"/>
      <c r="R183" s="16"/>
      <c r="S183" s="16"/>
      <c r="T183" s="16"/>
      <c r="U183" s="16"/>
      <c r="V183" s="16"/>
      <c r="W183" s="15"/>
      <c r="X183" s="15"/>
      <c r="Y183" s="15"/>
      <c r="Z183" s="15"/>
    </row>
    <row r="184" customHeight="1" spans="1:26">
      <c r="A184" s="17"/>
      <c r="B184" s="15"/>
      <c r="C184" s="15"/>
      <c r="D184" s="15"/>
      <c r="E184" s="15"/>
      <c r="F184" s="15"/>
      <c r="G184" s="15"/>
      <c r="H184" s="16"/>
      <c r="I184" s="16"/>
      <c r="J184" s="16"/>
      <c r="K184" s="16"/>
      <c r="L184" s="16"/>
      <c r="M184" s="16"/>
      <c r="N184" s="16"/>
      <c r="O184" s="16"/>
      <c r="P184" s="16"/>
      <c r="Q184" s="16"/>
      <c r="R184" s="16"/>
      <c r="S184" s="16"/>
      <c r="T184" s="16"/>
      <c r="U184" s="16"/>
      <c r="V184" s="16"/>
      <c r="W184" s="15"/>
      <c r="X184" s="15"/>
      <c r="Y184" s="15"/>
      <c r="Z184" s="15"/>
    </row>
    <row r="185" customHeight="1" spans="1:26">
      <c r="A185" s="17"/>
      <c r="B185" s="15"/>
      <c r="C185" s="15"/>
      <c r="D185" s="15"/>
      <c r="E185" s="15"/>
      <c r="F185" s="15"/>
      <c r="G185" s="15"/>
      <c r="H185" s="16"/>
      <c r="I185" s="16"/>
      <c r="J185" s="16"/>
      <c r="K185" s="16"/>
      <c r="L185" s="16"/>
      <c r="M185" s="16"/>
      <c r="N185" s="16"/>
      <c r="O185" s="16"/>
      <c r="P185" s="16"/>
      <c r="Q185" s="16"/>
      <c r="R185" s="16"/>
      <c r="S185" s="16"/>
      <c r="T185" s="16"/>
      <c r="U185" s="16"/>
      <c r="V185" s="16"/>
      <c r="W185" s="15"/>
      <c r="X185" s="15"/>
      <c r="Y185" s="15"/>
      <c r="Z185" s="15"/>
    </row>
    <row r="186" customHeight="1" spans="1:26">
      <c r="A186" s="17"/>
      <c r="B186" s="15"/>
      <c r="C186" s="15"/>
      <c r="D186" s="15"/>
      <c r="E186" s="15"/>
      <c r="F186" s="15"/>
      <c r="G186" s="15"/>
      <c r="H186" s="16"/>
      <c r="I186" s="16"/>
      <c r="J186" s="16"/>
      <c r="K186" s="16"/>
      <c r="L186" s="16"/>
      <c r="M186" s="16"/>
      <c r="N186" s="16"/>
      <c r="O186" s="16"/>
      <c r="P186" s="16"/>
      <c r="Q186" s="16"/>
      <c r="R186" s="16"/>
      <c r="S186" s="16"/>
      <c r="T186" s="16"/>
      <c r="U186" s="16"/>
      <c r="V186" s="16"/>
      <c r="W186" s="15"/>
      <c r="X186" s="15"/>
      <c r="Y186" s="15"/>
      <c r="Z186" s="15"/>
    </row>
    <row r="187" customHeight="1" spans="1:26">
      <c r="A187" s="17"/>
      <c r="B187" s="15"/>
      <c r="C187" s="15"/>
      <c r="D187" s="15"/>
      <c r="E187" s="15"/>
      <c r="F187" s="15"/>
      <c r="G187" s="15"/>
      <c r="H187" s="16"/>
      <c r="I187" s="16"/>
      <c r="J187" s="16"/>
      <c r="K187" s="16"/>
      <c r="L187" s="16"/>
      <c r="M187" s="16"/>
      <c r="N187" s="16"/>
      <c r="O187" s="16"/>
      <c r="P187" s="16"/>
      <c r="Q187" s="16"/>
      <c r="R187" s="16"/>
      <c r="S187" s="16"/>
      <c r="T187" s="16"/>
      <c r="U187" s="16"/>
      <c r="V187" s="16"/>
      <c r="W187" s="15"/>
      <c r="X187" s="15"/>
      <c r="Y187" s="15"/>
      <c r="Z187" s="15"/>
    </row>
    <row r="188" customHeight="1" spans="1:26">
      <c r="A188" s="17"/>
      <c r="B188" s="15"/>
      <c r="C188" s="15"/>
      <c r="D188" s="15"/>
      <c r="E188" s="15"/>
      <c r="F188" s="15"/>
      <c r="G188" s="15"/>
      <c r="H188" s="16"/>
      <c r="I188" s="16"/>
      <c r="J188" s="16"/>
      <c r="K188" s="16"/>
      <c r="L188" s="16"/>
      <c r="M188" s="16"/>
      <c r="N188" s="16"/>
      <c r="O188" s="16"/>
      <c r="P188" s="16"/>
      <c r="Q188" s="16"/>
      <c r="R188" s="16"/>
      <c r="S188" s="16"/>
      <c r="T188" s="16"/>
      <c r="U188" s="16"/>
      <c r="V188" s="16"/>
      <c r="W188" s="15"/>
      <c r="X188" s="15"/>
      <c r="Y188" s="15"/>
      <c r="Z188" s="15"/>
    </row>
    <row r="189" customHeight="1" spans="1:26">
      <c r="A189" s="17"/>
      <c r="B189" s="15"/>
      <c r="C189" s="15"/>
      <c r="D189" s="15"/>
      <c r="E189" s="15"/>
      <c r="F189" s="15"/>
      <c r="G189" s="15"/>
      <c r="H189" s="16"/>
      <c r="I189" s="16"/>
      <c r="J189" s="16"/>
      <c r="K189" s="16"/>
      <c r="L189" s="16"/>
      <c r="M189" s="16"/>
      <c r="N189" s="16"/>
      <c r="O189" s="16"/>
      <c r="P189" s="16"/>
      <c r="Q189" s="16"/>
      <c r="R189" s="16"/>
      <c r="S189" s="16"/>
      <c r="T189" s="16"/>
      <c r="U189" s="16"/>
      <c r="V189" s="16"/>
      <c r="W189" s="15"/>
      <c r="X189" s="15"/>
      <c r="Y189" s="15"/>
      <c r="Z189" s="15"/>
    </row>
    <row r="190" customHeight="1" spans="1:26">
      <c r="A190" s="17"/>
      <c r="B190" s="15"/>
      <c r="C190" s="15"/>
      <c r="D190" s="15"/>
      <c r="E190" s="15"/>
      <c r="F190" s="15"/>
      <c r="G190" s="15"/>
      <c r="H190" s="16"/>
      <c r="I190" s="16"/>
      <c r="J190" s="16"/>
      <c r="K190" s="16"/>
      <c r="L190" s="16"/>
      <c r="M190" s="16"/>
      <c r="N190" s="16"/>
      <c r="O190" s="16"/>
      <c r="P190" s="16"/>
      <c r="Q190" s="16"/>
      <c r="R190" s="16"/>
      <c r="S190" s="16"/>
      <c r="T190" s="16"/>
      <c r="U190" s="16"/>
      <c r="V190" s="16"/>
      <c r="W190" s="15"/>
      <c r="X190" s="15"/>
      <c r="Y190" s="15"/>
      <c r="Z190" s="15"/>
    </row>
    <row r="191" customHeight="1" spans="1:26">
      <c r="A191" s="17"/>
      <c r="B191" s="15"/>
      <c r="C191" s="15"/>
      <c r="D191" s="15"/>
      <c r="E191" s="15"/>
      <c r="F191" s="15"/>
      <c r="G191" s="15"/>
      <c r="H191" s="16"/>
      <c r="I191" s="16"/>
      <c r="J191" s="16"/>
      <c r="K191" s="16"/>
      <c r="L191" s="16"/>
      <c r="M191" s="16"/>
      <c r="N191" s="16"/>
      <c r="O191" s="16"/>
      <c r="P191" s="16"/>
      <c r="Q191" s="16"/>
      <c r="R191" s="16"/>
      <c r="S191" s="16"/>
      <c r="T191" s="16"/>
      <c r="U191" s="16"/>
      <c r="V191" s="16"/>
      <c r="W191" s="15"/>
      <c r="X191" s="15"/>
      <c r="Y191" s="15"/>
      <c r="Z191" s="15"/>
    </row>
    <row r="192" customHeight="1" spans="1:26">
      <c r="A192" s="17"/>
      <c r="B192" s="15"/>
      <c r="C192" s="15"/>
      <c r="D192" s="15"/>
      <c r="E192" s="15"/>
      <c r="F192" s="15"/>
      <c r="G192" s="15"/>
      <c r="H192" s="16"/>
      <c r="I192" s="16"/>
      <c r="J192" s="16"/>
      <c r="K192" s="16"/>
      <c r="L192" s="16"/>
      <c r="M192" s="16"/>
      <c r="N192" s="16"/>
      <c r="O192" s="16"/>
      <c r="P192" s="16"/>
      <c r="Q192" s="16"/>
      <c r="R192" s="16"/>
      <c r="S192" s="16"/>
      <c r="T192" s="16"/>
      <c r="U192" s="16"/>
      <c r="V192" s="16"/>
      <c r="W192" s="15"/>
      <c r="X192" s="15"/>
      <c r="Y192" s="15"/>
      <c r="Z192" s="15"/>
    </row>
    <row r="193" customHeight="1" spans="1:26">
      <c r="A193" s="17"/>
      <c r="B193" s="15"/>
      <c r="C193" s="15"/>
      <c r="D193" s="15"/>
      <c r="E193" s="15"/>
      <c r="F193" s="15"/>
      <c r="G193" s="15"/>
      <c r="H193" s="16"/>
      <c r="I193" s="16"/>
      <c r="J193" s="16"/>
      <c r="K193" s="16"/>
      <c r="L193" s="16"/>
      <c r="M193" s="16"/>
      <c r="N193" s="16"/>
      <c r="O193" s="16"/>
      <c r="P193" s="16"/>
      <c r="Q193" s="16"/>
      <c r="R193" s="16"/>
      <c r="S193" s="16"/>
      <c r="T193" s="16"/>
      <c r="U193" s="16"/>
      <c r="V193" s="16"/>
      <c r="W193" s="15"/>
      <c r="X193" s="15"/>
      <c r="Y193" s="15"/>
      <c r="Z193" s="15"/>
    </row>
    <row r="194" customHeight="1" spans="1:26">
      <c r="A194" s="17"/>
      <c r="B194" s="15"/>
      <c r="C194" s="15"/>
      <c r="D194" s="15"/>
      <c r="E194" s="15"/>
      <c r="F194" s="15"/>
      <c r="G194" s="15"/>
      <c r="H194" s="16"/>
      <c r="I194" s="16"/>
      <c r="J194" s="16"/>
      <c r="K194" s="16"/>
      <c r="L194" s="16"/>
      <c r="M194" s="16"/>
      <c r="N194" s="16"/>
      <c r="O194" s="16"/>
      <c r="P194" s="16"/>
      <c r="Q194" s="16"/>
      <c r="R194" s="16"/>
      <c r="S194" s="16"/>
      <c r="T194" s="16"/>
      <c r="U194" s="16"/>
      <c r="V194" s="16"/>
      <c r="W194" s="15"/>
      <c r="X194" s="15"/>
      <c r="Y194" s="15"/>
      <c r="Z194" s="15"/>
    </row>
    <row r="195" customHeight="1" spans="1:26">
      <c r="A195" s="17"/>
      <c r="B195" s="15"/>
      <c r="C195" s="15"/>
      <c r="D195" s="15"/>
      <c r="E195" s="15"/>
      <c r="F195" s="15"/>
      <c r="G195" s="15"/>
      <c r="H195" s="16"/>
      <c r="I195" s="16"/>
      <c r="J195" s="16"/>
      <c r="K195" s="16"/>
      <c r="L195" s="16"/>
      <c r="M195" s="16"/>
      <c r="N195" s="16"/>
      <c r="O195" s="16"/>
      <c r="P195" s="16"/>
      <c r="Q195" s="16"/>
      <c r="R195" s="16"/>
      <c r="S195" s="16"/>
      <c r="T195" s="16"/>
      <c r="U195" s="16"/>
      <c r="V195" s="16"/>
      <c r="W195" s="15"/>
      <c r="X195" s="15"/>
      <c r="Y195" s="15"/>
      <c r="Z195" s="15"/>
    </row>
    <row r="196" customHeight="1" spans="1:26">
      <c r="A196" s="17"/>
      <c r="B196" s="15"/>
      <c r="C196" s="15"/>
      <c r="D196" s="15"/>
      <c r="E196" s="15"/>
      <c r="F196" s="15"/>
      <c r="G196" s="15"/>
      <c r="H196" s="16"/>
      <c r="I196" s="16"/>
      <c r="J196" s="16"/>
      <c r="K196" s="16"/>
      <c r="L196" s="16"/>
      <c r="M196" s="16"/>
      <c r="N196" s="16"/>
      <c r="O196" s="16"/>
      <c r="P196" s="16"/>
      <c r="Q196" s="16"/>
      <c r="R196" s="16"/>
      <c r="S196" s="16"/>
      <c r="T196" s="16"/>
      <c r="U196" s="16"/>
      <c r="V196" s="16"/>
      <c r="W196" s="15"/>
      <c r="X196" s="15"/>
      <c r="Y196" s="15"/>
      <c r="Z196" s="15"/>
    </row>
    <row r="197" customHeight="1" spans="1:26">
      <c r="A197" s="17"/>
      <c r="B197" s="15"/>
      <c r="C197" s="15"/>
      <c r="D197" s="15"/>
      <c r="E197" s="15"/>
      <c r="F197" s="15"/>
      <c r="G197" s="15"/>
      <c r="H197" s="16"/>
      <c r="I197" s="16"/>
      <c r="J197" s="16"/>
      <c r="K197" s="16"/>
      <c r="L197" s="16"/>
      <c r="M197" s="16"/>
      <c r="N197" s="16"/>
      <c r="O197" s="16"/>
      <c r="P197" s="16"/>
      <c r="Q197" s="16"/>
      <c r="R197" s="16"/>
      <c r="S197" s="16"/>
      <c r="T197" s="16"/>
      <c r="U197" s="16"/>
      <c r="V197" s="16"/>
      <c r="W197" s="15"/>
      <c r="X197" s="15"/>
      <c r="Y197" s="15"/>
      <c r="Z197" s="15"/>
    </row>
    <row r="198" customHeight="1" spans="1:26">
      <c r="A198" s="17"/>
      <c r="B198" s="15"/>
      <c r="C198" s="15"/>
      <c r="D198" s="15"/>
      <c r="E198" s="15"/>
      <c r="F198" s="15"/>
      <c r="G198" s="15"/>
      <c r="H198" s="16"/>
      <c r="I198" s="16"/>
      <c r="J198" s="16"/>
      <c r="K198" s="16"/>
      <c r="L198" s="16"/>
      <c r="M198" s="16"/>
      <c r="N198" s="16"/>
      <c r="O198" s="16"/>
      <c r="P198" s="16"/>
      <c r="Q198" s="16"/>
      <c r="R198" s="16"/>
      <c r="S198" s="16"/>
      <c r="T198" s="16"/>
      <c r="U198" s="16"/>
      <c r="V198" s="16"/>
      <c r="W198" s="15"/>
      <c r="X198" s="15"/>
      <c r="Y198" s="15"/>
      <c r="Z198" s="15"/>
    </row>
    <row r="199" customHeight="1" spans="1:26">
      <c r="A199" s="17"/>
      <c r="B199" s="15"/>
      <c r="C199" s="15"/>
      <c r="D199" s="15"/>
      <c r="E199" s="15"/>
      <c r="F199" s="15"/>
      <c r="G199" s="15"/>
      <c r="H199" s="16"/>
      <c r="I199" s="16"/>
      <c r="J199" s="16"/>
      <c r="K199" s="16"/>
      <c r="L199" s="16"/>
      <c r="M199" s="16"/>
      <c r="N199" s="16"/>
      <c r="O199" s="16"/>
      <c r="P199" s="16"/>
      <c r="Q199" s="16"/>
      <c r="R199" s="16"/>
      <c r="S199" s="16"/>
      <c r="T199" s="16"/>
      <c r="U199" s="16"/>
      <c r="V199" s="16"/>
      <c r="W199" s="15"/>
      <c r="X199" s="15"/>
      <c r="Y199" s="15"/>
      <c r="Z199" s="15"/>
    </row>
    <row r="200" customHeight="1" spans="1:26">
      <c r="A200" s="17"/>
      <c r="B200" s="15"/>
      <c r="C200" s="15"/>
      <c r="D200" s="15"/>
      <c r="E200" s="15"/>
      <c r="F200" s="15"/>
      <c r="G200" s="15"/>
      <c r="H200" s="16"/>
      <c r="I200" s="16"/>
      <c r="J200" s="16"/>
      <c r="K200" s="16"/>
      <c r="L200" s="16"/>
      <c r="M200" s="16"/>
      <c r="N200" s="16"/>
      <c r="O200" s="16"/>
      <c r="P200" s="16"/>
      <c r="Q200" s="16"/>
      <c r="R200" s="16"/>
      <c r="S200" s="16"/>
      <c r="T200" s="16"/>
      <c r="U200" s="16"/>
      <c r="V200" s="16"/>
      <c r="W200" s="15"/>
      <c r="X200" s="15"/>
      <c r="Y200" s="15"/>
      <c r="Z200" s="15"/>
    </row>
    <row r="201" customHeight="1" spans="1:26">
      <c r="A201" s="17"/>
      <c r="B201" s="15"/>
      <c r="C201" s="15"/>
      <c r="D201" s="15"/>
      <c r="E201" s="15"/>
      <c r="F201" s="15"/>
      <c r="G201" s="15"/>
      <c r="H201" s="16"/>
      <c r="I201" s="16"/>
      <c r="J201" s="16"/>
      <c r="K201" s="16"/>
      <c r="L201" s="16"/>
      <c r="M201" s="16"/>
      <c r="N201" s="16"/>
      <c r="O201" s="16"/>
      <c r="P201" s="16"/>
      <c r="Q201" s="16"/>
      <c r="R201" s="16"/>
      <c r="S201" s="16"/>
      <c r="T201" s="16"/>
      <c r="U201" s="16"/>
      <c r="V201" s="16"/>
      <c r="W201" s="15"/>
      <c r="X201" s="15"/>
      <c r="Y201" s="15"/>
      <c r="Z201" s="15"/>
    </row>
    <row r="202" customHeight="1" spans="1:26">
      <c r="A202" s="17"/>
      <c r="B202" s="15"/>
      <c r="C202" s="15"/>
      <c r="D202" s="15"/>
      <c r="E202" s="15"/>
      <c r="F202" s="15"/>
      <c r="G202" s="15"/>
      <c r="H202" s="16"/>
      <c r="I202" s="16"/>
      <c r="J202" s="16"/>
      <c r="K202" s="16"/>
      <c r="L202" s="16"/>
      <c r="M202" s="16"/>
      <c r="N202" s="16"/>
      <c r="O202" s="16"/>
      <c r="P202" s="16"/>
      <c r="Q202" s="16"/>
      <c r="R202" s="16"/>
      <c r="S202" s="16"/>
      <c r="T202" s="16"/>
      <c r="U202" s="16"/>
      <c r="V202" s="16"/>
      <c r="W202" s="15"/>
      <c r="X202" s="15"/>
      <c r="Y202" s="15"/>
      <c r="Z202" s="15"/>
    </row>
    <row r="203" customHeight="1" spans="1:26">
      <c r="A203" s="17"/>
      <c r="B203" s="15"/>
      <c r="C203" s="15"/>
      <c r="D203" s="15"/>
      <c r="E203" s="15"/>
      <c r="F203" s="15"/>
      <c r="G203" s="15"/>
      <c r="H203" s="16"/>
      <c r="I203" s="16"/>
      <c r="J203" s="16"/>
      <c r="K203" s="16"/>
      <c r="L203" s="16"/>
      <c r="M203" s="16"/>
      <c r="N203" s="16"/>
      <c r="O203" s="16"/>
      <c r="P203" s="16"/>
      <c r="Q203" s="16"/>
      <c r="R203" s="16"/>
      <c r="S203" s="16"/>
      <c r="T203" s="16"/>
      <c r="U203" s="16"/>
      <c r="V203" s="16"/>
      <c r="W203" s="15"/>
      <c r="X203" s="15"/>
      <c r="Y203" s="15"/>
      <c r="Z203" s="15"/>
    </row>
    <row r="204" customHeight="1" spans="1:26">
      <c r="A204" s="17"/>
      <c r="B204" s="15"/>
      <c r="C204" s="15"/>
      <c r="D204" s="15"/>
      <c r="E204" s="15"/>
      <c r="F204" s="15"/>
      <c r="G204" s="15"/>
      <c r="H204" s="16"/>
      <c r="I204" s="16"/>
      <c r="J204" s="16"/>
      <c r="K204" s="16"/>
      <c r="L204" s="16"/>
      <c r="M204" s="16"/>
      <c r="N204" s="16"/>
      <c r="O204" s="16"/>
      <c r="P204" s="16"/>
      <c r="Q204" s="16"/>
      <c r="R204" s="16"/>
      <c r="S204" s="16"/>
      <c r="T204" s="16"/>
      <c r="U204" s="16"/>
      <c r="V204" s="16"/>
      <c r="W204" s="15"/>
      <c r="X204" s="15"/>
      <c r="Y204" s="15"/>
      <c r="Z204" s="15"/>
    </row>
    <row r="205" customHeight="1" spans="1:26">
      <c r="A205" s="17"/>
      <c r="B205" s="15"/>
      <c r="C205" s="15"/>
      <c r="D205" s="15"/>
      <c r="E205" s="15"/>
      <c r="F205" s="15"/>
      <c r="G205" s="15"/>
      <c r="H205" s="16"/>
      <c r="I205" s="16"/>
      <c r="J205" s="16"/>
      <c r="K205" s="16"/>
      <c r="L205" s="16"/>
      <c r="M205" s="16"/>
      <c r="N205" s="16"/>
      <c r="O205" s="16"/>
      <c r="P205" s="16"/>
      <c r="Q205" s="16"/>
      <c r="R205" s="16"/>
      <c r="S205" s="16"/>
      <c r="T205" s="16"/>
      <c r="U205" s="16"/>
      <c r="V205" s="16"/>
      <c r="W205" s="15"/>
      <c r="X205" s="15"/>
      <c r="Y205" s="15"/>
      <c r="Z205" s="15"/>
    </row>
    <row r="206" customHeight="1" spans="1:26">
      <c r="A206" s="17"/>
      <c r="B206" s="15"/>
      <c r="C206" s="15"/>
      <c r="D206" s="15"/>
      <c r="E206" s="15"/>
      <c r="F206" s="15"/>
      <c r="G206" s="15"/>
      <c r="H206" s="16"/>
      <c r="I206" s="16"/>
      <c r="J206" s="16"/>
      <c r="K206" s="16"/>
      <c r="L206" s="16"/>
      <c r="M206" s="16"/>
      <c r="N206" s="16"/>
      <c r="O206" s="16"/>
      <c r="P206" s="16"/>
      <c r="Q206" s="16"/>
      <c r="R206" s="16"/>
      <c r="S206" s="16"/>
      <c r="T206" s="16"/>
      <c r="U206" s="16"/>
      <c r="V206" s="16"/>
      <c r="W206" s="15"/>
      <c r="X206" s="15"/>
      <c r="Y206" s="15"/>
      <c r="Z206" s="15"/>
    </row>
    <row r="207" customHeight="1" spans="1:26">
      <c r="A207" s="17"/>
      <c r="B207" s="15"/>
      <c r="C207" s="15"/>
      <c r="D207" s="15"/>
      <c r="E207" s="15"/>
      <c r="F207" s="15"/>
      <c r="G207" s="15"/>
      <c r="H207" s="16"/>
      <c r="I207" s="16"/>
      <c r="J207" s="16"/>
      <c r="K207" s="16"/>
      <c r="L207" s="16"/>
      <c r="M207" s="16"/>
      <c r="N207" s="16"/>
      <c r="O207" s="16"/>
      <c r="P207" s="16"/>
      <c r="Q207" s="16"/>
      <c r="R207" s="16"/>
      <c r="S207" s="16"/>
      <c r="T207" s="16"/>
      <c r="U207" s="16"/>
      <c r="V207" s="16"/>
      <c r="W207" s="15"/>
      <c r="X207" s="15"/>
      <c r="Y207" s="15"/>
      <c r="Z207" s="15"/>
    </row>
    <row r="208" customHeight="1" spans="1:26">
      <c r="A208" s="17"/>
      <c r="B208" s="15"/>
      <c r="C208" s="15"/>
      <c r="D208" s="15"/>
      <c r="E208" s="15"/>
      <c r="F208" s="15"/>
      <c r="G208" s="15"/>
      <c r="H208" s="16"/>
      <c r="I208" s="16"/>
      <c r="J208" s="16"/>
      <c r="K208" s="16"/>
      <c r="L208" s="16"/>
      <c r="M208" s="16"/>
      <c r="N208" s="16"/>
      <c r="O208" s="16"/>
      <c r="P208" s="16"/>
      <c r="Q208" s="16"/>
      <c r="R208" s="16"/>
      <c r="S208" s="16"/>
      <c r="T208" s="16"/>
      <c r="U208" s="16"/>
      <c r="V208" s="16"/>
      <c r="W208" s="15"/>
      <c r="X208" s="15"/>
      <c r="Y208" s="15"/>
      <c r="Z208" s="15"/>
    </row>
    <row r="209" customHeight="1" spans="1:26">
      <c r="A209" s="17"/>
      <c r="B209" s="15"/>
      <c r="C209" s="15"/>
      <c r="D209" s="15"/>
      <c r="E209" s="15"/>
      <c r="F209" s="15"/>
      <c r="G209" s="15"/>
      <c r="H209" s="16"/>
      <c r="I209" s="16"/>
      <c r="J209" s="16"/>
      <c r="K209" s="16"/>
      <c r="L209" s="16"/>
      <c r="M209" s="16"/>
      <c r="N209" s="16"/>
      <c r="O209" s="16"/>
      <c r="P209" s="16"/>
      <c r="Q209" s="16"/>
      <c r="R209" s="16"/>
      <c r="S209" s="16"/>
      <c r="T209" s="16"/>
      <c r="U209" s="16"/>
      <c r="V209" s="16"/>
      <c r="W209" s="15"/>
      <c r="X209" s="15"/>
      <c r="Y209" s="15"/>
      <c r="Z209" s="15"/>
    </row>
    <row r="210" customHeight="1" spans="1:26">
      <c r="A210" s="17"/>
      <c r="B210" s="15"/>
      <c r="C210" s="15"/>
      <c r="D210" s="15"/>
      <c r="E210" s="15"/>
      <c r="F210" s="15"/>
      <c r="G210" s="15"/>
      <c r="H210" s="16"/>
      <c r="I210" s="16"/>
      <c r="J210" s="16"/>
      <c r="K210" s="16"/>
      <c r="L210" s="16"/>
      <c r="M210" s="16"/>
      <c r="N210" s="16"/>
      <c r="O210" s="16"/>
      <c r="P210" s="16"/>
      <c r="Q210" s="16"/>
      <c r="R210" s="16"/>
      <c r="S210" s="16"/>
      <c r="T210" s="16"/>
      <c r="U210" s="16"/>
      <c r="V210" s="16"/>
      <c r="W210" s="15"/>
      <c r="X210" s="15"/>
      <c r="Y210" s="15"/>
      <c r="Z210" s="15"/>
    </row>
    <row r="211" customHeight="1" spans="1:26">
      <c r="A211" s="17"/>
      <c r="B211" s="15"/>
      <c r="C211" s="15"/>
      <c r="D211" s="15"/>
      <c r="E211" s="15"/>
      <c r="F211" s="15"/>
      <c r="G211" s="15"/>
      <c r="H211" s="16"/>
      <c r="I211" s="16"/>
      <c r="J211" s="16"/>
      <c r="K211" s="16"/>
      <c r="L211" s="16"/>
      <c r="M211" s="16"/>
      <c r="N211" s="16"/>
      <c r="O211" s="16"/>
      <c r="P211" s="16"/>
      <c r="Q211" s="16"/>
      <c r="R211" s="16"/>
      <c r="S211" s="16"/>
      <c r="T211" s="16"/>
      <c r="U211" s="16"/>
      <c r="V211" s="16"/>
      <c r="W211" s="15"/>
      <c r="X211" s="15"/>
      <c r="Y211" s="15"/>
      <c r="Z211" s="15"/>
    </row>
    <row r="212" customHeight="1" spans="1:26">
      <c r="A212" s="17"/>
      <c r="B212" s="15"/>
      <c r="C212" s="15"/>
      <c r="D212" s="15"/>
      <c r="E212" s="15"/>
      <c r="F212" s="15"/>
      <c r="G212" s="15"/>
      <c r="H212" s="16"/>
      <c r="I212" s="16"/>
      <c r="J212" s="16"/>
      <c r="K212" s="16"/>
      <c r="L212" s="16"/>
      <c r="M212" s="16"/>
      <c r="N212" s="16"/>
      <c r="O212" s="16"/>
      <c r="P212" s="16"/>
      <c r="Q212" s="16"/>
      <c r="R212" s="16"/>
      <c r="S212" s="16"/>
      <c r="T212" s="16"/>
      <c r="U212" s="16"/>
      <c r="V212" s="16"/>
      <c r="W212" s="15"/>
      <c r="X212" s="15"/>
      <c r="Y212" s="15"/>
      <c r="Z212" s="15"/>
    </row>
    <row r="213" customHeight="1" spans="1:26">
      <c r="A213" s="17"/>
      <c r="B213" s="15"/>
      <c r="C213" s="15"/>
      <c r="D213" s="15"/>
      <c r="E213" s="15"/>
      <c r="F213" s="15"/>
      <c r="G213" s="15"/>
      <c r="H213" s="16"/>
      <c r="I213" s="16"/>
      <c r="J213" s="16"/>
      <c r="K213" s="16"/>
      <c r="L213" s="16"/>
      <c r="M213" s="16"/>
      <c r="N213" s="16"/>
      <c r="O213" s="16"/>
      <c r="P213" s="16"/>
      <c r="Q213" s="16"/>
      <c r="R213" s="16"/>
      <c r="S213" s="16"/>
      <c r="T213" s="16"/>
      <c r="U213" s="16"/>
      <c r="V213" s="16"/>
      <c r="W213" s="15"/>
      <c r="X213" s="15"/>
      <c r="Y213" s="15"/>
      <c r="Z213" s="15"/>
    </row>
    <row r="214" customHeight="1" spans="1:26">
      <c r="A214" s="17"/>
      <c r="B214" s="15"/>
      <c r="C214" s="15"/>
      <c r="D214" s="15"/>
      <c r="E214" s="15"/>
      <c r="F214" s="15"/>
      <c r="G214" s="15"/>
      <c r="H214" s="16"/>
      <c r="I214" s="16"/>
      <c r="J214" s="16"/>
      <c r="K214" s="16"/>
      <c r="L214" s="16"/>
      <c r="M214" s="16"/>
      <c r="N214" s="16"/>
      <c r="O214" s="16"/>
      <c r="P214" s="16"/>
      <c r="Q214" s="16"/>
      <c r="R214" s="16"/>
      <c r="S214" s="16"/>
      <c r="T214" s="16"/>
      <c r="U214" s="16"/>
      <c r="V214" s="16"/>
      <c r="W214" s="15"/>
      <c r="X214" s="15"/>
      <c r="Y214" s="15"/>
      <c r="Z214" s="15"/>
    </row>
    <row r="215" customHeight="1" spans="1:26">
      <c r="A215" s="17"/>
      <c r="B215" s="15"/>
      <c r="C215" s="15"/>
      <c r="D215" s="15"/>
      <c r="E215" s="15"/>
      <c r="F215" s="15"/>
      <c r="G215" s="15"/>
      <c r="H215" s="16"/>
      <c r="I215" s="16"/>
      <c r="J215" s="16"/>
      <c r="K215" s="16"/>
      <c r="L215" s="16"/>
      <c r="M215" s="16"/>
      <c r="N215" s="16"/>
      <c r="O215" s="16"/>
      <c r="P215" s="16"/>
      <c r="Q215" s="16"/>
      <c r="R215" s="16"/>
      <c r="S215" s="16"/>
      <c r="T215" s="16"/>
      <c r="U215" s="16"/>
      <c r="V215" s="16"/>
      <c r="W215" s="15"/>
      <c r="X215" s="15"/>
      <c r="Y215" s="15"/>
      <c r="Z215" s="15"/>
    </row>
    <row r="216" customHeight="1" spans="1:26">
      <c r="A216" s="17"/>
      <c r="B216" s="15"/>
      <c r="C216" s="15"/>
      <c r="D216" s="15"/>
      <c r="E216" s="15"/>
      <c r="F216" s="15"/>
      <c r="G216" s="15"/>
      <c r="H216" s="16"/>
      <c r="I216" s="16"/>
      <c r="J216" s="16"/>
      <c r="K216" s="16"/>
      <c r="L216" s="16"/>
      <c r="M216" s="16"/>
      <c r="N216" s="16"/>
      <c r="O216" s="16"/>
      <c r="P216" s="16"/>
      <c r="Q216" s="16"/>
      <c r="R216" s="16"/>
      <c r="S216" s="16"/>
      <c r="T216" s="16"/>
      <c r="U216" s="16"/>
      <c r="V216" s="16"/>
      <c r="W216" s="15"/>
      <c r="X216" s="15"/>
      <c r="Y216" s="15"/>
      <c r="Z216" s="15"/>
    </row>
    <row r="217" customHeight="1" spans="1:26">
      <c r="A217" s="17"/>
      <c r="B217" s="15"/>
      <c r="C217" s="15"/>
      <c r="D217" s="15"/>
      <c r="E217" s="15"/>
      <c r="F217" s="15"/>
      <c r="G217" s="15"/>
      <c r="H217" s="16"/>
      <c r="I217" s="16"/>
      <c r="J217" s="16"/>
      <c r="K217" s="16"/>
      <c r="L217" s="16"/>
      <c r="M217" s="16"/>
      <c r="N217" s="16"/>
      <c r="O217" s="16"/>
      <c r="P217" s="16"/>
      <c r="Q217" s="16"/>
      <c r="R217" s="16"/>
      <c r="S217" s="16"/>
      <c r="T217" s="16"/>
      <c r="U217" s="16"/>
      <c r="V217" s="16"/>
      <c r="W217" s="15"/>
      <c r="X217" s="15"/>
      <c r="Y217" s="15"/>
      <c r="Z217" s="15"/>
    </row>
    <row r="218" customHeight="1" spans="1:26">
      <c r="A218" s="17"/>
      <c r="B218" s="15"/>
      <c r="C218" s="15"/>
      <c r="D218" s="15"/>
      <c r="E218" s="15"/>
      <c r="F218" s="15"/>
      <c r="G218" s="15"/>
      <c r="H218" s="16"/>
      <c r="I218" s="16"/>
      <c r="J218" s="16"/>
      <c r="K218" s="16"/>
      <c r="L218" s="16"/>
      <c r="M218" s="16"/>
      <c r="N218" s="16"/>
      <c r="O218" s="16"/>
      <c r="P218" s="16"/>
      <c r="Q218" s="16"/>
      <c r="R218" s="16"/>
      <c r="S218" s="16"/>
      <c r="T218" s="16"/>
      <c r="U218" s="16"/>
      <c r="V218" s="16"/>
      <c r="W218" s="15"/>
      <c r="X218" s="15"/>
      <c r="Y218" s="15"/>
      <c r="Z218" s="15"/>
    </row>
    <row r="219" customHeight="1" spans="1:26">
      <c r="A219" s="17"/>
      <c r="B219" s="15"/>
      <c r="C219" s="15"/>
      <c r="D219" s="15"/>
      <c r="E219" s="15"/>
      <c r="F219" s="15"/>
      <c r="G219" s="15"/>
      <c r="H219" s="16"/>
      <c r="I219" s="16"/>
      <c r="J219" s="16"/>
      <c r="K219" s="16"/>
      <c r="L219" s="16"/>
      <c r="M219" s="16"/>
      <c r="N219" s="16"/>
      <c r="O219" s="16"/>
      <c r="P219" s="16"/>
      <c r="Q219" s="16"/>
      <c r="R219" s="16"/>
      <c r="S219" s="16"/>
      <c r="T219" s="16"/>
      <c r="U219" s="16"/>
      <c r="V219" s="16"/>
      <c r="W219" s="15"/>
      <c r="X219" s="15"/>
      <c r="Y219" s="15"/>
      <c r="Z219" s="15"/>
    </row>
    <row r="220" customHeight="1" spans="1:26">
      <c r="A220" s="17"/>
      <c r="B220" s="15"/>
      <c r="C220" s="15"/>
      <c r="D220" s="15"/>
      <c r="E220" s="15"/>
      <c r="F220" s="15"/>
      <c r="G220" s="15"/>
      <c r="H220" s="16"/>
      <c r="I220" s="16"/>
      <c r="J220" s="16"/>
      <c r="K220" s="16"/>
      <c r="L220" s="16"/>
      <c r="M220" s="16"/>
      <c r="N220" s="16"/>
      <c r="O220" s="16"/>
      <c r="P220" s="16"/>
      <c r="Q220" s="16"/>
      <c r="R220" s="16"/>
      <c r="S220" s="16"/>
      <c r="T220" s="16"/>
      <c r="U220" s="16"/>
      <c r="V220" s="16"/>
      <c r="W220" s="15"/>
      <c r="X220" s="15"/>
      <c r="Y220" s="15"/>
      <c r="Z220" s="15"/>
    </row>
    <row r="221" customHeight="1" spans="1:26">
      <c r="A221" s="17"/>
      <c r="B221" s="15"/>
      <c r="C221" s="15"/>
      <c r="D221" s="15"/>
      <c r="E221" s="15"/>
      <c r="F221" s="15"/>
      <c r="G221" s="15"/>
      <c r="H221" s="16"/>
      <c r="I221" s="16"/>
      <c r="J221" s="16"/>
      <c r="K221" s="16"/>
      <c r="L221" s="16"/>
      <c r="M221" s="16"/>
      <c r="N221" s="16"/>
      <c r="O221" s="16"/>
      <c r="P221" s="16"/>
      <c r="Q221" s="16"/>
      <c r="R221" s="16"/>
      <c r="S221" s="16"/>
      <c r="T221" s="16"/>
      <c r="U221" s="16"/>
      <c r="V221" s="16"/>
      <c r="W221" s="15"/>
      <c r="X221" s="15"/>
      <c r="Y221" s="15"/>
      <c r="Z221" s="15"/>
    </row>
    <row r="222" customHeight="1" spans="1:26">
      <c r="A222" s="17"/>
      <c r="B222" s="15"/>
      <c r="C222" s="15"/>
      <c r="D222" s="15"/>
      <c r="E222" s="15"/>
      <c r="F222" s="15"/>
      <c r="G222" s="15"/>
      <c r="H222" s="16"/>
      <c r="I222" s="16"/>
      <c r="J222" s="16"/>
      <c r="K222" s="16"/>
      <c r="L222" s="16"/>
      <c r="M222" s="16"/>
      <c r="N222" s="16"/>
      <c r="O222" s="16"/>
      <c r="P222" s="16"/>
      <c r="Q222" s="16"/>
      <c r="R222" s="16"/>
      <c r="S222" s="16"/>
      <c r="T222" s="16"/>
      <c r="U222" s="16"/>
      <c r="V222" s="16"/>
      <c r="W222" s="15"/>
      <c r="X222" s="15"/>
      <c r="Y222" s="15"/>
      <c r="Z222" s="15"/>
    </row>
    <row r="223" customHeight="1" spans="1:26">
      <c r="A223" s="17"/>
      <c r="B223" s="15"/>
      <c r="C223" s="15"/>
      <c r="D223" s="15"/>
      <c r="E223" s="15"/>
      <c r="F223" s="15"/>
      <c r="G223" s="15"/>
      <c r="H223" s="16"/>
      <c r="I223" s="16"/>
      <c r="J223" s="16"/>
      <c r="K223" s="16"/>
      <c r="L223" s="16"/>
      <c r="M223" s="16"/>
      <c r="N223" s="16"/>
      <c r="O223" s="16"/>
      <c r="P223" s="16"/>
      <c r="Q223" s="16"/>
      <c r="R223" s="16"/>
      <c r="S223" s="16"/>
      <c r="T223" s="16"/>
      <c r="U223" s="16"/>
      <c r="V223" s="16"/>
      <c r="W223" s="15"/>
      <c r="X223" s="15"/>
      <c r="Y223" s="15"/>
      <c r="Z223" s="15"/>
    </row>
    <row r="224" customHeight="1" spans="1:26">
      <c r="A224" s="17"/>
      <c r="B224" s="15"/>
      <c r="C224" s="15"/>
      <c r="D224" s="15"/>
      <c r="E224" s="15"/>
      <c r="F224" s="15"/>
      <c r="G224" s="15"/>
      <c r="H224" s="16"/>
      <c r="I224" s="16"/>
      <c r="J224" s="16"/>
      <c r="K224" s="16"/>
      <c r="L224" s="16"/>
      <c r="M224" s="16"/>
      <c r="N224" s="16"/>
      <c r="O224" s="16"/>
      <c r="P224" s="16"/>
      <c r="Q224" s="16"/>
      <c r="R224" s="16"/>
      <c r="S224" s="16"/>
      <c r="T224" s="16"/>
      <c r="U224" s="16"/>
      <c r="V224" s="16"/>
      <c r="W224" s="15"/>
      <c r="X224" s="15"/>
      <c r="Y224" s="15"/>
      <c r="Z224" s="15"/>
    </row>
    <row r="225" customHeight="1" spans="1:26">
      <c r="A225" s="17"/>
      <c r="B225" s="15"/>
      <c r="C225" s="15"/>
      <c r="D225" s="15"/>
      <c r="E225" s="15"/>
      <c r="F225" s="15"/>
      <c r="G225" s="15"/>
      <c r="H225" s="16"/>
      <c r="I225" s="16"/>
      <c r="J225" s="16"/>
      <c r="K225" s="16"/>
      <c r="L225" s="16"/>
      <c r="M225" s="16"/>
      <c r="N225" s="16"/>
      <c r="O225" s="16"/>
      <c r="P225" s="16"/>
      <c r="Q225" s="16"/>
      <c r="R225" s="16"/>
      <c r="S225" s="16"/>
      <c r="T225" s="16"/>
      <c r="U225" s="16"/>
      <c r="V225" s="16"/>
      <c r="W225" s="15"/>
      <c r="X225" s="15"/>
      <c r="Y225" s="15"/>
      <c r="Z225" s="15"/>
    </row>
    <row r="226" customHeight="1" spans="1:26">
      <c r="A226" s="17"/>
      <c r="B226" s="15"/>
      <c r="C226" s="15"/>
      <c r="D226" s="15"/>
      <c r="E226" s="15"/>
      <c r="F226" s="15"/>
      <c r="G226" s="15"/>
      <c r="H226" s="16"/>
      <c r="I226" s="16"/>
      <c r="J226" s="16"/>
      <c r="K226" s="16"/>
      <c r="L226" s="16"/>
      <c r="M226" s="16"/>
      <c r="N226" s="16"/>
      <c r="O226" s="16"/>
      <c r="P226" s="16"/>
      <c r="Q226" s="16"/>
      <c r="R226" s="16"/>
      <c r="S226" s="16"/>
      <c r="T226" s="16"/>
      <c r="U226" s="16"/>
      <c r="V226" s="16"/>
      <c r="W226" s="15"/>
      <c r="X226" s="15"/>
      <c r="Y226" s="15"/>
      <c r="Z226" s="15"/>
    </row>
    <row r="227" customHeight="1" spans="1:26">
      <c r="A227" s="17"/>
      <c r="B227" s="15"/>
      <c r="C227" s="15"/>
      <c r="D227" s="15"/>
      <c r="E227" s="15"/>
      <c r="F227" s="15"/>
      <c r="G227" s="15"/>
      <c r="H227" s="16"/>
      <c r="I227" s="16"/>
      <c r="J227" s="16"/>
      <c r="K227" s="16"/>
      <c r="L227" s="16"/>
      <c r="M227" s="16"/>
      <c r="N227" s="16"/>
      <c r="O227" s="16"/>
      <c r="P227" s="16"/>
      <c r="Q227" s="16"/>
      <c r="R227" s="16"/>
      <c r="S227" s="16"/>
      <c r="T227" s="16"/>
      <c r="U227" s="16"/>
      <c r="V227" s="16"/>
      <c r="W227" s="15"/>
      <c r="X227" s="15"/>
      <c r="Y227" s="15"/>
      <c r="Z227" s="15"/>
    </row>
    <row r="228" customHeight="1" spans="1:26">
      <c r="A228" s="17"/>
      <c r="B228" s="15"/>
      <c r="C228" s="15"/>
      <c r="D228" s="15"/>
      <c r="E228" s="15"/>
      <c r="F228" s="15"/>
      <c r="G228" s="15"/>
      <c r="H228" s="16"/>
      <c r="I228" s="16"/>
      <c r="J228" s="16"/>
      <c r="K228" s="16"/>
      <c r="L228" s="16"/>
      <c r="M228" s="16"/>
      <c r="N228" s="16"/>
      <c r="O228" s="16"/>
      <c r="P228" s="16"/>
      <c r="Q228" s="16"/>
      <c r="R228" s="16"/>
      <c r="S228" s="16"/>
      <c r="T228" s="16"/>
      <c r="U228" s="16"/>
      <c r="V228" s="16"/>
      <c r="W228" s="15"/>
      <c r="X228" s="15"/>
      <c r="Y228" s="15"/>
      <c r="Z228" s="15"/>
    </row>
    <row r="229" customHeight="1" spans="1:26">
      <c r="A229" s="17"/>
      <c r="B229" s="15"/>
      <c r="C229" s="15"/>
      <c r="D229" s="15"/>
      <c r="E229" s="15"/>
      <c r="F229" s="15"/>
      <c r="G229" s="15"/>
      <c r="H229" s="16"/>
      <c r="I229" s="16"/>
      <c r="J229" s="16"/>
      <c r="K229" s="16"/>
      <c r="L229" s="16"/>
      <c r="M229" s="16"/>
      <c r="N229" s="16"/>
      <c r="O229" s="16"/>
      <c r="P229" s="16"/>
      <c r="Q229" s="16"/>
      <c r="R229" s="16"/>
      <c r="S229" s="16"/>
      <c r="T229" s="16"/>
      <c r="U229" s="16"/>
      <c r="V229" s="16"/>
      <c r="W229" s="15"/>
      <c r="X229" s="15"/>
      <c r="Y229" s="15"/>
      <c r="Z229" s="15"/>
    </row>
    <row r="230" customHeight="1" spans="1:26">
      <c r="A230" s="17"/>
      <c r="B230" s="15"/>
      <c r="C230" s="15"/>
      <c r="D230" s="15"/>
      <c r="E230" s="15"/>
      <c r="F230" s="15"/>
      <c r="G230" s="15"/>
      <c r="H230" s="16"/>
      <c r="I230" s="16"/>
      <c r="J230" s="16"/>
      <c r="K230" s="16"/>
      <c r="L230" s="16"/>
      <c r="M230" s="16"/>
      <c r="N230" s="16"/>
      <c r="O230" s="16"/>
      <c r="P230" s="16"/>
      <c r="Q230" s="16"/>
      <c r="R230" s="16"/>
      <c r="S230" s="16"/>
      <c r="T230" s="16"/>
      <c r="U230" s="16"/>
      <c r="V230" s="16"/>
      <c r="W230" s="15"/>
      <c r="X230" s="15"/>
      <c r="Y230" s="15"/>
      <c r="Z230" s="15"/>
    </row>
    <row r="231" customHeight="1" spans="1:26">
      <c r="A231" s="17"/>
      <c r="B231" s="15"/>
      <c r="C231" s="15"/>
      <c r="D231" s="15"/>
      <c r="E231" s="15"/>
      <c r="F231" s="15"/>
      <c r="G231" s="15"/>
      <c r="H231" s="16"/>
      <c r="I231" s="16"/>
      <c r="J231" s="16"/>
      <c r="K231" s="16"/>
      <c r="L231" s="16"/>
      <c r="M231" s="16"/>
      <c r="N231" s="16"/>
      <c r="O231" s="16"/>
      <c r="P231" s="16"/>
      <c r="Q231" s="16"/>
      <c r="R231" s="16"/>
      <c r="S231" s="16"/>
      <c r="T231" s="16"/>
      <c r="U231" s="16"/>
      <c r="V231" s="16"/>
      <c r="W231" s="15"/>
      <c r="X231" s="15"/>
      <c r="Y231" s="15"/>
      <c r="Z231" s="15"/>
    </row>
    <row r="232" customHeight="1" spans="1:26">
      <c r="A232" s="17"/>
      <c r="B232" s="15"/>
      <c r="C232" s="15"/>
      <c r="D232" s="15"/>
      <c r="E232" s="15"/>
      <c r="F232" s="15"/>
      <c r="G232" s="15"/>
      <c r="H232" s="16"/>
      <c r="I232" s="16"/>
      <c r="J232" s="16"/>
      <c r="K232" s="16"/>
      <c r="L232" s="16"/>
      <c r="M232" s="16"/>
      <c r="N232" s="16"/>
      <c r="O232" s="16"/>
      <c r="P232" s="16"/>
      <c r="Q232" s="16"/>
      <c r="R232" s="16"/>
      <c r="S232" s="16"/>
      <c r="T232" s="16"/>
      <c r="U232" s="16"/>
      <c r="V232" s="16"/>
      <c r="W232" s="15"/>
      <c r="X232" s="15"/>
      <c r="Y232" s="15"/>
      <c r="Z232" s="15"/>
    </row>
    <row r="233" customHeight="1" spans="1:26">
      <c r="A233" s="17"/>
      <c r="B233" s="15"/>
      <c r="C233" s="15"/>
      <c r="D233" s="15"/>
      <c r="E233" s="15"/>
      <c r="F233" s="15"/>
      <c r="G233" s="15"/>
      <c r="H233" s="16"/>
      <c r="I233" s="16"/>
      <c r="J233" s="16"/>
      <c r="K233" s="16"/>
      <c r="L233" s="16"/>
      <c r="M233" s="16"/>
      <c r="N233" s="16"/>
      <c r="O233" s="16"/>
      <c r="P233" s="16"/>
      <c r="Q233" s="16"/>
      <c r="R233" s="16"/>
      <c r="S233" s="16"/>
      <c r="T233" s="16"/>
      <c r="U233" s="16"/>
      <c r="V233" s="16"/>
      <c r="W233" s="15"/>
      <c r="X233" s="15"/>
      <c r="Y233" s="15"/>
      <c r="Z233" s="15"/>
    </row>
    <row r="234" customHeight="1" spans="1:26">
      <c r="A234" s="17"/>
      <c r="B234" s="15"/>
      <c r="C234" s="15"/>
      <c r="D234" s="15"/>
      <c r="E234" s="15"/>
      <c r="F234" s="15"/>
      <c r="G234" s="15"/>
      <c r="H234" s="16"/>
      <c r="I234" s="16"/>
      <c r="J234" s="16"/>
      <c r="K234" s="16"/>
      <c r="L234" s="16"/>
      <c r="M234" s="16"/>
      <c r="N234" s="16"/>
      <c r="O234" s="16"/>
      <c r="P234" s="16"/>
      <c r="Q234" s="16"/>
      <c r="R234" s="16"/>
      <c r="S234" s="16"/>
      <c r="T234" s="16"/>
      <c r="U234" s="16"/>
      <c r="V234" s="16"/>
      <c r="W234" s="15"/>
      <c r="X234" s="15"/>
      <c r="Y234" s="15"/>
      <c r="Z234" s="15"/>
    </row>
    <row r="235" customHeight="1" spans="1:26">
      <c r="A235" s="17"/>
      <c r="B235" s="15"/>
      <c r="C235" s="15"/>
      <c r="D235" s="15"/>
      <c r="E235" s="15"/>
      <c r="F235" s="15"/>
      <c r="G235" s="15"/>
      <c r="H235" s="16"/>
      <c r="I235" s="16"/>
      <c r="J235" s="16"/>
      <c r="K235" s="16"/>
      <c r="L235" s="16"/>
      <c r="M235" s="16"/>
      <c r="N235" s="16"/>
      <c r="O235" s="16"/>
      <c r="P235" s="16"/>
      <c r="Q235" s="16"/>
      <c r="R235" s="16"/>
      <c r="S235" s="16"/>
      <c r="T235" s="16"/>
      <c r="U235" s="16"/>
      <c r="V235" s="16"/>
      <c r="W235" s="15"/>
      <c r="X235" s="15"/>
      <c r="Y235" s="15"/>
      <c r="Z235" s="15"/>
    </row>
    <row r="236" customHeight="1" spans="1:26">
      <c r="A236" s="17"/>
      <c r="B236" s="15"/>
      <c r="C236" s="15"/>
      <c r="D236" s="15"/>
      <c r="E236" s="15"/>
      <c r="F236" s="15"/>
      <c r="G236" s="15"/>
      <c r="H236" s="16"/>
      <c r="I236" s="16"/>
      <c r="J236" s="16"/>
      <c r="K236" s="16"/>
      <c r="L236" s="16"/>
      <c r="M236" s="16"/>
      <c r="N236" s="16"/>
      <c r="O236" s="16"/>
      <c r="P236" s="16"/>
      <c r="Q236" s="16"/>
      <c r="R236" s="16"/>
      <c r="S236" s="16"/>
      <c r="T236" s="16"/>
      <c r="U236" s="16"/>
      <c r="V236" s="16"/>
      <c r="W236" s="15"/>
      <c r="X236" s="15"/>
      <c r="Y236" s="15"/>
      <c r="Z236" s="15"/>
    </row>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24">
    <mergeCell ref="H2:I2"/>
    <mergeCell ref="J2:K2"/>
    <mergeCell ref="L2:M2"/>
    <mergeCell ref="H10:L10"/>
    <mergeCell ref="M10:Q10"/>
    <mergeCell ref="R10:V10"/>
    <mergeCell ref="H11:J11"/>
    <mergeCell ref="M11:O11"/>
    <mergeCell ref="R11:T11"/>
    <mergeCell ref="A10:A12"/>
    <mergeCell ref="B10:B12"/>
    <mergeCell ref="C10:C12"/>
    <mergeCell ref="D10:D12"/>
    <mergeCell ref="E10:E12"/>
    <mergeCell ref="F10:F12"/>
    <mergeCell ref="G10:G12"/>
    <mergeCell ref="K11:K12"/>
    <mergeCell ref="L11:L12"/>
    <mergeCell ref="N2:N3"/>
    <mergeCell ref="P11:P12"/>
    <mergeCell ref="Q11:Q12"/>
    <mergeCell ref="U11:U12"/>
    <mergeCell ref="V11:V12"/>
    <mergeCell ref="W10:W12"/>
  </mergeCells>
  <dataValidations count="1">
    <dataValidation type="list" allowBlank="1" showErrorMessage="1" sqref="H13:I36 R13:S36 M13:N36">
      <formula1>"Passed,Failed,Blocked,Not Run"</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1"/>
  <sheetViews>
    <sheetView showGridLines="0" workbookViewId="0">
      <selection activeCell="A1" sqref="A1"/>
    </sheetView>
  </sheetViews>
  <sheetFormatPr defaultColWidth="12.6296296296296" defaultRowHeight="15.75" customHeight="1"/>
  <cols>
    <col min="1" max="1" width="12.6296296296296" customWidth="1"/>
    <col min="2" max="2" width="15.6296296296296" customWidth="1"/>
    <col min="3" max="3" width="18.75" customWidth="1"/>
    <col min="4" max="4" width="25.1296296296296" customWidth="1"/>
    <col min="5" max="5" width="28.3796296296296" customWidth="1"/>
    <col min="6" max="7" width="37.6296296296296" customWidth="1"/>
    <col min="8" max="9" width="18.5" customWidth="1"/>
    <col min="10" max="10" width="19.5" customWidth="1"/>
    <col min="11" max="11" width="23.75" customWidth="1"/>
    <col min="12" max="12" width="14.75" customWidth="1"/>
    <col min="13" max="14" width="18.5" customWidth="1"/>
    <col min="15" max="15" width="19.5" customWidth="1"/>
    <col min="16" max="16" width="27.75" customWidth="1"/>
    <col min="17" max="17" width="15.3796296296296" customWidth="1"/>
    <col min="18" max="19" width="18.5" customWidth="1"/>
    <col min="20" max="20" width="19.5" customWidth="1"/>
    <col min="21" max="21" width="26.3796296296296" customWidth="1"/>
    <col min="22" max="22" width="15" customWidth="1"/>
    <col min="23" max="23" width="27" customWidth="1"/>
    <col min="24" max="26" width="11.8796296296296" customWidth="1"/>
  </cols>
  <sheetData>
    <row r="1" customHeight="1" spans="1:26">
      <c r="A1" s="14" t="s">
        <v>86</v>
      </c>
      <c r="B1" s="15"/>
      <c r="C1" s="15"/>
      <c r="D1" s="15"/>
      <c r="E1" s="15"/>
      <c r="F1" s="15"/>
      <c r="G1" s="15"/>
      <c r="H1" s="16"/>
      <c r="I1" s="16"/>
      <c r="J1" s="16"/>
      <c r="K1" s="16"/>
      <c r="L1" s="16"/>
      <c r="M1" s="16"/>
      <c r="N1" s="16"/>
      <c r="O1" s="16"/>
      <c r="P1" s="16"/>
      <c r="Q1" s="16"/>
      <c r="R1" s="16"/>
      <c r="S1" s="16"/>
      <c r="T1" s="16"/>
      <c r="U1" s="16"/>
      <c r="V1" s="16"/>
      <c r="W1" s="15"/>
      <c r="X1" s="15"/>
      <c r="Y1" s="15"/>
      <c r="Z1" s="15"/>
    </row>
    <row r="2" customHeight="1" spans="1:26">
      <c r="A2" s="17"/>
      <c r="B2" s="15"/>
      <c r="C2" s="15"/>
      <c r="D2" s="15"/>
      <c r="E2" s="15"/>
      <c r="F2" s="15"/>
      <c r="G2" s="15"/>
      <c r="H2" s="18" t="s">
        <v>64</v>
      </c>
      <c r="I2" s="31"/>
      <c r="J2" s="18" t="s">
        <v>65</v>
      </c>
      <c r="K2" s="31"/>
      <c r="L2" s="18" t="s">
        <v>66</v>
      </c>
      <c r="M2" s="31"/>
      <c r="N2" s="23" t="s">
        <v>87</v>
      </c>
      <c r="O2" s="16"/>
      <c r="P2" s="16"/>
      <c r="Q2" s="16"/>
      <c r="R2" s="16"/>
      <c r="S2" s="16"/>
      <c r="T2" s="16"/>
      <c r="U2" s="16"/>
      <c r="V2" s="16"/>
      <c r="W2" s="15"/>
      <c r="X2" s="15"/>
      <c r="Y2" s="15"/>
      <c r="Z2" s="15"/>
    </row>
    <row r="3" customHeight="1" spans="1:26">
      <c r="A3" s="6" t="s">
        <v>26</v>
      </c>
      <c r="B3" s="6" t="s">
        <v>88</v>
      </c>
      <c r="C3" s="15"/>
      <c r="D3" s="6" t="s">
        <v>89</v>
      </c>
      <c r="E3" s="6" t="s">
        <v>90</v>
      </c>
      <c r="F3" s="15"/>
      <c r="G3" s="19"/>
      <c r="H3" s="6" t="s">
        <v>67</v>
      </c>
      <c r="I3" s="6" t="s">
        <v>92</v>
      </c>
      <c r="J3" s="6" t="s">
        <v>67</v>
      </c>
      <c r="K3" s="6" t="s">
        <v>92</v>
      </c>
      <c r="L3" s="6" t="s">
        <v>67</v>
      </c>
      <c r="M3" s="6" t="s">
        <v>92</v>
      </c>
      <c r="N3" s="25"/>
      <c r="O3" s="16"/>
      <c r="P3" s="16"/>
      <c r="Q3" s="16"/>
      <c r="R3" s="16"/>
      <c r="S3" s="16"/>
      <c r="T3" s="16"/>
      <c r="U3" s="16"/>
      <c r="V3" s="16"/>
      <c r="W3" s="15"/>
      <c r="X3" s="15"/>
      <c r="Y3" s="15"/>
      <c r="Z3" s="15"/>
    </row>
    <row r="4" customHeight="1" spans="1:26">
      <c r="A4" s="20" t="s">
        <v>13</v>
      </c>
      <c r="B4" s="21" t="s">
        <v>55</v>
      </c>
      <c r="C4" s="15"/>
      <c r="D4" s="20" t="s">
        <v>188</v>
      </c>
      <c r="E4" s="21" t="s">
        <v>189</v>
      </c>
      <c r="F4" s="15"/>
      <c r="G4" s="6" t="s">
        <v>96</v>
      </c>
      <c r="H4" s="22">
        <f t="shared" ref="H4:I4" si="0">COUNTIF(H13:H216,"PASSED")</f>
        <v>11</v>
      </c>
      <c r="I4" s="22">
        <f t="shared" si="0"/>
        <v>16</v>
      </c>
      <c r="J4" s="22">
        <f t="shared" ref="J4:K4" si="1">COUNTIF(M13:M216,"PASSED")</f>
        <v>14</v>
      </c>
      <c r="K4" s="22">
        <f t="shared" si="1"/>
        <v>15</v>
      </c>
      <c r="L4" s="22">
        <f t="shared" ref="L4:M4" si="2">COUNTIF(R13:R216,"PASSED")</f>
        <v>16</v>
      </c>
      <c r="M4" s="22">
        <f t="shared" si="2"/>
        <v>16</v>
      </c>
      <c r="N4" s="22">
        <f t="shared" ref="N4:N8" si="3">SUM(H4:M4)</f>
        <v>88</v>
      </c>
      <c r="O4" s="16"/>
      <c r="P4" s="16"/>
      <c r="Q4" s="16"/>
      <c r="R4" s="16"/>
      <c r="S4" s="16"/>
      <c r="T4" s="16"/>
      <c r="U4" s="16"/>
      <c r="V4" s="16"/>
      <c r="W4" s="15"/>
      <c r="X4" s="15"/>
      <c r="Y4" s="15"/>
      <c r="Z4" s="15"/>
    </row>
    <row r="5" customHeight="1" spans="1:26">
      <c r="A5" s="20"/>
      <c r="B5" s="20"/>
      <c r="C5" s="15"/>
      <c r="D5" s="20"/>
      <c r="E5" s="20"/>
      <c r="F5" s="15"/>
      <c r="G5" s="6" t="s">
        <v>97</v>
      </c>
      <c r="H5" s="22">
        <f t="shared" ref="H5:I5" si="4">COUNTIF(H13:H226,"FAILED")</f>
        <v>5</v>
      </c>
      <c r="I5" s="22">
        <f t="shared" si="4"/>
        <v>0</v>
      </c>
      <c r="J5" s="22">
        <f t="shared" ref="J5:K5" si="5">COUNTIF(M14:M217,"FAILED")</f>
        <v>2</v>
      </c>
      <c r="K5" s="22">
        <f t="shared" si="5"/>
        <v>1</v>
      </c>
      <c r="L5" s="22">
        <f t="shared" ref="L5:M5" si="6">COUNTIF(R14:R217,"FAILED")</f>
        <v>0</v>
      </c>
      <c r="M5" s="22">
        <f t="shared" si="6"/>
        <v>0</v>
      </c>
      <c r="N5" s="22">
        <f t="shared" si="3"/>
        <v>8</v>
      </c>
      <c r="O5" s="16"/>
      <c r="P5" s="16"/>
      <c r="Q5" s="16"/>
      <c r="R5" s="16"/>
      <c r="S5" s="16"/>
      <c r="T5" s="16"/>
      <c r="U5" s="16"/>
      <c r="V5" s="16"/>
      <c r="W5" s="15"/>
      <c r="X5" s="15"/>
      <c r="Y5" s="15"/>
      <c r="Z5" s="15"/>
    </row>
    <row r="6" customHeight="1" spans="1:26">
      <c r="A6" s="20"/>
      <c r="B6" s="20"/>
      <c r="C6" s="15"/>
      <c r="D6" s="20"/>
      <c r="E6" s="20"/>
      <c r="F6" s="15"/>
      <c r="G6" s="6" t="s">
        <v>98</v>
      </c>
      <c r="H6" s="22">
        <f t="shared" ref="H6:I6" si="7">COUNTIF(H13:H236,"BLOCKED")</f>
        <v>0</v>
      </c>
      <c r="I6" s="22">
        <f t="shared" si="7"/>
        <v>0</v>
      </c>
      <c r="J6" s="22">
        <f t="shared" ref="J6:K6" si="8">COUNTIF(M15:M218,"BLOCKED")</f>
        <v>0</v>
      </c>
      <c r="K6" s="22">
        <f t="shared" si="8"/>
        <v>0</v>
      </c>
      <c r="L6" s="22">
        <f t="shared" ref="L6:M6" si="9">COUNTIF(R15:R218,"BLOCKED")</f>
        <v>0</v>
      </c>
      <c r="M6" s="22">
        <f t="shared" si="9"/>
        <v>0</v>
      </c>
      <c r="N6" s="22">
        <f t="shared" si="3"/>
        <v>0</v>
      </c>
      <c r="O6" s="16"/>
      <c r="P6" s="16"/>
      <c r="Q6" s="16"/>
      <c r="R6" s="16"/>
      <c r="S6" s="16"/>
      <c r="T6" s="16"/>
      <c r="U6" s="16"/>
      <c r="V6" s="16"/>
      <c r="W6" s="15"/>
      <c r="X6" s="15"/>
      <c r="Y6" s="15"/>
      <c r="Z6" s="15"/>
    </row>
    <row r="7" customHeight="1" spans="1:26">
      <c r="A7" s="20"/>
      <c r="B7" s="20"/>
      <c r="C7" s="15"/>
      <c r="D7" s="20"/>
      <c r="E7" s="20"/>
      <c r="F7" s="15"/>
      <c r="G7" s="6" t="s">
        <v>99</v>
      </c>
      <c r="H7" s="22">
        <f t="shared" ref="H7:I7" si="10">COUNTIF(H13:H246,"NOT RUN")</f>
        <v>0</v>
      </c>
      <c r="I7" s="22">
        <f t="shared" si="10"/>
        <v>0</v>
      </c>
      <c r="J7" s="22">
        <f t="shared" ref="J7:K7" si="11">COUNTIF(M16:M219,"NOT RUN")</f>
        <v>0</v>
      </c>
      <c r="K7" s="22">
        <f t="shared" si="11"/>
        <v>0</v>
      </c>
      <c r="L7" s="22">
        <f t="shared" ref="L7:M7" si="12">COUNTIF(R16:R219,"NOT RUN")</f>
        <v>0</v>
      </c>
      <c r="M7" s="22">
        <f t="shared" si="12"/>
        <v>0</v>
      </c>
      <c r="N7" s="22">
        <f t="shared" si="3"/>
        <v>0</v>
      </c>
      <c r="O7" s="16"/>
      <c r="P7" s="16"/>
      <c r="Q7" s="16"/>
      <c r="R7" s="16"/>
      <c r="S7" s="16"/>
      <c r="T7" s="16"/>
      <c r="U7" s="16"/>
      <c r="V7" s="16"/>
      <c r="W7" s="15"/>
      <c r="X7" s="15"/>
      <c r="Y7" s="15"/>
      <c r="Z7" s="15"/>
    </row>
    <row r="8" customHeight="1" spans="1:26">
      <c r="A8" s="20"/>
      <c r="B8" s="20"/>
      <c r="C8" s="15"/>
      <c r="D8" s="20"/>
      <c r="E8" s="20"/>
      <c r="F8" s="15"/>
      <c r="G8" s="6" t="s">
        <v>100</v>
      </c>
      <c r="H8" s="22">
        <f t="shared" ref="H8:M8" si="13">COUNTA($G13:$G228)</f>
        <v>16</v>
      </c>
      <c r="I8" s="22">
        <f t="shared" si="13"/>
        <v>16</v>
      </c>
      <c r="J8" s="22">
        <f t="shared" si="13"/>
        <v>16</v>
      </c>
      <c r="K8" s="22">
        <f t="shared" si="13"/>
        <v>16</v>
      </c>
      <c r="L8" s="22">
        <f t="shared" si="13"/>
        <v>16</v>
      </c>
      <c r="M8" s="22">
        <f t="shared" si="13"/>
        <v>16</v>
      </c>
      <c r="N8" s="22">
        <f t="shared" si="3"/>
        <v>96</v>
      </c>
      <c r="O8" s="16"/>
      <c r="P8" s="16"/>
      <c r="Q8" s="16"/>
      <c r="R8" s="16"/>
      <c r="S8" s="16"/>
      <c r="T8" s="16"/>
      <c r="U8" s="16"/>
      <c r="V8" s="16"/>
      <c r="W8" s="15"/>
      <c r="X8" s="15"/>
      <c r="Y8" s="15"/>
      <c r="Z8" s="15"/>
    </row>
    <row r="9" customHeight="1" spans="1:26">
      <c r="A9" s="17"/>
      <c r="B9" s="15"/>
      <c r="C9" s="15"/>
      <c r="D9" s="15"/>
      <c r="E9" s="15"/>
      <c r="F9" s="15"/>
      <c r="G9" s="15"/>
      <c r="H9" s="16"/>
      <c r="I9" s="16"/>
      <c r="J9" s="16"/>
      <c r="K9" s="16"/>
      <c r="L9" s="16"/>
      <c r="M9" s="16"/>
      <c r="N9" s="16"/>
      <c r="O9" s="16"/>
      <c r="P9" s="16"/>
      <c r="Q9" s="16"/>
      <c r="R9" s="16"/>
      <c r="S9" s="16"/>
      <c r="T9" s="16"/>
      <c r="U9" s="16"/>
      <c r="V9" s="16"/>
      <c r="W9" s="15"/>
      <c r="X9" s="15"/>
      <c r="Y9" s="15"/>
      <c r="Z9" s="15"/>
    </row>
    <row r="10" customHeight="1" spans="1:26">
      <c r="A10" s="23" t="s">
        <v>22</v>
      </c>
      <c r="B10" s="23" t="s">
        <v>101</v>
      </c>
      <c r="C10" s="23" t="s">
        <v>102</v>
      </c>
      <c r="D10" s="23" t="s">
        <v>103</v>
      </c>
      <c r="E10" s="23" t="s">
        <v>104</v>
      </c>
      <c r="F10" s="23" t="s">
        <v>105</v>
      </c>
      <c r="G10" s="23" t="s">
        <v>106</v>
      </c>
      <c r="H10" s="18" t="s">
        <v>64</v>
      </c>
      <c r="I10" s="32"/>
      <c r="J10" s="32"/>
      <c r="K10" s="32"/>
      <c r="L10" s="31"/>
      <c r="M10" s="18" t="s">
        <v>65</v>
      </c>
      <c r="N10" s="32"/>
      <c r="O10" s="32"/>
      <c r="P10" s="32"/>
      <c r="Q10" s="31"/>
      <c r="R10" s="18" t="s">
        <v>66</v>
      </c>
      <c r="S10" s="32"/>
      <c r="T10" s="32"/>
      <c r="U10" s="32"/>
      <c r="V10" s="31"/>
      <c r="W10" s="23" t="s">
        <v>29</v>
      </c>
      <c r="X10" s="13"/>
      <c r="Y10" s="13"/>
      <c r="Z10" s="13"/>
    </row>
    <row r="11" customHeight="1" spans="1:26">
      <c r="A11" s="24"/>
      <c r="B11" s="24"/>
      <c r="C11" s="24"/>
      <c r="D11" s="24"/>
      <c r="E11" s="24"/>
      <c r="F11" s="24"/>
      <c r="G11" s="24"/>
      <c r="H11" s="18" t="s">
        <v>107</v>
      </c>
      <c r="I11" s="32"/>
      <c r="J11" s="31"/>
      <c r="K11" s="23" t="s">
        <v>108</v>
      </c>
      <c r="L11" s="23" t="s">
        <v>109</v>
      </c>
      <c r="M11" s="18" t="s">
        <v>107</v>
      </c>
      <c r="N11" s="32"/>
      <c r="O11" s="31"/>
      <c r="P11" s="23" t="s">
        <v>108</v>
      </c>
      <c r="Q11" s="23" t="s">
        <v>109</v>
      </c>
      <c r="R11" s="18" t="s">
        <v>107</v>
      </c>
      <c r="S11" s="32"/>
      <c r="T11" s="31"/>
      <c r="U11" s="23" t="s">
        <v>108</v>
      </c>
      <c r="V11" s="23" t="s">
        <v>109</v>
      </c>
      <c r="W11" s="24"/>
      <c r="X11" s="15"/>
      <c r="Y11" s="15"/>
      <c r="Z11" s="15"/>
    </row>
    <row r="12" customHeight="1" spans="1:26">
      <c r="A12" s="25"/>
      <c r="B12" s="25"/>
      <c r="C12" s="25"/>
      <c r="D12" s="25"/>
      <c r="E12" s="25"/>
      <c r="F12" s="25"/>
      <c r="G12" s="25"/>
      <c r="H12" s="6" t="s">
        <v>67</v>
      </c>
      <c r="I12" s="6" t="s">
        <v>92</v>
      </c>
      <c r="J12" s="6" t="s">
        <v>110</v>
      </c>
      <c r="K12" s="25"/>
      <c r="L12" s="25"/>
      <c r="M12" s="6" t="s">
        <v>67</v>
      </c>
      <c r="N12" s="6" t="s">
        <v>92</v>
      </c>
      <c r="O12" s="6" t="s">
        <v>110</v>
      </c>
      <c r="P12" s="25"/>
      <c r="Q12" s="25"/>
      <c r="R12" s="6" t="s">
        <v>67</v>
      </c>
      <c r="S12" s="6" t="s">
        <v>92</v>
      </c>
      <c r="T12" s="6" t="s">
        <v>110</v>
      </c>
      <c r="U12" s="25"/>
      <c r="V12" s="25"/>
      <c r="W12" s="25"/>
      <c r="X12" s="15"/>
      <c r="Y12" s="15"/>
      <c r="Z12" s="15"/>
    </row>
    <row r="13" ht="52.8" spans="1:26">
      <c r="A13" s="26" t="str">
        <f t="shared" ref="A13:A28" si="14">"ID-00"&amp;(ROW()-(ROW($A$12)))</f>
        <v>ID-001</v>
      </c>
      <c r="B13" s="10" t="s">
        <v>190</v>
      </c>
      <c r="C13" s="10" t="s">
        <v>191</v>
      </c>
      <c r="D13" s="28" t="s">
        <v>192</v>
      </c>
      <c r="E13" s="28" t="s">
        <v>193</v>
      </c>
      <c r="F13" s="28" t="s">
        <v>194</v>
      </c>
      <c r="G13" s="28" t="s">
        <v>195</v>
      </c>
      <c r="H13" s="8" t="s">
        <v>69</v>
      </c>
      <c r="I13" s="8" t="s">
        <v>69</v>
      </c>
      <c r="J13" s="8"/>
      <c r="K13" s="33" t="s">
        <v>118</v>
      </c>
      <c r="L13" s="8" t="s">
        <v>117</v>
      </c>
      <c r="M13" s="8" t="s">
        <v>69</v>
      </c>
      <c r="N13" s="8" t="s">
        <v>69</v>
      </c>
      <c r="O13" s="8"/>
      <c r="P13" s="33" t="s">
        <v>196</v>
      </c>
      <c r="Q13" s="8" t="s">
        <v>117</v>
      </c>
      <c r="R13" s="8" t="s">
        <v>69</v>
      </c>
      <c r="S13" s="8" t="s">
        <v>69</v>
      </c>
      <c r="T13" s="8"/>
      <c r="U13" s="33" t="s">
        <v>197</v>
      </c>
      <c r="V13" s="8" t="s">
        <v>117</v>
      </c>
      <c r="W13" s="30"/>
      <c r="X13" s="15"/>
      <c r="Y13" s="15"/>
      <c r="Z13" s="15"/>
    </row>
    <row r="14" ht="66" spans="1:26">
      <c r="A14" s="26" t="str">
        <f t="shared" si="14"/>
        <v>ID-002</v>
      </c>
      <c r="B14" s="10" t="s">
        <v>190</v>
      </c>
      <c r="C14" s="10" t="s">
        <v>198</v>
      </c>
      <c r="D14" s="28" t="s">
        <v>192</v>
      </c>
      <c r="E14" s="28" t="s">
        <v>199</v>
      </c>
      <c r="F14" s="28" t="s">
        <v>200</v>
      </c>
      <c r="G14" s="28" t="s">
        <v>201</v>
      </c>
      <c r="H14" s="8" t="s">
        <v>70</v>
      </c>
      <c r="I14" s="8" t="s">
        <v>69</v>
      </c>
      <c r="J14" s="8" t="s">
        <v>202</v>
      </c>
      <c r="K14" s="33" t="s">
        <v>118</v>
      </c>
      <c r="L14" s="8" t="s">
        <v>117</v>
      </c>
      <c r="M14" s="8" t="s">
        <v>70</v>
      </c>
      <c r="N14" s="8" t="s">
        <v>69</v>
      </c>
      <c r="O14" s="8" t="s">
        <v>203</v>
      </c>
      <c r="P14" s="36">
        <v>45849</v>
      </c>
      <c r="Q14" s="8" t="s">
        <v>117</v>
      </c>
      <c r="R14" s="8" t="s">
        <v>69</v>
      </c>
      <c r="S14" s="8" t="s">
        <v>69</v>
      </c>
      <c r="T14" s="8"/>
      <c r="U14" s="37">
        <v>46002</v>
      </c>
      <c r="V14" s="8" t="s">
        <v>117</v>
      </c>
      <c r="W14" s="30"/>
      <c r="X14" s="15"/>
      <c r="Y14" s="15"/>
      <c r="Z14" s="15"/>
    </row>
    <row r="15" ht="66" spans="1:26">
      <c r="A15" s="26" t="str">
        <f t="shared" si="14"/>
        <v>ID-003</v>
      </c>
      <c r="B15" s="10" t="s">
        <v>190</v>
      </c>
      <c r="C15" s="10" t="s">
        <v>198</v>
      </c>
      <c r="D15" s="28" t="s">
        <v>192</v>
      </c>
      <c r="E15" s="28" t="s">
        <v>204</v>
      </c>
      <c r="F15" s="28" t="s">
        <v>205</v>
      </c>
      <c r="G15" s="28" t="s">
        <v>201</v>
      </c>
      <c r="H15" s="8" t="s">
        <v>70</v>
      </c>
      <c r="I15" s="8" t="s">
        <v>69</v>
      </c>
      <c r="J15" s="8" t="s">
        <v>206</v>
      </c>
      <c r="K15" s="33" t="s">
        <v>118</v>
      </c>
      <c r="L15" s="8" t="s">
        <v>117</v>
      </c>
      <c r="M15" s="8" t="s">
        <v>69</v>
      </c>
      <c r="N15" s="8" t="s">
        <v>69</v>
      </c>
      <c r="O15" s="8"/>
      <c r="P15" s="36">
        <v>45849</v>
      </c>
      <c r="Q15" s="8" t="s">
        <v>117</v>
      </c>
      <c r="R15" s="8" t="s">
        <v>69</v>
      </c>
      <c r="S15" s="8" t="s">
        <v>69</v>
      </c>
      <c r="T15" s="8"/>
      <c r="U15" s="37">
        <v>46002</v>
      </c>
      <c r="V15" s="8" t="s">
        <v>117</v>
      </c>
      <c r="W15" s="30"/>
      <c r="X15" s="15"/>
      <c r="Y15" s="15"/>
      <c r="Z15" s="15"/>
    </row>
    <row r="16" ht="66" spans="1:26">
      <c r="A16" s="26" t="str">
        <f t="shared" si="14"/>
        <v>ID-004</v>
      </c>
      <c r="B16" s="10" t="s">
        <v>190</v>
      </c>
      <c r="C16" s="9" t="s">
        <v>207</v>
      </c>
      <c r="D16" s="28" t="s">
        <v>192</v>
      </c>
      <c r="E16" s="28" t="s">
        <v>208</v>
      </c>
      <c r="F16" s="28" t="s">
        <v>209</v>
      </c>
      <c r="G16" s="28" t="s">
        <v>210</v>
      </c>
      <c r="H16" s="8" t="s">
        <v>70</v>
      </c>
      <c r="I16" s="8" t="s">
        <v>69</v>
      </c>
      <c r="J16" s="8" t="s">
        <v>211</v>
      </c>
      <c r="K16" s="33" t="s">
        <v>118</v>
      </c>
      <c r="L16" s="8" t="s">
        <v>117</v>
      </c>
      <c r="M16" s="8" t="s">
        <v>70</v>
      </c>
      <c r="N16" s="8" t="s">
        <v>70</v>
      </c>
      <c r="O16" s="8" t="s">
        <v>212</v>
      </c>
      <c r="P16" s="36">
        <v>45849</v>
      </c>
      <c r="Q16" s="8" t="s">
        <v>117</v>
      </c>
      <c r="R16" s="8" t="s">
        <v>69</v>
      </c>
      <c r="S16" s="8" t="s">
        <v>69</v>
      </c>
      <c r="T16" s="8"/>
      <c r="U16" s="37">
        <v>46002</v>
      </c>
      <c r="V16" s="8" t="s">
        <v>117</v>
      </c>
      <c r="W16" s="30"/>
      <c r="X16" s="15"/>
      <c r="Y16" s="15"/>
      <c r="Z16" s="15"/>
    </row>
    <row r="17" ht="66" spans="1:26">
      <c r="A17" s="26" t="str">
        <f t="shared" si="14"/>
        <v>ID-005</v>
      </c>
      <c r="B17" s="10" t="s">
        <v>190</v>
      </c>
      <c r="C17" s="9" t="s">
        <v>198</v>
      </c>
      <c r="D17" s="28" t="s">
        <v>192</v>
      </c>
      <c r="E17" s="28" t="s">
        <v>213</v>
      </c>
      <c r="F17" s="28" t="s">
        <v>214</v>
      </c>
      <c r="G17" s="28" t="s">
        <v>215</v>
      </c>
      <c r="H17" s="8" t="s">
        <v>69</v>
      </c>
      <c r="I17" s="8" t="s">
        <v>69</v>
      </c>
      <c r="J17" s="8"/>
      <c r="K17" s="33" t="s">
        <v>78</v>
      </c>
      <c r="L17" s="8" t="s">
        <v>117</v>
      </c>
      <c r="M17" s="8" t="s">
        <v>69</v>
      </c>
      <c r="N17" s="8" t="s">
        <v>69</v>
      </c>
      <c r="O17" s="8"/>
      <c r="P17" s="37">
        <v>45941</v>
      </c>
      <c r="Q17" s="8" t="s">
        <v>117</v>
      </c>
      <c r="R17" s="8" t="s">
        <v>69</v>
      </c>
      <c r="S17" s="8" t="s">
        <v>69</v>
      </c>
      <c r="T17" s="8"/>
      <c r="U17" s="8" t="s">
        <v>72</v>
      </c>
      <c r="V17" s="8" t="s">
        <v>117</v>
      </c>
      <c r="W17" s="30"/>
      <c r="X17" s="15"/>
      <c r="Y17" s="15"/>
      <c r="Z17" s="15"/>
    </row>
    <row r="18" ht="66" spans="1:26">
      <c r="A18" s="26" t="str">
        <f t="shared" si="14"/>
        <v>ID-006</v>
      </c>
      <c r="B18" s="10" t="s">
        <v>190</v>
      </c>
      <c r="C18" s="9" t="s">
        <v>216</v>
      </c>
      <c r="D18" s="28" t="s">
        <v>192</v>
      </c>
      <c r="E18" s="28" t="s">
        <v>217</v>
      </c>
      <c r="F18" s="28" t="s">
        <v>218</v>
      </c>
      <c r="G18" s="28" t="s">
        <v>219</v>
      </c>
      <c r="H18" s="8" t="s">
        <v>69</v>
      </c>
      <c r="I18" s="8" t="s">
        <v>69</v>
      </c>
      <c r="J18" s="8"/>
      <c r="K18" s="33" t="s">
        <v>78</v>
      </c>
      <c r="L18" s="8" t="s">
        <v>117</v>
      </c>
      <c r="M18" s="8" t="s">
        <v>69</v>
      </c>
      <c r="N18" s="8" t="s">
        <v>69</v>
      </c>
      <c r="O18" s="8"/>
      <c r="P18" s="37">
        <v>45941</v>
      </c>
      <c r="Q18" s="8" t="s">
        <v>117</v>
      </c>
      <c r="R18" s="8" t="s">
        <v>69</v>
      </c>
      <c r="S18" s="8" t="s">
        <v>69</v>
      </c>
      <c r="T18" s="8"/>
      <c r="U18" s="8" t="s">
        <v>72</v>
      </c>
      <c r="V18" s="8" t="s">
        <v>117</v>
      </c>
      <c r="W18" s="30"/>
      <c r="X18" s="15"/>
      <c r="Y18" s="15"/>
      <c r="Z18" s="15"/>
    </row>
    <row r="19" ht="105.6" spans="1:26">
      <c r="A19" s="26" t="str">
        <f t="shared" si="14"/>
        <v>ID-007</v>
      </c>
      <c r="B19" s="10" t="s">
        <v>190</v>
      </c>
      <c r="C19" s="53" t="s">
        <v>165</v>
      </c>
      <c r="D19" s="28" t="s">
        <v>192</v>
      </c>
      <c r="E19" s="28" t="s">
        <v>220</v>
      </c>
      <c r="F19" s="28" t="s">
        <v>221</v>
      </c>
      <c r="G19" s="29" t="s">
        <v>141</v>
      </c>
      <c r="H19" s="8" t="s">
        <v>69</v>
      </c>
      <c r="I19" s="8" t="s">
        <v>69</v>
      </c>
      <c r="J19" s="8"/>
      <c r="K19" s="33" t="s">
        <v>78</v>
      </c>
      <c r="L19" s="8" t="s">
        <v>117</v>
      </c>
      <c r="M19" s="8" t="s">
        <v>69</v>
      </c>
      <c r="N19" s="8" t="s">
        <v>69</v>
      </c>
      <c r="O19" s="8"/>
      <c r="P19" s="37">
        <v>45941</v>
      </c>
      <c r="Q19" s="8" t="s">
        <v>117</v>
      </c>
      <c r="R19" s="8" t="s">
        <v>69</v>
      </c>
      <c r="S19" s="8" t="s">
        <v>69</v>
      </c>
      <c r="T19" s="8"/>
      <c r="U19" s="8" t="s">
        <v>72</v>
      </c>
      <c r="V19" s="8" t="s">
        <v>117</v>
      </c>
      <c r="W19" s="30"/>
      <c r="X19" s="15"/>
      <c r="Y19" s="15"/>
      <c r="Z19" s="15"/>
    </row>
    <row r="20" ht="74.25" customHeight="1" spans="1:26">
      <c r="A20" s="26" t="str">
        <f t="shared" si="14"/>
        <v>ID-008</v>
      </c>
      <c r="B20" s="10" t="s">
        <v>190</v>
      </c>
      <c r="C20" s="10" t="s">
        <v>222</v>
      </c>
      <c r="D20" s="28" t="s">
        <v>192</v>
      </c>
      <c r="E20" s="28" t="s">
        <v>223</v>
      </c>
      <c r="F20" s="28" t="s">
        <v>224</v>
      </c>
      <c r="G20" s="28" t="s">
        <v>225</v>
      </c>
      <c r="H20" s="8" t="s">
        <v>69</v>
      </c>
      <c r="I20" s="8" t="s">
        <v>69</v>
      </c>
      <c r="J20" s="8"/>
      <c r="K20" s="33" t="s">
        <v>78</v>
      </c>
      <c r="L20" s="8" t="s">
        <v>117</v>
      </c>
      <c r="M20" s="8" t="s">
        <v>69</v>
      </c>
      <c r="N20" s="8" t="s">
        <v>69</v>
      </c>
      <c r="O20" s="8"/>
      <c r="P20" s="37">
        <v>45941</v>
      </c>
      <c r="Q20" s="8" t="s">
        <v>117</v>
      </c>
      <c r="R20" s="8" t="s">
        <v>69</v>
      </c>
      <c r="S20" s="8" t="s">
        <v>69</v>
      </c>
      <c r="T20" s="8"/>
      <c r="U20" s="8" t="s">
        <v>72</v>
      </c>
      <c r="V20" s="8" t="s">
        <v>117</v>
      </c>
      <c r="W20" s="30"/>
      <c r="X20" s="15"/>
      <c r="Y20" s="15"/>
      <c r="Z20" s="15"/>
    </row>
    <row r="21" ht="81" customHeight="1" spans="1:26">
      <c r="A21" s="26" t="str">
        <f t="shared" si="14"/>
        <v>ID-009</v>
      </c>
      <c r="B21" s="10" t="s">
        <v>190</v>
      </c>
      <c r="C21" s="10" t="s">
        <v>226</v>
      </c>
      <c r="D21" s="28" t="s">
        <v>227</v>
      </c>
      <c r="E21" s="28" t="s">
        <v>228</v>
      </c>
      <c r="F21" s="28" t="s">
        <v>224</v>
      </c>
      <c r="G21" s="28" t="s">
        <v>229</v>
      </c>
      <c r="H21" s="8" t="s">
        <v>70</v>
      </c>
      <c r="I21" s="8" t="s">
        <v>69</v>
      </c>
      <c r="J21" s="8" t="s">
        <v>230</v>
      </c>
      <c r="K21" s="33" t="s">
        <v>78</v>
      </c>
      <c r="L21" s="8" t="s">
        <v>117</v>
      </c>
      <c r="M21" s="8" t="s">
        <v>69</v>
      </c>
      <c r="N21" s="8" t="s">
        <v>69</v>
      </c>
      <c r="O21" s="8"/>
      <c r="P21" s="37">
        <v>45941</v>
      </c>
      <c r="Q21" s="8" t="s">
        <v>117</v>
      </c>
      <c r="R21" s="8" t="s">
        <v>69</v>
      </c>
      <c r="S21" s="8" t="s">
        <v>69</v>
      </c>
      <c r="T21" s="8"/>
      <c r="U21" s="8" t="s">
        <v>72</v>
      </c>
      <c r="V21" s="8" t="s">
        <v>117</v>
      </c>
      <c r="W21" s="30"/>
      <c r="X21" s="15"/>
      <c r="Y21" s="15"/>
      <c r="Z21" s="15"/>
    </row>
    <row r="22" ht="52.8" spans="1:26">
      <c r="A22" s="26" t="str">
        <f t="shared" si="14"/>
        <v>ID-0010</v>
      </c>
      <c r="B22" s="10" t="s">
        <v>190</v>
      </c>
      <c r="C22" s="10" t="s">
        <v>231</v>
      </c>
      <c r="D22" s="28" t="s">
        <v>227</v>
      </c>
      <c r="E22" s="28" t="s">
        <v>232</v>
      </c>
      <c r="F22" s="28" t="s">
        <v>233</v>
      </c>
      <c r="G22" s="28" t="s">
        <v>234</v>
      </c>
      <c r="H22" s="8" t="s">
        <v>69</v>
      </c>
      <c r="I22" s="8" t="s">
        <v>69</v>
      </c>
      <c r="J22" s="8"/>
      <c r="K22" s="33" t="s">
        <v>164</v>
      </c>
      <c r="L22" s="8" t="s">
        <v>117</v>
      </c>
      <c r="M22" s="8" t="s">
        <v>69</v>
      </c>
      <c r="N22" s="8" t="s">
        <v>69</v>
      </c>
      <c r="O22" s="8"/>
      <c r="P22" s="37">
        <v>46002</v>
      </c>
      <c r="Q22" s="8" t="s">
        <v>117</v>
      </c>
      <c r="R22" s="8" t="s">
        <v>69</v>
      </c>
      <c r="S22" s="8" t="s">
        <v>69</v>
      </c>
      <c r="T22" s="8"/>
      <c r="U22" s="8" t="s">
        <v>72</v>
      </c>
      <c r="V22" s="8" t="s">
        <v>117</v>
      </c>
      <c r="W22" s="30"/>
      <c r="X22" s="15"/>
      <c r="Y22" s="15"/>
      <c r="Z22" s="15"/>
    </row>
    <row r="23" ht="52.8" spans="1:26">
      <c r="A23" s="26" t="str">
        <f t="shared" si="14"/>
        <v>ID-0011</v>
      </c>
      <c r="B23" s="10" t="s">
        <v>190</v>
      </c>
      <c r="C23" s="10" t="s">
        <v>231</v>
      </c>
      <c r="D23" s="28" t="s">
        <v>227</v>
      </c>
      <c r="E23" s="28" t="s">
        <v>232</v>
      </c>
      <c r="F23" s="28" t="s">
        <v>235</v>
      </c>
      <c r="G23" s="28" t="s">
        <v>236</v>
      </c>
      <c r="H23" s="8" t="s">
        <v>69</v>
      </c>
      <c r="I23" s="8" t="s">
        <v>69</v>
      </c>
      <c r="J23" s="8"/>
      <c r="K23" s="33" t="s">
        <v>164</v>
      </c>
      <c r="L23" s="8" t="s">
        <v>117</v>
      </c>
      <c r="M23" s="8" t="s">
        <v>69</v>
      </c>
      <c r="N23" s="8" t="s">
        <v>69</v>
      </c>
      <c r="O23" s="8"/>
      <c r="P23" s="37">
        <v>46002</v>
      </c>
      <c r="Q23" s="8" t="s">
        <v>117</v>
      </c>
      <c r="R23" s="8" t="s">
        <v>69</v>
      </c>
      <c r="S23" s="8" t="s">
        <v>69</v>
      </c>
      <c r="T23" s="8"/>
      <c r="U23" s="8" t="s">
        <v>72</v>
      </c>
      <c r="V23" s="8" t="s">
        <v>117</v>
      </c>
      <c r="W23" s="30"/>
      <c r="X23" s="15"/>
      <c r="Y23" s="15"/>
      <c r="Z23" s="15"/>
    </row>
    <row r="24" ht="52.8" spans="1:26">
      <c r="A24" s="26" t="str">
        <f t="shared" si="14"/>
        <v>ID-0012</v>
      </c>
      <c r="B24" s="10" t="s">
        <v>190</v>
      </c>
      <c r="C24" s="10" t="s">
        <v>237</v>
      </c>
      <c r="D24" s="28" t="s">
        <v>227</v>
      </c>
      <c r="E24" s="28" t="s">
        <v>238</v>
      </c>
      <c r="F24" s="28" t="s">
        <v>239</v>
      </c>
      <c r="G24" s="28" t="s">
        <v>240</v>
      </c>
      <c r="H24" s="8" t="s">
        <v>69</v>
      </c>
      <c r="I24" s="8" t="s">
        <v>69</v>
      </c>
      <c r="J24" s="8"/>
      <c r="K24" s="33" t="s">
        <v>164</v>
      </c>
      <c r="L24" s="8" t="s">
        <v>117</v>
      </c>
      <c r="M24" s="8" t="s">
        <v>69</v>
      </c>
      <c r="N24" s="8" t="s">
        <v>69</v>
      </c>
      <c r="O24" s="8"/>
      <c r="P24" s="37">
        <v>46002</v>
      </c>
      <c r="Q24" s="8" t="s">
        <v>117</v>
      </c>
      <c r="R24" s="8" t="s">
        <v>69</v>
      </c>
      <c r="S24" s="8" t="s">
        <v>69</v>
      </c>
      <c r="T24" s="8"/>
      <c r="U24" s="8" t="s">
        <v>72</v>
      </c>
      <c r="V24" s="8" t="s">
        <v>117</v>
      </c>
      <c r="W24" s="30"/>
      <c r="X24" s="15"/>
      <c r="Y24" s="15"/>
      <c r="Z24" s="15"/>
    </row>
    <row r="25" ht="66" spans="1:26">
      <c r="A25" s="26" t="str">
        <f t="shared" si="14"/>
        <v>ID-0013</v>
      </c>
      <c r="B25" s="10" t="s">
        <v>190</v>
      </c>
      <c r="C25" s="10" t="s">
        <v>241</v>
      </c>
      <c r="D25" s="28" t="s">
        <v>227</v>
      </c>
      <c r="E25" s="28" t="s">
        <v>242</v>
      </c>
      <c r="F25" s="28" t="s">
        <v>243</v>
      </c>
      <c r="G25" s="28" t="s">
        <v>244</v>
      </c>
      <c r="H25" s="8" t="s">
        <v>70</v>
      </c>
      <c r="I25" s="8" t="s">
        <v>69</v>
      </c>
      <c r="J25" s="8" t="s">
        <v>245</v>
      </c>
      <c r="K25" s="33" t="s">
        <v>164</v>
      </c>
      <c r="L25" s="8" t="s">
        <v>117</v>
      </c>
      <c r="M25" s="8" t="s">
        <v>69</v>
      </c>
      <c r="N25" s="8" t="s">
        <v>69</v>
      </c>
      <c r="O25" s="8"/>
      <c r="P25" s="37">
        <v>46002</v>
      </c>
      <c r="Q25" s="8" t="s">
        <v>117</v>
      </c>
      <c r="R25" s="8" t="s">
        <v>69</v>
      </c>
      <c r="S25" s="8" t="s">
        <v>69</v>
      </c>
      <c r="T25" s="8"/>
      <c r="U25" s="8" t="s">
        <v>72</v>
      </c>
      <c r="V25" s="8" t="s">
        <v>117</v>
      </c>
      <c r="W25" s="30"/>
      <c r="X25" s="15"/>
      <c r="Y25" s="15"/>
      <c r="Z25" s="15"/>
    </row>
    <row r="26" ht="39.75" customHeight="1" spans="1:26">
      <c r="A26" s="26" t="str">
        <f t="shared" si="14"/>
        <v>ID-0014</v>
      </c>
      <c r="B26" s="10" t="s">
        <v>190</v>
      </c>
      <c r="C26" s="53" t="s">
        <v>246</v>
      </c>
      <c r="D26" s="29" t="s">
        <v>247</v>
      </c>
      <c r="E26" s="29" t="s">
        <v>208</v>
      </c>
      <c r="F26" s="29" t="s">
        <v>209</v>
      </c>
      <c r="G26" s="29" t="s">
        <v>210</v>
      </c>
      <c r="H26" s="8" t="s">
        <v>69</v>
      </c>
      <c r="I26" s="8" t="s">
        <v>69</v>
      </c>
      <c r="J26" s="8"/>
      <c r="K26" s="33" t="s">
        <v>164</v>
      </c>
      <c r="L26" s="8" t="s">
        <v>117</v>
      </c>
      <c r="M26" s="8" t="s">
        <v>69</v>
      </c>
      <c r="N26" s="8" t="s">
        <v>69</v>
      </c>
      <c r="O26" s="8"/>
      <c r="P26" s="37">
        <v>46002</v>
      </c>
      <c r="Q26" s="8" t="s">
        <v>117</v>
      </c>
      <c r="R26" s="8" t="s">
        <v>69</v>
      </c>
      <c r="S26" s="8" t="s">
        <v>69</v>
      </c>
      <c r="T26" s="8"/>
      <c r="U26" s="8" t="s">
        <v>72</v>
      </c>
      <c r="V26" s="8" t="s">
        <v>117</v>
      </c>
      <c r="W26" s="30"/>
      <c r="X26" s="15"/>
      <c r="Y26" s="15"/>
      <c r="Z26" s="15"/>
    </row>
    <row r="27" ht="58.5" customHeight="1" spans="1:26">
      <c r="A27" s="26" t="str">
        <f t="shared" si="14"/>
        <v>ID-0015</v>
      </c>
      <c r="B27" s="10" t="s">
        <v>190</v>
      </c>
      <c r="C27" s="53" t="s">
        <v>248</v>
      </c>
      <c r="D27" s="29" t="s">
        <v>247</v>
      </c>
      <c r="E27" s="29" t="s">
        <v>249</v>
      </c>
      <c r="F27" s="29" t="s">
        <v>250</v>
      </c>
      <c r="G27" s="29" t="s">
        <v>251</v>
      </c>
      <c r="H27" s="8" t="s">
        <v>69</v>
      </c>
      <c r="I27" s="8" t="s">
        <v>69</v>
      </c>
      <c r="J27" s="8"/>
      <c r="K27" s="33" t="s">
        <v>164</v>
      </c>
      <c r="L27" s="8" t="s">
        <v>117</v>
      </c>
      <c r="M27" s="8" t="s">
        <v>69</v>
      </c>
      <c r="N27" s="8" t="s">
        <v>69</v>
      </c>
      <c r="O27" s="8"/>
      <c r="P27" s="37">
        <v>46002</v>
      </c>
      <c r="Q27" s="8" t="s">
        <v>117</v>
      </c>
      <c r="R27" s="8" t="s">
        <v>69</v>
      </c>
      <c r="S27" s="8" t="s">
        <v>69</v>
      </c>
      <c r="T27" s="8"/>
      <c r="U27" s="8" t="s">
        <v>72</v>
      </c>
      <c r="V27" s="8" t="s">
        <v>117</v>
      </c>
      <c r="W27" s="30"/>
      <c r="X27" s="15"/>
      <c r="Y27" s="15"/>
      <c r="Z27" s="15"/>
    </row>
    <row r="28" ht="49.5" customHeight="1" spans="1:26">
      <c r="A28" s="26" t="str">
        <f t="shared" si="14"/>
        <v>ID-0016</v>
      </c>
      <c r="B28" s="10" t="s">
        <v>190</v>
      </c>
      <c r="C28" s="50" t="s">
        <v>252</v>
      </c>
      <c r="D28" s="10" t="s">
        <v>253</v>
      </c>
      <c r="E28" s="50" t="s">
        <v>254</v>
      </c>
      <c r="F28" s="10" t="s">
        <v>255</v>
      </c>
      <c r="G28" s="9" t="s">
        <v>256</v>
      </c>
      <c r="H28" s="8" t="s">
        <v>69</v>
      </c>
      <c r="I28" s="8" t="s">
        <v>69</v>
      </c>
      <c r="J28" s="8"/>
      <c r="K28" s="33" t="s">
        <v>164</v>
      </c>
      <c r="L28" s="8" t="s">
        <v>117</v>
      </c>
      <c r="M28" s="8" t="s">
        <v>69</v>
      </c>
      <c r="N28" s="8" t="s">
        <v>69</v>
      </c>
      <c r="O28" s="8"/>
      <c r="P28" s="37">
        <v>46002</v>
      </c>
      <c r="Q28" s="8" t="s">
        <v>117</v>
      </c>
      <c r="R28" s="8" t="s">
        <v>69</v>
      </c>
      <c r="S28" s="8" t="s">
        <v>69</v>
      </c>
      <c r="T28" s="8"/>
      <c r="U28" s="8" t="s">
        <v>72</v>
      </c>
      <c r="V28" s="8" t="s">
        <v>117</v>
      </c>
      <c r="W28" s="30"/>
      <c r="X28" s="15"/>
      <c r="Y28" s="15"/>
      <c r="Z28" s="15"/>
    </row>
    <row r="29" customHeight="1" spans="1:26">
      <c r="A29" s="26"/>
      <c r="B29" s="34"/>
      <c r="C29" s="30"/>
      <c r="D29" s="30"/>
      <c r="E29" s="30"/>
      <c r="F29" s="30"/>
      <c r="G29" s="30"/>
      <c r="H29" s="8"/>
      <c r="I29" s="8"/>
      <c r="J29" s="8"/>
      <c r="K29" s="8"/>
      <c r="L29" s="8"/>
      <c r="M29" s="8"/>
      <c r="N29" s="8"/>
      <c r="O29" s="8"/>
      <c r="P29" s="8"/>
      <c r="Q29" s="8"/>
      <c r="R29" s="8"/>
      <c r="S29" s="8"/>
      <c r="T29" s="8"/>
      <c r="U29" s="8"/>
      <c r="V29" s="8"/>
      <c r="W29" s="30"/>
      <c r="X29" s="15"/>
      <c r="Y29" s="15"/>
      <c r="Z29" s="15"/>
    </row>
    <row r="30" customHeight="1" spans="1:26">
      <c r="A30" s="26"/>
      <c r="B30" s="30"/>
      <c r="C30" s="30"/>
      <c r="D30" s="30"/>
      <c r="E30" s="30"/>
      <c r="F30" s="30"/>
      <c r="G30" s="30"/>
      <c r="H30" s="8"/>
      <c r="I30" s="8"/>
      <c r="J30" s="8"/>
      <c r="K30" s="8"/>
      <c r="L30" s="8"/>
      <c r="M30" s="8"/>
      <c r="N30" s="8"/>
      <c r="O30" s="8"/>
      <c r="P30" s="8"/>
      <c r="Q30" s="8"/>
      <c r="R30" s="8"/>
      <c r="S30" s="8"/>
      <c r="T30" s="8"/>
      <c r="U30" s="8"/>
      <c r="V30" s="8"/>
      <c r="W30" s="30"/>
      <c r="X30" s="15"/>
      <c r="Y30" s="15"/>
      <c r="Z30" s="15"/>
    </row>
    <row r="31" customHeight="1" spans="1:26">
      <c r="A31" s="26"/>
      <c r="B31" s="30"/>
      <c r="C31" s="30"/>
      <c r="D31" s="30"/>
      <c r="E31" s="30"/>
      <c r="F31" s="30"/>
      <c r="G31" s="30"/>
      <c r="H31" s="8"/>
      <c r="I31" s="8"/>
      <c r="J31" s="8"/>
      <c r="K31" s="8"/>
      <c r="L31" s="8"/>
      <c r="M31" s="8"/>
      <c r="N31" s="8"/>
      <c r="O31" s="8"/>
      <c r="P31" s="8"/>
      <c r="Q31" s="8"/>
      <c r="R31" s="8"/>
      <c r="S31" s="8"/>
      <c r="T31" s="8"/>
      <c r="U31" s="8"/>
      <c r="V31" s="8"/>
      <c r="W31" s="30"/>
      <c r="X31" s="15"/>
      <c r="Y31" s="15"/>
      <c r="Z31" s="15"/>
    </row>
    <row r="32" customHeight="1" spans="1:26">
      <c r="A32" s="26"/>
      <c r="B32" s="30"/>
      <c r="C32" s="30"/>
      <c r="D32" s="30"/>
      <c r="E32" s="30"/>
      <c r="F32" s="30"/>
      <c r="G32" s="30"/>
      <c r="H32" s="8"/>
      <c r="I32" s="8"/>
      <c r="J32" s="8"/>
      <c r="K32" s="8"/>
      <c r="L32" s="8"/>
      <c r="M32" s="8"/>
      <c r="N32" s="8"/>
      <c r="O32" s="8"/>
      <c r="P32" s="8"/>
      <c r="Q32" s="8"/>
      <c r="R32" s="8"/>
      <c r="S32" s="8"/>
      <c r="T32" s="8"/>
      <c r="U32" s="8"/>
      <c r="V32" s="8"/>
      <c r="W32" s="30"/>
      <c r="X32" s="15"/>
      <c r="Y32" s="15"/>
      <c r="Z32" s="15"/>
    </row>
    <row r="33" customHeight="1" spans="1:26">
      <c r="A33" s="26"/>
      <c r="B33" s="30"/>
      <c r="C33" s="30"/>
      <c r="D33" s="30"/>
      <c r="E33" s="30"/>
      <c r="F33" s="30"/>
      <c r="G33" s="30"/>
      <c r="H33" s="8"/>
      <c r="I33" s="8"/>
      <c r="J33" s="8"/>
      <c r="K33" s="8"/>
      <c r="L33" s="8"/>
      <c r="M33" s="8"/>
      <c r="N33" s="8"/>
      <c r="O33" s="8"/>
      <c r="P33" s="8"/>
      <c r="Q33" s="8"/>
      <c r="R33" s="8"/>
      <c r="S33" s="8"/>
      <c r="T33" s="8"/>
      <c r="U33" s="8"/>
      <c r="V33" s="8"/>
      <c r="W33" s="30"/>
      <c r="X33" s="15"/>
      <c r="Y33" s="15"/>
      <c r="Z33" s="15"/>
    </row>
    <row r="34" customHeight="1" spans="1:26">
      <c r="A34" s="26"/>
      <c r="B34" s="30"/>
      <c r="C34" s="30"/>
      <c r="D34" s="30"/>
      <c r="E34" s="30"/>
      <c r="F34" s="30"/>
      <c r="G34" s="30"/>
      <c r="H34" s="8"/>
      <c r="I34" s="8"/>
      <c r="J34" s="8"/>
      <c r="K34" s="8"/>
      <c r="L34" s="8"/>
      <c r="M34" s="8"/>
      <c r="N34" s="8"/>
      <c r="O34" s="8"/>
      <c r="P34" s="8"/>
      <c r="Q34" s="8"/>
      <c r="R34" s="8"/>
      <c r="S34" s="8"/>
      <c r="T34" s="8"/>
      <c r="U34" s="8"/>
      <c r="V34" s="8"/>
      <c r="W34" s="30"/>
      <c r="X34" s="15"/>
      <c r="Y34" s="15"/>
      <c r="Z34" s="15"/>
    </row>
    <row r="35" customHeight="1" spans="1:26">
      <c r="A35" s="26"/>
      <c r="B35" s="30"/>
      <c r="C35" s="30"/>
      <c r="D35" s="30"/>
      <c r="E35" s="30"/>
      <c r="F35" s="30"/>
      <c r="G35" s="30"/>
      <c r="H35" s="8"/>
      <c r="I35" s="8"/>
      <c r="J35" s="8"/>
      <c r="K35" s="8"/>
      <c r="L35" s="8"/>
      <c r="M35" s="8"/>
      <c r="N35" s="8"/>
      <c r="O35" s="8"/>
      <c r="P35" s="8"/>
      <c r="Q35" s="8"/>
      <c r="R35" s="8"/>
      <c r="S35" s="8"/>
      <c r="T35" s="8"/>
      <c r="U35" s="8"/>
      <c r="V35" s="8"/>
      <c r="W35" s="30"/>
      <c r="X35" s="15"/>
      <c r="Y35" s="15"/>
      <c r="Z35" s="15"/>
    </row>
    <row r="36" customHeight="1" spans="1:26">
      <c r="A36" s="26"/>
      <c r="B36" s="30"/>
      <c r="C36" s="30"/>
      <c r="D36" s="30"/>
      <c r="E36" s="30"/>
      <c r="F36" s="30"/>
      <c r="G36" s="30"/>
      <c r="H36" s="8"/>
      <c r="I36" s="8"/>
      <c r="J36" s="8"/>
      <c r="K36" s="8"/>
      <c r="L36" s="8"/>
      <c r="M36" s="8"/>
      <c r="N36" s="8"/>
      <c r="O36" s="8"/>
      <c r="P36" s="8"/>
      <c r="Q36" s="8"/>
      <c r="R36" s="8"/>
      <c r="S36" s="8"/>
      <c r="T36" s="8"/>
      <c r="U36" s="8"/>
      <c r="V36" s="8"/>
      <c r="W36" s="30"/>
      <c r="X36" s="15"/>
      <c r="Y36" s="15"/>
      <c r="Z36" s="15"/>
    </row>
    <row r="37" customHeight="1" spans="1:26">
      <c r="A37" s="26"/>
      <c r="B37" s="30"/>
      <c r="C37" s="30"/>
      <c r="D37" s="30"/>
      <c r="E37" s="30"/>
      <c r="F37" s="30"/>
      <c r="G37" s="30"/>
      <c r="H37" s="8"/>
      <c r="I37" s="8"/>
      <c r="J37" s="8"/>
      <c r="K37" s="8"/>
      <c r="L37" s="8"/>
      <c r="M37" s="8"/>
      <c r="N37" s="8"/>
      <c r="O37" s="8"/>
      <c r="P37" s="8"/>
      <c r="Q37" s="8"/>
      <c r="R37" s="8"/>
      <c r="S37" s="8"/>
      <c r="T37" s="8"/>
      <c r="U37" s="8"/>
      <c r="V37" s="8"/>
      <c r="W37" s="30"/>
      <c r="X37" s="15"/>
      <c r="Y37" s="15"/>
      <c r="Z37" s="15"/>
    </row>
    <row r="38" customHeight="1" spans="1:26">
      <c r="A38" s="17"/>
      <c r="B38" s="15"/>
      <c r="C38" s="15"/>
      <c r="D38" s="15"/>
      <c r="E38" s="15"/>
      <c r="F38" s="15"/>
      <c r="G38" s="15"/>
      <c r="H38" s="16"/>
      <c r="I38" s="16"/>
      <c r="J38" s="16"/>
      <c r="K38" s="16"/>
      <c r="L38" s="16"/>
      <c r="M38" s="16"/>
      <c r="N38" s="16"/>
      <c r="O38" s="16"/>
      <c r="P38" s="16"/>
      <c r="Q38" s="16"/>
      <c r="R38" s="16"/>
      <c r="S38" s="16"/>
      <c r="T38" s="16"/>
      <c r="U38" s="16"/>
      <c r="V38" s="16"/>
      <c r="W38" s="15"/>
      <c r="X38" s="15"/>
      <c r="Y38" s="15"/>
      <c r="Z38" s="15"/>
    </row>
    <row r="39" customHeight="1" spans="1:26">
      <c r="A39" s="17"/>
      <c r="B39" s="15"/>
      <c r="C39" s="15"/>
      <c r="D39" s="15"/>
      <c r="E39" s="15"/>
      <c r="F39" s="15"/>
      <c r="G39" s="15"/>
      <c r="H39" s="16"/>
      <c r="I39" s="16"/>
      <c r="J39" s="16"/>
      <c r="K39" s="16"/>
      <c r="L39" s="16"/>
      <c r="M39" s="16"/>
      <c r="N39" s="16"/>
      <c r="O39" s="16"/>
      <c r="P39" s="16"/>
      <c r="Q39" s="16"/>
      <c r="R39" s="16"/>
      <c r="S39" s="16"/>
      <c r="T39" s="16"/>
      <c r="U39" s="16"/>
      <c r="V39" s="16"/>
      <c r="W39" s="15"/>
      <c r="X39" s="15"/>
      <c r="Y39" s="15"/>
      <c r="Z39" s="15"/>
    </row>
    <row r="40" customHeight="1" spans="1:26">
      <c r="A40" s="17"/>
      <c r="B40" s="15"/>
      <c r="C40" s="15"/>
      <c r="D40" s="15"/>
      <c r="E40" s="15"/>
      <c r="F40" s="15"/>
      <c r="G40" s="15"/>
      <c r="H40" s="16"/>
      <c r="I40" s="16"/>
      <c r="J40" s="16"/>
      <c r="K40" s="16"/>
      <c r="L40" s="16"/>
      <c r="M40" s="16"/>
      <c r="N40" s="16"/>
      <c r="O40" s="16"/>
      <c r="P40" s="16"/>
      <c r="Q40" s="16"/>
      <c r="R40" s="16"/>
      <c r="S40" s="16"/>
      <c r="T40" s="16"/>
      <c r="U40" s="16"/>
      <c r="V40" s="16"/>
      <c r="W40" s="15"/>
      <c r="X40" s="15"/>
      <c r="Y40" s="15"/>
      <c r="Z40" s="15"/>
    </row>
    <row r="41" customHeight="1" spans="1:26">
      <c r="A41" s="17"/>
      <c r="B41" s="15"/>
      <c r="C41" s="15"/>
      <c r="D41" s="15"/>
      <c r="E41" s="15"/>
      <c r="F41" s="15"/>
      <c r="G41" s="15"/>
      <c r="H41" s="16"/>
      <c r="I41" s="16"/>
      <c r="J41" s="16"/>
      <c r="K41" s="16"/>
      <c r="L41" s="16"/>
      <c r="M41" s="16"/>
      <c r="N41" s="16"/>
      <c r="O41" s="16"/>
      <c r="P41" s="16"/>
      <c r="Q41" s="16"/>
      <c r="R41" s="16"/>
      <c r="S41" s="16"/>
      <c r="T41" s="16"/>
      <c r="U41" s="16"/>
      <c r="V41" s="16"/>
      <c r="W41" s="15"/>
      <c r="X41" s="15"/>
      <c r="Y41" s="15"/>
      <c r="Z41" s="15"/>
    </row>
    <row r="42" customHeight="1" spans="1:26">
      <c r="A42" s="17"/>
      <c r="B42" s="15"/>
      <c r="C42" s="15"/>
      <c r="D42" s="15"/>
      <c r="E42" s="15"/>
      <c r="F42" s="15"/>
      <c r="G42" s="15"/>
      <c r="H42" s="16"/>
      <c r="I42" s="16"/>
      <c r="J42" s="16"/>
      <c r="K42" s="16"/>
      <c r="L42" s="16"/>
      <c r="M42" s="16"/>
      <c r="N42" s="16"/>
      <c r="O42" s="16"/>
      <c r="P42" s="16"/>
      <c r="Q42" s="16"/>
      <c r="R42" s="16"/>
      <c r="S42" s="16"/>
      <c r="T42" s="16"/>
      <c r="U42" s="16"/>
      <c r="V42" s="16"/>
      <c r="W42" s="15"/>
      <c r="X42" s="15"/>
      <c r="Y42" s="15"/>
      <c r="Z42" s="15"/>
    </row>
    <row r="43" customHeight="1" spans="1:26">
      <c r="A43" s="17"/>
      <c r="B43" s="15"/>
      <c r="C43" s="15"/>
      <c r="D43" s="15"/>
      <c r="E43" s="15"/>
      <c r="F43" s="15"/>
      <c r="G43" s="15"/>
      <c r="H43" s="16"/>
      <c r="I43" s="16"/>
      <c r="J43" s="16"/>
      <c r="K43" s="16"/>
      <c r="L43" s="16"/>
      <c r="M43" s="16"/>
      <c r="N43" s="16"/>
      <c r="O43" s="16"/>
      <c r="P43" s="16"/>
      <c r="Q43" s="16"/>
      <c r="R43" s="16"/>
      <c r="S43" s="16"/>
      <c r="T43" s="16"/>
      <c r="U43" s="16"/>
      <c r="V43" s="16"/>
      <c r="W43" s="15"/>
      <c r="X43" s="15"/>
      <c r="Y43" s="15"/>
      <c r="Z43" s="15"/>
    </row>
    <row r="44" customHeight="1" spans="1:26">
      <c r="A44" s="17"/>
      <c r="B44" s="15"/>
      <c r="C44" s="15"/>
      <c r="D44" s="15"/>
      <c r="E44" s="15"/>
      <c r="F44" s="15"/>
      <c r="G44" s="15"/>
      <c r="H44" s="16"/>
      <c r="I44" s="16"/>
      <c r="J44" s="16"/>
      <c r="K44" s="16"/>
      <c r="L44" s="16"/>
      <c r="M44" s="16"/>
      <c r="N44" s="16"/>
      <c r="O44" s="16"/>
      <c r="P44" s="16"/>
      <c r="Q44" s="16"/>
      <c r="R44" s="16"/>
      <c r="S44" s="16"/>
      <c r="T44" s="16"/>
      <c r="U44" s="16"/>
      <c r="V44" s="16"/>
      <c r="W44" s="15"/>
      <c r="X44" s="15"/>
      <c r="Y44" s="15"/>
      <c r="Z44" s="15"/>
    </row>
    <row r="45" customHeight="1" spans="1:26">
      <c r="A45" s="17"/>
      <c r="B45" s="15"/>
      <c r="C45" s="15"/>
      <c r="D45" s="15"/>
      <c r="E45" s="15"/>
      <c r="F45" s="15"/>
      <c r="G45" s="15"/>
      <c r="H45" s="16"/>
      <c r="I45" s="16"/>
      <c r="J45" s="16"/>
      <c r="K45" s="16"/>
      <c r="L45" s="16"/>
      <c r="M45" s="16"/>
      <c r="N45" s="16"/>
      <c r="O45" s="16"/>
      <c r="P45" s="16"/>
      <c r="Q45" s="16"/>
      <c r="R45" s="16"/>
      <c r="S45" s="16"/>
      <c r="T45" s="16"/>
      <c r="U45" s="16"/>
      <c r="V45" s="16"/>
      <c r="W45" s="15"/>
      <c r="X45" s="15"/>
      <c r="Y45" s="15"/>
      <c r="Z45" s="15"/>
    </row>
    <row r="46" customHeight="1" spans="1:26">
      <c r="A46" s="17"/>
      <c r="B46" s="15"/>
      <c r="C46" s="15"/>
      <c r="D46" s="15"/>
      <c r="E46" s="15"/>
      <c r="F46" s="15"/>
      <c r="G46" s="15"/>
      <c r="H46" s="16"/>
      <c r="I46" s="16"/>
      <c r="J46" s="16"/>
      <c r="K46" s="16"/>
      <c r="L46" s="16"/>
      <c r="M46" s="16"/>
      <c r="N46" s="16"/>
      <c r="O46" s="16"/>
      <c r="P46" s="16"/>
      <c r="Q46" s="16"/>
      <c r="R46" s="16"/>
      <c r="S46" s="16"/>
      <c r="T46" s="16"/>
      <c r="U46" s="16"/>
      <c r="V46" s="16"/>
      <c r="W46" s="15"/>
      <c r="X46" s="15"/>
      <c r="Y46" s="15"/>
      <c r="Z46" s="15"/>
    </row>
    <row r="47" customHeight="1" spans="1:26">
      <c r="A47" s="17"/>
      <c r="B47" s="15"/>
      <c r="C47" s="15"/>
      <c r="D47" s="15"/>
      <c r="E47" s="15"/>
      <c r="F47" s="15"/>
      <c r="G47" s="15"/>
      <c r="H47" s="16"/>
      <c r="I47" s="16"/>
      <c r="J47" s="16"/>
      <c r="K47" s="16"/>
      <c r="L47" s="16"/>
      <c r="M47" s="16"/>
      <c r="N47" s="16"/>
      <c r="O47" s="16"/>
      <c r="P47" s="16"/>
      <c r="Q47" s="16"/>
      <c r="R47" s="16"/>
      <c r="S47" s="16"/>
      <c r="T47" s="16"/>
      <c r="U47" s="16"/>
      <c r="V47" s="16"/>
      <c r="W47" s="15"/>
      <c r="X47" s="15"/>
      <c r="Y47" s="15"/>
      <c r="Z47" s="15"/>
    </row>
    <row r="48" customHeight="1" spans="1:26">
      <c r="A48" s="17"/>
      <c r="B48" s="15"/>
      <c r="C48" s="15"/>
      <c r="D48" s="15"/>
      <c r="E48" s="15"/>
      <c r="F48" s="15"/>
      <c r="G48" s="15"/>
      <c r="H48" s="16"/>
      <c r="I48" s="16"/>
      <c r="J48" s="16"/>
      <c r="K48" s="16"/>
      <c r="L48" s="16"/>
      <c r="M48" s="16"/>
      <c r="N48" s="16"/>
      <c r="O48" s="16"/>
      <c r="P48" s="16"/>
      <c r="Q48" s="16"/>
      <c r="R48" s="16"/>
      <c r="S48" s="16"/>
      <c r="T48" s="16"/>
      <c r="U48" s="16"/>
      <c r="V48" s="16"/>
      <c r="W48" s="15"/>
      <c r="X48" s="15"/>
      <c r="Y48" s="15"/>
      <c r="Z48" s="15"/>
    </row>
    <row r="49" customHeight="1" spans="1:26">
      <c r="A49" s="17"/>
      <c r="B49" s="15"/>
      <c r="C49" s="15"/>
      <c r="D49" s="15"/>
      <c r="E49" s="15"/>
      <c r="F49" s="15"/>
      <c r="G49" s="15"/>
      <c r="H49" s="16"/>
      <c r="I49" s="16"/>
      <c r="J49" s="16"/>
      <c r="K49" s="16"/>
      <c r="L49" s="16"/>
      <c r="M49" s="16"/>
      <c r="N49" s="16"/>
      <c r="O49" s="16"/>
      <c r="P49" s="16"/>
      <c r="Q49" s="16"/>
      <c r="R49" s="16"/>
      <c r="S49" s="16"/>
      <c r="T49" s="16"/>
      <c r="U49" s="16"/>
      <c r="V49" s="16"/>
      <c r="W49" s="15"/>
      <c r="X49" s="15"/>
      <c r="Y49" s="15"/>
      <c r="Z49" s="15"/>
    </row>
    <row r="50" customHeight="1" spans="1:26">
      <c r="A50" s="17"/>
      <c r="B50" s="15"/>
      <c r="C50" s="15"/>
      <c r="D50" s="15"/>
      <c r="E50" s="15"/>
      <c r="F50" s="15"/>
      <c r="G50" s="15"/>
      <c r="H50" s="16"/>
      <c r="I50" s="16"/>
      <c r="J50" s="16"/>
      <c r="K50" s="16"/>
      <c r="L50" s="16"/>
      <c r="M50" s="16"/>
      <c r="N50" s="16"/>
      <c r="O50" s="16"/>
      <c r="P50" s="16"/>
      <c r="Q50" s="16"/>
      <c r="R50" s="16"/>
      <c r="S50" s="16"/>
      <c r="T50" s="16"/>
      <c r="U50" s="16"/>
      <c r="V50" s="16"/>
      <c r="W50" s="15"/>
      <c r="X50" s="15"/>
      <c r="Y50" s="15"/>
      <c r="Z50" s="15"/>
    </row>
    <row r="51" customHeight="1" spans="1:26">
      <c r="A51" s="17"/>
      <c r="B51" s="15"/>
      <c r="C51" s="15"/>
      <c r="D51" s="15"/>
      <c r="E51" s="15"/>
      <c r="F51" s="15"/>
      <c r="G51" s="15"/>
      <c r="H51" s="16"/>
      <c r="I51" s="16"/>
      <c r="J51" s="16"/>
      <c r="K51" s="16"/>
      <c r="L51" s="16"/>
      <c r="M51" s="16"/>
      <c r="N51" s="16"/>
      <c r="O51" s="16"/>
      <c r="P51" s="16"/>
      <c r="Q51" s="16"/>
      <c r="R51" s="16"/>
      <c r="S51" s="16"/>
      <c r="T51" s="16"/>
      <c r="U51" s="16"/>
      <c r="V51" s="16"/>
      <c r="W51" s="15"/>
      <c r="X51" s="15"/>
      <c r="Y51" s="15"/>
      <c r="Z51" s="15"/>
    </row>
    <row r="52" customHeight="1" spans="1:26">
      <c r="A52" s="17"/>
      <c r="B52" s="15"/>
      <c r="C52" s="15"/>
      <c r="D52" s="15"/>
      <c r="E52" s="15"/>
      <c r="F52" s="15"/>
      <c r="G52" s="15"/>
      <c r="H52" s="16"/>
      <c r="I52" s="16"/>
      <c r="J52" s="16"/>
      <c r="K52" s="16"/>
      <c r="L52" s="16"/>
      <c r="M52" s="16"/>
      <c r="N52" s="16"/>
      <c r="O52" s="16"/>
      <c r="P52" s="16"/>
      <c r="Q52" s="16"/>
      <c r="R52" s="16"/>
      <c r="S52" s="16"/>
      <c r="T52" s="16"/>
      <c r="U52" s="16"/>
      <c r="V52" s="16"/>
      <c r="W52" s="15"/>
      <c r="X52" s="15"/>
      <c r="Y52" s="15"/>
      <c r="Z52" s="15"/>
    </row>
    <row r="53" customHeight="1" spans="1:26">
      <c r="A53" s="17"/>
      <c r="B53" s="15"/>
      <c r="C53" s="15"/>
      <c r="D53" s="15"/>
      <c r="E53" s="15"/>
      <c r="F53" s="15"/>
      <c r="G53" s="15"/>
      <c r="H53" s="16"/>
      <c r="I53" s="16"/>
      <c r="J53" s="16"/>
      <c r="K53" s="16"/>
      <c r="L53" s="16"/>
      <c r="M53" s="16"/>
      <c r="N53" s="16"/>
      <c r="O53" s="16"/>
      <c r="P53" s="16"/>
      <c r="Q53" s="16"/>
      <c r="R53" s="16"/>
      <c r="S53" s="16"/>
      <c r="T53" s="16"/>
      <c r="U53" s="16"/>
      <c r="V53" s="16"/>
      <c r="W53" s="15"/>
      <c r="X53" s="15"/>
      <c r="Y53" s="15"/>
      <c r="Z53" s="15"/>
    </row>
    <row r="54" customHeight="1" spans="1:26">
      <c r="A54" s="17"/>
      <c r="B54" s="15"/>
      <c r="C54" s="15"/>
      <c r="D54" s="15"/>
      <c r="E54" s="15"/>
      <c r="F54" s="15"/>
      <c r="G54" s="15"/>
      <c r="H54" s="16"/>
      <c r="I54" s="16"/>
      <c r="J54" s="16"/>
      <c r="K54" s="16"/>
      <c r="L54" s="16"/>
      <c r="M54" s="16"/>
      <c r="N54" s="16"/>
      <c r="O54" s="16"/>
      <c r="P54" s="16"/>
      <c r="Q54" s="16"/>
      <c r="R54" s="16"/>
      <c r="S54" s="16"/>
      <c r="T54" s="16"/>
      <c r="U54" s="16"/>
      <c r="V54" s="16"/>
      <c r="W54" s="15"/>
      <c r="X54" s="15"/>
      <c r="Y54" s="15"/>
      <c r="Z54" s="15"/>
    </row>
    <row r="55" customHeight="1" spans="1:26">
      <c r="A55" s="17"/>
      <c r="B55" s="15"/>
      <c r="C55" s="15"/>
      <c r="D55" s="15"/>
      <c r="E55" s="15"/>
      <c r="F55" s="15"/>
      <c r="G55" s="15"/>
      <c r="H55" s="16"/>
      <c r="I55" s="16"/>
      <c r="J55" s="16"/>
      <c r="K55" s="16"/>
      <c r="L55" s="16"/>
      <c r="M55" s="16"/>
      <c r="N55" s="16"/>
      <c r="O55" s="16"/>
      <c r="P55" s="16"/>
      <c r="Q55" s="16"/>
      <c r="R55" s="16"/>
      <c r="S55" s="16"/>
      <c r="T55" s="16"/>
      <c r="U55" s="16"/>
      <c r="V55" s="16"/>
      <c r="W55" s="15"/>
      <c r="X55" s="15"/>
      <c r="Y55" s="15"/>
      <c r="Z55" s="15"/>
    </row>
    <row r="56" customHeight="1" spans="1:26">
      <c r="A56" s="17"/>
      <c r="B56" s="15"/>
      <c r="C56" s="15"/>
      <c r="D56" s="15"/>
      <c r="E56" s="15"/>
      <c r="F56" s="15"/>
      <c r="G56" s="15"/>
      <c r="H56" s="16"/>
      <c r="I56" s="16"/>
      <c r="J56" s="16"/>
      <c r="K56" s="16"/>
      <c r="L56" s="16"/>
      <c r="M56" s="16"/>
      <c r="N56" s="16"/>
      <c r="O56" s="16"/>
      <c r="P56" s="16"/>
      <c r="Q56" s="16"/>
      <c r="R56" s="16"/>
      <c r="S56" s="16"/>
      <c r="T56" s="16"/>
      <c r="U56" s="16"/>
      <c r="V56" s="16"/>
      <c r="W56" s="15"/>
      <c r="X56" s="15"/>
      <c r="Y56" s="15"/>
      <c r="Z56" s="15"/>
    </row>
    <row r="57" customHeight="1" spans="1:26">
      <c r="A57" s="17"/>
      <c r="B57" s="15"/>
      <c r="C57" s="15"/>
      <c r="D57" s="15"/>
      <c r="E57" s="15"/>
      <c r="F57" s="15"/>
      <c r="G57" s="15"/>
      <c r="H57" s="16"/>
      <c r="I57" s="16"/>
      <c r="J57" s="16"/>
      <c r="K57" s="16"/>
      <c r="L57" s="16"/>
      <c r="M57" s="16"/>
      <c r="N57" s="16"/>
      <c r="O57" s="16"/>
      <c r="P57" s="16"/>
      <c r="Q57" s="16"/>
      <c r="R57" s="16"/>
      <c r="S57" s="16"/>
      <c r="T57" s="16"/>
      <c r="U57" s="16"/>
      <c r="V57" s="16"/>
      <c r="W57" s="15"/>
      <c r="X57" s="15"/>
      <c r="Y57" s="15"/>
      <c r="Z57" s="15"/>
    </row>
    <row r="58" customHeight="1" spans="1:26">
      <c r="A58" s="17"/>
      <c r="B58" s="15"/>
      <c r="C58" s="15"/>
      <c r="D58" s="15"/>
      <c r="E58" s="15"/>
      <c r="F58" s="15"/>
      <c r="G58" s="15"/>
      <c r="H58" s="16"/>
      <c r="I58" s="16"/>
      <c r="J58" s="16"/>
      <c r="K58" s="16"/>
      <c r="L58" s="16"/>
      <c r="M58" s="16"/>
      <c r="N58" s="16"/>
      <c r="O58" s="16"/>
      <c r="P58" s="16"/>
      <c r="Q58" s="16"/>
      <c r="R58" s="16"/>
      <c r="S58" s="16"/>
      <c r="T58" s="16"/>
      <c r="U58" s="16"/>
      <c r="V58" s="16"/>
      <c r="W58" s="15"/>
      <c r="X58" s="15"/>
      <c r="Y58" s="15"/>
      <c r="Z58" s="15"/>
    </row>
    <row r="59" customHeight="1" spans="1:26">
      <c r="A59" s="17"/>
      <c r="B59" s="15"/>
      <c r="C59" s="15"/>
      <c r="D59" s="15"/>
      <c r="E59" s="15"/>
      <c r="F59" s="15"/>
      <c r="G59" s="15"/>
      <c r="H59" s="16"/>
      <c r="I59" s="16"/>
      <c r="J59" s="16"/>
      <c r="K59" s="16"/>
      <c r="L59" s="16"/>
      <c r="M59" s="16"/>
      <c r="N59" s="16"/>
      <c r="O59" s="16"/>
      <c r="P59" s="16"/>
      <c r="Q59" s="16"/>
      <c r="R59" s="16"/>
      <c r="S59" s="16"/>
      <c r="T59" s="16"/>
      <c r="U59" s="16"/>
      <c r="V59" s="16"/>
      <c r="W59" s="15"/>
      <c r="X59" s="15"/>
      <c r="Y59" s="15"/>
      <c r="Z59" s="15"/>
    </row>
    <row r="60" customHeight="1" spans="1:26">
      <c r="A60" s="17"/>
      <c r="B60" s="15"/>
      <c r="C60" s="15"/>
      <c r="D60" s="15"/>
      <c r="E60" s="15"/>
      <c r="F60" s="15"/>
      <c r="G60" s="15"/>
      <c r="H60" s="16"/>
      <c r="I60" s="16"/>
      <c r="J60" s="16"/>
      <c r="K60" s="16"/>
      <c r="L60" s="16"/>
      <c r="M60" s="16"/>
      <c r="N60" s="16"/>
      <c r="O60" s="16"/>
      <c r="P60" s="16"/>
      <c r="Q60" s="16"/>
      <c r="R60" s="16"/>
      <c r="S60" s="16"/>
      <c r="T60" s="16"/>
      <c r="U60" s="16"/>
      <c r="V60" s="16"/>
      <c r="W60" s="15"/>
      <c r="X60" s="15"/>
      <c r="Y60" s="15"/>
      <c r="Z60" s="15"/>
    </row>
    <row r="61" customHeight="1" spans="1:26">
      <c r="A61" s="17"/>
      <c r="B61" s="15"/>
      <c r="C61" s="15"/>
      <c r="D61" s="15"/>
      <c r="E61" s="15"/>
      <c r="F61" s="15"/>
      <c r="G61" s="15"/>
      <c r="H61" s="16"/>
      <c r="I61" s="16"/>
      <c r="J61" s="16"/>
      <c r="K61" s="16"/>
      <c r="L61" s="16"/>
      <c r="M61" s="16"/>
      <c r="N61" s="16"/>
      <c r="O61" s="16"/>
      <c r="P61" s="16"/>
      <c r="Q61" s="16"/>
      <c r="R61" s="16"/>
      <c r="S61" s="16"/>
      <c r="T61" s="16"/>
      <c r="U61" s="16"/>
      <c r="V61" s="16"/>
      <c r="W61" s="15"/>
      <c r="X61" s="15"/>
      <c r="Y61" s="15"/>
      <c r="Z61" s="15"/>
    </row>
    <row r="62" customHeight="1" spans="1:26">
      <c r="A62" s="17"/>
      <c r="B62" s="15"/>
      <c r="C62" s="15"/>
      <c r="D62" s="15"/>
      <c r="E62" s="15"/>
      <c r="F62" s="15"/>
      <c r="G62" s="15"/>
      <c r="H62" s="16"/>
      <c r="I62" s="16"/>
      <c r="J62" s="16"/>
      <c r="K62" s="16"/>
      <c r="L62" s="16"/>
      <c r="M62" s="16"/>
      <c r="N62" s="16"/>
      <c r="O62" s="16"/>
      <c r="P62" s="16"/>
      <c r="Q62" s="16"/>
      <c r="R62" s="16"/>
      <c r="S62" s="16"/>
      <c r="T62" s="16"/>
      <c r="U62" s="16"/>
      <c r="V62" s="16"/>
      <c r="W62" s="15"/>
      <c r="X62" s="15"/>
      <c r="Y62" s="15"/>
      <c r="Z62" s="15"/>
    </row>
    <row r="63" customHeight="1" spans="1:26">
      <c r="A63" s="17"/>
      <c r="B63" s="15"/>
      <c r="C63" s="15"/>
      <c r="D63" s="15"/>
      <c r="E63" s="15"/>
      <c r="F63" s="15"/>
      <c r="G63" s="15"/>
      <c r="H63" s="16"/>
      <c r="I63" s="16"/>
      <c r="J63" s="16"/>
      <c r="K63" s="16"/>
      <c r="L63" s="16"/>
      <c r="M63" s="16"/>
      <c r="N63" s="16"/>
      <c r="O63" s="16"/>
      <c r="P63" s="16"/>
      <c r="Q63" s="16"/>
      <c r="R63" s="16"/>
      <c r="S63" s="16"/>
      <c r="T63" s="16"/>
      <c r="U63" s="16"/>
      <c r="V63" s="16"/>
      <c r="W63" s="15"/>
      <c r="X63" s="15"/>
      <c r="Y63" s="15"/>
      <c r="Z63" s="15"/>
    </row>
    <row r="64" customHeight="1" spans="1:26">
      <c r="A64" s="17"/>
      <c r="B64" s="15"/>
      <c r="C64" s="15"/>
      <c r="D64" s="15"/>
      <c r="E64" s="15"/>
      <c r="F64" s="15"/>
      <c r="G64" s="15"/>
      <c r="H64" s="16"/>
      <c r="I64" s="16"/>
      <c r="J64" s="16"/>
      <c r="K64" s="16"/>
      <c r="L64" s="16"/>
      <c r="M64" s="16"/>
      <c r="N64" s="16"/>
      <c r="O64" s="16"/>
      <c r="P64" s="16"/>
      <c r="Q64" s="16"/>
      <c r="R64" s="16"/>
      <c r="S64" s="16"/>
      <c r="T64" s="16"/>
      <c r="U64" s="16"/>
      <c r="V64" s="16"/>
      <c r="W64" s="15"/>
      <c r="X64" s="15"/>
      <c r="Y64" s="15"/>
      <c r="Z64" s="15"/>
    </row>
    <row r="65" customHeight="1" spans="1:26">
      <c r="A65" s="17"/>
      <c r="B65" s="15"/>
      <c r="C65" s="15"/>
      <c r="D65" s="15"/>
      <c r="E65" s="15"/>
      <c r="F65" s="15"/>
      <c r="G65" s="15"/>
      <c r="H65" s="16"/>
      <c r="I65" s="16"/>
      <c r="J65" s="16"/>
      <c r="K65" s="16"/>
      <c r="L65" s="16"/>
      <c r="M65" s="16"/>
      <c r="N65" s="16"/>
      <c r="O65" s="16"/>
      <c r="P65" s="16"/>
      <c r="Q65" s="16"/>
      <c r="R65" s="16"/>
      <c r="S65" s="16"/>
      <c r="T65" s="16"/>
      <c r="U65" s="16"/>
      <c r="V65" s="16"/>
      <c r="W65" s="15"/>
      <c r="X65" s="15"/>
      <c r="Y65" s="15"/>
      <c r="Z65" s="15"/>
    </row>
    <row r="66" customHeight="1" spans="1:26">
      <c r="A66" s="17"/>
      <c r="B66" s="15"/>
      <c r="C66" s="15"/>
      <c r="D66" s="15"/>
      <c r="E66" s="15"/>
      <c r="F66" s="15"/>
      <c r="G66" s="15"/>
      <c r="H66" s="16"/>
      <c r="I66" s="16"/>
      <c r="J66" s="16"/>
      <c r="K66" s="16"/>
      <c r="L66" s="16"/>
      <c r="M66" s="16"/>
      <c r="N66" s="16"/>
      <c r="O66" s="16"/>
      <c r="P66" s="16"/>
      <c r="Q66" s="16"/>
      <c r="R66" s="16"/>
      <c r="S66" s="16"/>
      <c r="T66" s="16"/>
      <c r="U66" s="16"/>
      <c r="V66" s="16"/>
      <c r="W66" s="15"/>
      <c r="X66" s="15"/>
      <c r="Y66" s="15"/>
      <c r="Z66" s="15"/>
    </row>
    <row r="67" customHeight="1" spans="1:26">
      <c r="A67" s="17"/>
      <c r="B67" s="15"/>
      <c r="C67" s="15"/>
      <c r="D67" s="15"/>
      <c r="E67" s="15"/>
      <c r="F67" s="15"/>
      <c r="G67" s="15"/>
      <c r="H67" s="16"/>
      <c r="I67" s="16"/>
      <c r="J67" s="16"/>
      <c r="K67" s="16"/>
      <c r="L67" s="16"/>
      <c r="M67" s="16"/>
      <c r="N67" s="16"/>
      <c r="O67" s="16"/>
      <c r="P67" s="16"/>
      <c r="Q67" s="16"/>
      <c r="R67" s="16"/>
      <c r="S67" s="16"/>
      <c r="T67" s="16"/>
      <c r="U67" s="16"/>
      <c r="V67" s="16"/>
      <c r="W67" s="15"/>
      <c r="X67" s="15"/>
      <c r="Y67" s="15"/>
      <c r="Z67" s="15"/>
    </row>
    <row r="68" customHeight="1" spans="1:26">
      <c r="A68" s="17"/>
      <c r="B68" s="15"/>
      <c r="C68" s="15"/>
      <c r="D68" s="15"/>
      <c r="E68" s="15"/>
      <c r="F68" s="15"/>
      <c r="G68" s="15"/>
      <c r="H68" s="16"/>
      <c r="I68" s="16"/>
      <c r="J68" s="16"/>
      <c r="K68" s="16"/>
      <c r="L68" s="16"/>
      <c r="M68" s="16"/>
      <c r="N68" s="16"/>
      <c r="O68" s="16"/>
      <c r="P68" s="16"/>
      <c r="Q68" s="16"/>
      <c r="R68" s="16"/>
      <c r="S68" s="16"/>
      <c r="T68" s="16"/>
      <c r="U68" s="16"/>
      <c r="V68" s="16"/>
      <c r="W68" s="15"/>
      <c r="X68" s="15"/>
      <c r="Y68" s="15"/>
      <c r="Z68" s="15"/>
    </row>
    <row r="69" customHeight="1" spans="1:26">
      <c r="A69" s="17"/>
      <c r="B69" s="15"/>
      <c r="C69" s="15"/>
      <c r="D69" s="15"/>
      <c r="E69" s="15"/>
      <c r="F69" s="15"/>
      <c r="G69" s="15"/>
      <c r="H69" s="16"/>
      <c r="I69" s="16"/>
      <c r="J69" s="16"/>
      <c r="K69" s="16"/>
      <c r="L69" s="16"/>
      <c r="M69" s="16"/>
      <c r="N69" s="16"/>
      <c r="O69" s="16"/>
      <c r="P69" s="16"/>
      <c r="Q69" s="16"/>
      <c r="R69" s="16"/>
      <c r="S69" s="16"/>
      <c r="T69" s="16"/>
      <c r="U69" s="16"/>
      <c r="V69" s="16"/>
      <c r="W69" s="15"/>
      <c r="X69" s="15"/>
      <c r="Y69" s="15"/>
      <c r="Z69" s="15"/>
    </row>
    <row r="70" customHeight="1" spans="1:26">
      <c r="A70" s="17"/>
      <c r="B70" s="15"/>
      <c r="C70" s="15"/>
      <c r="D70" s="15"/>
      <c r="E70" s="15"/>
      <c r="F70" s="15"/>
      <c r="G70" s="15"/>
      <c r="H70" s="16"/>
      <c r="I70" s="16"/>
      <c r="J70" s="16"/>
      <c r="K70" s="16"/>
      <c r="L70" s="16"/>
      <c r="M70" s="16"/>
      <c r="N70" s="16"/>
      <c r="O70" s="16"/>
      <c r="P70" s="16"/>
      <c r="Q70" s="16"/>
      <c r="R70" s="16"/>
      <c r="S70" s="16"/>
      <c r="T70" s="16"/>
      <c r="U70" s="16"/>
      <c r="V70" s="16"/>
      <c r="W70" s="15"/>
      <c r="X70" s="15"/>
      <c r="Y70" s="15"/>
      <c r="Z70" s="15"/>
    </row>
    <row r="71" customHeight="1" spans="1:26">
      <c r="A71" s="17"/>
      <c r="B71" s="15"/>
      <c r="C71" s="15"/>
      <c r="D71" s="15"/>
      <c r="E71" s="15"/>
      <c r="F71" s="15"/>
      <c r="G71" s="15"/>
      <c r="H71" s="16"/>
      <c r="I71" s="16"/>
      <c r="J71" s="16"/>
      <c r="K71" s="16"/>
      <c r="L71" s="16"/>
      <c r="M71" s="16"/>
      <c r="N71" s="16"/>
      <c r="O71" s="16"/>
      <c r="P71" s="16"/>
      <c r="Q71" s="16"/>
      <c r="R71" s="16"/>
      <c r="S71" s="16"/>
      <c r="T71" s="16"/>
      <c r="U71" s="16"/>
      <c r="V71" s="16"/>
      <c r="W71" s="15"/>
      <c r="X71" s="15"/>
      <c r="Y71" s="15"/>
      <c r="Z71" s="15"/>
    </row>
    <row r="72" customHeight="1" spans="1:26">
      <c r="A72" s="17"/>
      <c r="B72" s="15"/>
      <c r="C72" s="15"/>
      <c r="D72" s="15"/>
      <c r="E72" s="15"/>
      <c r="F72" s="15"/>
      <c r="G72" s="15"/>
      <c r="H72" s="16"/>
      <c r="I72" s="16"/>
      <c r="J72" s="16"/>
      <c r="K72" s="16"/>
      <c r="L72" s="16"/>
      <c r="M72" s="16"/>
      <c r="N72" s="16"/>
      <c r="O72" s="16"/>
      <c r="P72" s="16"/>
      <c r="Q72" s="16"/>
      <c r="R72" s="16"/>
      <c r="S72" s="16"/>
      <c r="T72" s="16"/>
      <c r="U72" s="16"/>
      <c r="V72" s="16"/>
      <c r="W72" s="15"/>
      <c r="X72" s="15"/>
      <c r="Y72" s="15"/>
      <c r="Z72" s="15"/>
    </row>
    <row r="73" customHeight="1" spans="1:26">
      <c r="A73" s="17"/>
      <c r="B73" s="15"/>
      <c r="C73" s="15"/>
      <c r="D73" s="15"/>
      <c r="E73" s="15"/>
      <c r="F73" s="15"/>
      <c r="G73" s="15"/>
      <c r="H73" s="16"/>
      <c r="I73" s="16"/>
      <c r="J73" s="16"/>
      <c r="K73" s="16"/>
      <c r="L73" s="16"/>
      <c r="M73" s="16"/>
      <c r="N73" s="16"/>
      <c r="O73" s="16"/>
      <c r="P73" s="16"/>
      <c r="Q73" s="16"/>
      <c r="R73" s="16"/>
      <c r="S73" s="16"/>
      <c r="T73" s="16"/>
      <c r="U73" s="16"/>
      <c r="V73" s="16"/>
      <c r="W73" s="15"/>
      <c r="X73" s="15"/>
      <c r="Y73" s="15"/>
      <c r="Z73" s="15"/>
    </row>
    <row r="74" customHeight="1" spans="1:26">
      <c r="A74" s="17"/>
      <c r="B74" s="15"/>
      <c r="C74" s="15"/>
      <c r="D74" s="15"/>
      <c r="E74" s="15"/>
      <c r="F74" s="15"/>
      <c r="G74" s="15"/>
      <c r="H74" s="16"/>
      <c r="I74" s="16"/>
      <c r="J74" s="16"/>
      <c r="K74" s="16"/>
      <c r="L74" s="16"/>
      <c r="M74" s="16"/>
      <c r="N74" s="16"/>
      <c r="O74" s="16"/>
      <c r="P74" s="16"/>
      <c r="Q74" s="16"/>
      <c r="R74" s="16"/>
      <c r="S74" s="16"/>
      <c r="T74" s="16"/>
      <c r="U74" s="16"/>
      <c r="V74" s="16"/>
      <c r="W74" s="15"/>
      <c r="X74" s="15"/>
      <c r="Y74" s="15"/>
      <c r="Z74" s="15"/>
    </row>
    <row r="75" customHeight="1" spans="1:26">
      <c r="A75" s="17"/>
      <c r="B75" s="15"/>
      <c r="C75" s="15"/>
      <c r="D75" s="15"/>
      <c r="E75" s="15"/>
      <c r="F75" s="15"/>
      <c r="G75" s="15"/>
      <c r="H75" s="16"/>
      <c r="I75" s="16"/>
      <c r="J75" s="16"/>
      <c r="K75" s="16"/>
      <c r="L75" s="16"/>
      <c r="M75" s="16"/>
      <c r="N75" s="16"/>
      <c r="O75" s="16"/>
      <c r="P75" s="16"/>
      <c r="Q75" s="16"/>
      <c r="R75" s="16"/>
      <c r="S75" s="16"/>
      <c r="T75" s="16"/>
      <c r="U75" s="16"/>
      <c r="V75" s="16"/>
      <c r="W75" s="15"/>
      <c r="X75" s="15"/>
      <c r="Y75" s="15"/>
      <c r="Z75" s="15"/>
    </row>
    <row r="76" customHeight="1" spans="1:26">
      <c r="A76" s="17"/>
      <c r="B76" s="15"/>
      <c r="C76" s="15"/>
      <c r="D76" s="15"/>
      <c r="E76" s="15"/>
      <c r="F76" s="15"/>
      <c r="G76" s="15"/>
      <c r="H76" s="16"/>
      <c r="I76" s="16"/>
      <c r="J76" s="16"/>
      <c r="K76" s="16"/>
      <c r="L76" s="16"/>
      <c r="M76" s="16"/>
      <c r="N76" s="16"/>
      <c r="O76" s="16"/>
      <c r="P76" s="16"/>
      <c r="Q76" s="16"/>
      <c r="R76" s="16"/>
      <c r="S76" s="16"/>
      <c r="T76" s="16"/>
      <c r="U76" s="16"/>
      <c r="V76" s="16"/>
      <c r="W76" s="15"/>
      <c r="X76" s="15"/>
      <c r="Y76" s="15"/>
      <c r="Z76" s="15"/>
    </row>
    <row r="77" customHeight="1" spans="1:26">
      <c r="A77" s="17"/>
      <c r="B77" s="15"/>
      <c r="C77" s="15"/>
      <c r="D77" s="15"/>
      <c r="E77" s="15"/>
      <c r="F77" s="15"/>
      <c r="G77" s="15"/>
      <c r="H77" s="16"/>
      <c r="I77" s="16"/>
      <c r="J77" s="16"/>
      <c r="K77" s="16"/>
      <c r="L77" s="16"/>
      <c r="M77" s="16"/>
      <c r="N77" s="16"/>
      <c r="O77" s="16"/>
      <c r="P77" s="16"/>
      <c r="Q77" s="16"/>
      <c r="R77" s="16"/>
      <c r="S77" s="16"/>
      <c r="T77" s="16"/>
      <c r="U77" s="16"/>
      <c r="V77" s="16"/>
      <c r="W77" s="15"/>
      <c r="X77" s="15"/>
      <c r="Y77" s="15"/>
      <c r="Z77" s="15"/>
    </row>
    <row r="78" customHeight="1" spans="1:26">
      <c r="A78" s="17"/>
      <c r="B78" s="15"/>
      <c r="C78" s="15"/>
      <c r="D78" s="15"/>
      <c r="E78" s="15"/>
      <c r="F78" s="15"/>
      <c r="G78" s="15"/>
      <c r="H78" s="16"/>
      <c r="I78" s="16"/>
      <c r="J78" s="16"/>
      <c r="K78" s="16"/>
      <c r="L78" s="16"/>
      <c r="M78" s="16"/>
      <c r="N78" s="16"/>
      <c r="O78" s="16"/>
      <c r="P78" s="16"/>
      <c r="Q78" s="16"/>
      <c r="R78" s="16"/>
      <c r="S78" s="16"/>
      <c r="T78" s="16"/>
      <c r="U78" s="16"/>
      <c r="V78" s="16"/>
      <c r="W78" s="15"/>
      <c r="X78" s="15"/>
      <c r="Y78" s="15"/>
      <c r="Z78" s="15"/>
    </row>
    <row r="79" customHeight="1" spans="1:26">
      <c r="A79" s="17"/>
      <c r="B79" s="15"/>
      <c r="C79" s="15"/>
      <c r="D79" s="15"/>
      <c r="E79" s="15"/>
      <c r="F79" s="15"/>
      <c r="G79" s="15"/>
      <c r="H79" s="16"/>
      <c r="I79" s="16"/>
      <c r="J79" s="16"/>
      <c r="K79" s="16"/>
      <c r="L79" s="16"/>
      <c r="M79" s="16"/>
      <c r="N79" s="16"/>
      <c r="O79" s="16"/>
      <c r="P79" s="16"/>
      <c r="Q79" s="16"/>
      <c r="R79" s="16"/>
      <c r="S79" s="16"/>
      <c r="T79" s="16"/>
      <c r="U79" s="16"/>
      <c r="V79" s="16"/>
      <c r="W79" s="15"/>
      <c r="X79" s="15"/>
      <c r="Y79" s="15"/>
      <c r="Z79" s="15"/>
    </row>
    <row r="80" customHeight="1" spans="1:26">
      <c r="A80" s="17"/>
      <c r="B80" s="15"/>
      <c r="C80" s="15"/>
      <c r="D80" s="15"/>
      <c r="E80" s="15"/>
      <c r="F80" s="15"/>
      <c r="G80" s="15"/>
      <c r="H80" s="16"/>
      <c r="I80" s="16"/>
      <c r="J80" s="16"/>
      <c r="K80" s="16"/>
      <c r="L80" s="16"/>
      <c r="M80" s="16"/>
      <c r="N80" s="16"/>
      <c r="O80" s="16"/>
      <c r="P80" s="16"/>
      <c r="Q80" s="16"/>
      <c r="R80" s="16"/>
      <c r="S80" s="16"/>
      <c r="T80" s="16"/>
      <c r="U80" s="16"/>
      <c r="V80" s="16"/>
      <c r="W80" s="15"/>
      <c r="X80" s="15"/>
      <c r="Y80" s="15"/>
      <c r="Z80" s="15"/>
    </row>
    <row r="81" customHeight="1" spans="1:26">
      <c r="A81" s="17"/>
      <c r="B81" s="15"/>
      <c r="C81" s="15"/>
      <c r="D81" s="15"/>
      <c r="E81" s="15"/>
      <c r="F81" s="15"/>
      <c r="G81" s="15"/>
      <c r="H81" s="16"/>
      <c r="I81" s="16"/>
      <c r="J81" s="16"/>
      <c r="K81" s="16"/>
      <c r="L81" s="16"/>
      <c r="M81" s="16"/>
      <c r="N81" s="16"/>
      <c r="O81" s="16"/>
      <c r="P81" s="16"/>
      <c r="Q81" s="16"/>
      <c r="R81" s="16"/>
      <c r="S81" s="16"/>
      <c r="T81" s="16"/>
      <c r="U81" s="16"/>
      <c r="V81" s="16"/>
      <c r="W81" s="15"/>
      <c r="X81" s="15"/>
      <c r="Y81" s="15"/>
      <c r="Z81" s="15"/>
    </row>
    <row r="82" customHeight="1" spans="1:26">
      <c r="A82" s="17"/>
      <c r="B82" s="15"/>
      <c r="C82" s="15"/>
      <c r="D82" s="15"/>
      <c r="E82" s="15"/>
      <c r="F82" s="15"/>
      <c r="G82" s="15"/>
      <c r="H82" s="16"/>
      <c r="I82" s="16"/>
      <c r="J82" s="16"/>
      <c r="K82" s="16"/>
      <c r="L82" s="16"/>
      <c r="M82" s="16"/>
      <c r="N82" s="16"/>
      <c r="O82" s="16"/>
      <c r="P82" s="16"/>
      <c r="Q82" s="16"/>
      <c r="R82" s="16"/>
      <c r="S82" s="16"/>
      <c r="T82" s="16"/>
      <c r="U82" s="16"/>
      <c r="V82" s="16"/>
      <c r="W82" s="15"/>
      <c r="X82" s="15"/>
      <c r="Y82" s="15"/>
      <c r="Z82" s="15"/>
    </row>
    <row r="83" customHeight="1" spans="1:26">
      <c r="A83" s="17"/>
      <c r="B83" s="15"/>
      <c r="C83" s="15"/>
      <c r="D83" s="15"/>
      <c r="E83" s="15"/>
      <c r="F83" s="15"/>
      <c r="G83" s="15"/>
      <c r="H83" s="16"/>
      <c r="I83" s="16"/>
      <c r="J83" s="16"/>
      <c r="K83" s="16"/>
      <c r="L83" s="16"/>
      <c r="M83" s="16"/>
      <c r="N83" s="16"/>
      <c r="O83" s="16"/>
      <c r="P83" s="16"/>
      <c r="Q83" s="16"/>
      <c r="R83" s="16"/>
      <c r="S83" s="16"/>
      <c r="T83" s="16"/>
      <c r="U83" s="16"/>
      <c r="V83" s="16"/>
      <c r="W83" s="15"/>
      <c r="X83" s="15"/>
      <c r="Y83" s="15"/>
      <c r="Z83" s="15"/>
    </row>
    <row r="84" customHeight="1" spans="1:26">
      <c r="A84" s="17"/>
      <c r="B84" s="15"/>
      <c r="C84" s="15"/>
      <c r="D84" s="15"/>
      <c r="E84" s="15"/>
      <c r="F84" s="15"/>
      <c r="G84" s="15"/>
      <c r="H84" s="16"/>
      <c r="I84" s="16"/>
      <c r="J84" s="16"/>
      <c r="K84" s="16"/>
      <c r="L84" s="16"/>
      <c r="M84" s="16"/>
      <c r="N84" s="16"/>
      <c r="O84" s="16"/>
      <c r="P84" s="16"/>
      <c r="Q84" s="16"/>
      <c r="R84" s="16"/>
      <c r="S84" s="16"/>
      <c r="T84" s="16"/>
      <c r="U84" s="16"/>
      <c r="V84" s="16"/>
      <c r="W84" s="15"/>
      <c r="X84" s="15"/>
      <c r="Y84" s="15"/>
      <c r="Z84" s="15"/>
    </row>
    <row r="85" customHeight="1" spans="1:26">
      <c r="A85" s="17"/>
      <c r="B85" s="15"/>
      <c r="C85" s="15"/>
      <c r="D85" s="15"/>
      <c r="E85" s="15"/>
      <c r="F85" s="15"/>
      <c r="G85" s="15"/>
      <c r="H85" s="16"/>
      <c r="I85" s="16"/>
      <c r="J85" s="16"/>
      <c r="K85" s="16"/>
      <c r="L85" s="16"/>
      <c r="M85" s="16"/>
      <c r="N85" s="16"/>
      <c r="O85" s="16"/>
      <c r="P85" s="16"/>
      <c r="Q85" s="16"/>
      <c r="R85" s="16"/>
      <c r="S85" s="16"/>
      <c r="T85" s="16"/>
      <c r="U85" s="16"/>
      <c r="V85" s="16"/>
      <c r="W85" s="15"/>
      <c r="X85" s="15"/>
      <c r="Y85" s="15"/>
      <c r="Z85" s="15"/>
    </row>
    <row r="86" customHeight="1" spans="1:26">
      <c r="A86" s="17"/>
      <c r="B86" s="15"/>
      <c r="C86" s="15"/>
      <c r="D86" s="15"/>
      <c r="E86" s="15"/>
      <c r="F86" s="15"/>
      <c r="G86" s="15"/>
      <c r="H86" s="16"/>
      <c r="I86" s="16"/>
      <c r="J86" s="16"/>
      <c r="K86" s="16"/>
      <c r="L86" s="16"/>
      <c r="M86" s="16"/>
      <c r="N86" s="16"/>
      <c r="O86" s="16"/>
      <c r="P86" s="16"/>
      <c r="Q86" s="16"/>
      <c r="R86" s="16"/>
      <c r="S86" s="16"/>
      <c r="T86" s="16"/>
      <c r="U86" s="16"/>
      <c r="V86" s="16"/>
      <c r="W86" s="15"/>
      <c r="X86" s="15"/>
      <c r="Y86" s="15"/>
      <c r="Z86" s="15"/>
    </row>
    <row r="87" customHeight="1" spans="1:26">
      <c r="A87" s="17"/>
      <c r="B87" s="15"/>
      <c r="C87" s="15"/>
      <c r="D87" s="15"/>
      <c r="E87" s="15"/>
      <c r="F87" s="15"/>
      <c r="G87" s="15"/>
      <c r="H87" s="16"/>
      <c r="I87" s="16"/>
      <c r="J87" s="16"/>
      <c r="K87" s="16"/>
      <c r="L87" s="16"/>
      <c r="M87" s="16"/>
      <c r="N87" s="16"/>
      <c r="O87" s="16"/>
      <c r="P87" s="16"/>
      <c r="Q87" s="16"/>
      <c r="R87" s="16"/>
      <c r="S87" s="16"/>
      <c r="T87" s="16"/>
      <c r="U87" s="16"/>
      <c r="V87" s="16"/>
      <c r="W87" s="15"/>
      <c r="X87" s="15"/>
      <c r="Y87" s="15"/>
      <c r="Z87" s="15"/>
    </row>
    <row r="88" customHeight="1" spans="1:26">
      <c r="A88" s="17"/>
      <c r="B88" s="15"/>
      <c r="C88" s="15"/>
      <c r="D88" s="15"/>
      <c r="E88" s="15"/>
      <c r="F88" s="15"/>
      <c r="G88" s="15"/>
      <c r="H88" s="16"/>
      <c r="I88" s="16"/>
      <c r="J88" s="16"/>
      <c r="K88" s="16"/>
      <c r="L88" s="16"/>
      <c r="M88" s="16"/>
      <c r="N88" s="16"/>
      <c r="O88" s="16"/>
      <c r="P88" s="16"/>
      <c r="Q88" s="16"/>
      <c r="R88" s="16"/>
      <c r="S88" s="16"/>
      <c r="T88" s="16"/>
      <c r="U88" s="16"/>
      <c r="V88" s="16"/>
      <c r="W88" s="15"/>
      <c r="X88" s="15"/>
      <c r="Y88" s="15"/>
      <c r="Z88" s="15"/>
    </row>
    <row r="89" customHeight="1" spans="1:26">
      <c r="A89" s="17"/>
      <c r="B89" s="15"/>
      <c r="C89" s="15"/>
      <c r="D89" s="15"/>
      <c r="E89" s="15"/>
      <c r="F89" s="15"/>
      <c r="G89" s="15"/>
      <c r="H89" s="16"/>
      <c r="I89" s="16"/>
      <c r="J89" s="16"/>
      <c r="K89" s="16"/>
      <c r="L89" s="16"/>
      <c r="M89" s="16"/>
      <c r="N89" s="16"/>
      <c r="O89" s="16"/>
      <c r="P89" s="16"/>
      <c r="Q89" s="16"/>
      <c r="R89" s="16"/>
      <c r="S89" s="16"/>
      <c r="T89" s="16"/>
      <c r="U89" s="16"/>
      <c r="V89" s="16"/>
      <c r="W89" s="15"/>
      <c r="X89" s="15"/>
      <c r="Y89" s="15"/>
      <c r="Z89" s="15"/>
    </row>
    <row r="90" customHeight="1" spans="1:26">
      <c r="A90" s="17"/>
      <c r="B90" s="15"/>
      <c r="C90" s="15"/>
      <c r="D90" s="15"/>
      <c r="E90" s="15"/>
      <c r="F90" s="15"/>
      <c r="G90" s="15"/>
      <c r="H90" s="16"/>
      <c r="I90" s="16"/>
      <c r="J90" s="16"/>
      <c r="K90" s="16"/>
      <c r="L90" s="16"/>
      <c r="M90" s="16"/>
      <c r="N90" s="16"/>
      <c r="O90" s="16"/>
      <c r="P90" s="16"/>
      <c r="Q90" s="16"/>
      <c r="R90" s="16"/>
      <c r="S90" s="16"/>
      <c r="T90" s="16"/>
      <c r="U90" s="16"/>
      <c r="V90" s="16"/>
      <c r="W90" s="15"/>
      <c r="X90" s="15"/>
      <c r="Y90" s="15"/>
      <c r="Z90" s="15"/>
    </row>
    <row r="91" customHeight="1" spans="1:26">
      <c r="A91" s="17"/>
      <c r="B91" s="15"/>
      <c r="C91" s="15"/>
      <c r="D91" s="15"/>
      <c r="E91" s="15"/>
      <c r="F91" s="15"/>
      <c r="G91" s="15"/>
      <c r="H91" s="16"/>
      <c r="I91" s="16"/>
      <c r="J91" s="16"/>
      <c r="K91" s="16"/>
      <c r="L91" s="16"/>
      <c r="M91" s="16"/>
      <c r="N91" s="16"/>
      <c r="O91" s="16"/>
      <c r="P91" s="16"/>
      <c r="Q91" s="16"/>
      <c r="R91" s="16"/>
      <c r="S91" s="16"/>
      <c r="T91" s="16"/>
      <c r="U91" s="16"/>
      <c r="V91" s="16"/>
      <c r="W91" s="15"/>
      <c r="X91" s="15"/>
      <c r="Y91" s="15"/>
      <c r="Z91" s="15"/>
    </row>
    <row r="92" customHeight="1" spans="1:26">
      <c r="A92" s="17"/>
      <c r="B92" s="15"/>
      <c r="C92" s="15"/>
      <c r="D92" s="15"/>
      <c r="E92" s="15"/>
      <c r="F92" s="15"/>
      <c r="G92" s="15"/>
      <c r="H92" s="16"/>
      <c r="I92" s="16"/>
      <c r="J92" s="16"/>
      <c r="K92" s="16"/>
      <c r="L92" s="16"/>
      <c r="M92" s="16"/>
      <c r="N92" s="16"/>
      <c r="O92" s="16"/>
      <c r="P92" s="16"/>
      <c r="Q92" s="16"/>
      <c r="R92" s="16"/>
      <c r="S92" s="16"/>
      <c r="T92" s="16"/>
      <c r="U92" s="16"/>
      <c r="V92" s="16"/>
      <c r="W92" s="15"/>
      <c r="X92" s="15"/>
      <c r="Y92" s="15"/>
      <c r="Z92" s="15"/>
    </row>
    <row r="93" customHeight="1" spans="1:26">
      <c r="A93" s="17"/>
      <c r="B93" s="15"/>
      <c r="C93" s="15"/>
      <c r="D93" s="15"/>
      <c r="E93" s="15"/>
      <c r="F93" s="15"/>
      <c r="G93" s="15"/>
      <c r="H93" s="16"/>
      <c r="I93" s="16"/>
      <c r="J93" s="16"/>
      <c r="K93" s="16"/>
      <c r="L93" s="16"/>
      <c r="M93" s="16"/>
      <c r="N93" s="16"/>
      <c r="O93" s="16"/>
      <c r="P93" s="16"/>
      <c r="Q93" s="16"/>
      <c r="R93" s="16"/>
      <c r="S93" s="16"/>
      <c r="T93" s="16"/>
      <c r="U93" s="16"/>
      <c r="V93" s="16"/>
      <c r="W93" s="15"/>
      <c r="X93" s="15"/>
      <c r="Y93" s="15"/>
      <c r="Z93" s="15"/>
    </row>
    <row r="94" customHeight="1" spans="1:26">
      <c r="A94" s="17"/>
      <c r="B94" s="15"/>
      <c r="C94" s="15"/>
      <c r="D94" s="15"/>
      <c r="E94" s="15"/>
      <c r="F94" s="15"/>
      <c r="G94" s="15"/>
      <c r="H94" s="16"/>
      <c r="I94" s="16"/>
      <c r="J94" s="16"/>
      <c r="K94" s="16"/>
      <c r="L94" s="16"/>
      <c r="M94" s="16"/>
      <c r="N94" s="16"/>
      <c r="O94" s="16"/>
      <c r="P94" s="16"/>
      <c r="Q94" s="16"/>
      <c r="R94" s="16"/>
      <c r="S94" s="16"/>
      <c r="T94" s="16"/>
      <c r="U94" s="16"/>
      <c r="V94" s="16"/>
      <c r="W94" s="15"/>
      <c r="X94" s="15"/>
      <c r="Y94" s="15"/>
      <c r="Z94" s="15"/>
    </row>
    <row r="95" customHeight="1" spans="1:26">
      <c r="A95" s="17"/>
      <c r="B95" s="15"/>
      <c r="C95" s="15"/>
      <c r="D95" s="15"/>
      <c r="E95" s="15"/>
      <c r="F95" s="15"/>
      <c r="G95" s="15"/>
      <c r="H95" s="16"/>
      <c r="I95" s="16"/>
      <c r="J95" s="16"/>
      <c r="K95" s="16"/>
      <c r="L95" s="16"/>
      <c r="M95" s="16"/>
      <c r="N95" s="16"/>
      <c r="O95" s="16"/>
      <c r="P95" s="16"/>
      <c r="Q95" s="16"/>
      <c r="R95" s="16"/>
      <c r="S95" s="16"/>
      <c r="T95" s="16"/>
      <c r="U95" s="16"/>
      <c r="V95" s="16"/>
      <c r="W95" s="15"/>
      <c r="X95" s="15"/>
      <c r="Y95" s="15"/>
      <c r="Z95" s="15"/>
    </row>
    <row r="96" customHeight="1" spans="1:26">
      <c r="A96" s="17"/>
      <c r="B96" s="15"/>
      <c r="C96" s="15"/>
      <c r="D96" s="15"/>
      <c r="E96" s="15"/>
      <c r="F96" s="15"/>
      <c r="G96" s="15"/>
      <c r="H96" s="16"/>
      <c r="I96" s="16"/>
      <c r="J96" s="16"/>
      <c r="K96" s="16"/>
      <c r="L96" s="16"/>
      <c r="M96" s="16"/>
      <c r="N96" s="16"/>
      <c r="O96" s="16"/>
      <c r="P96" s="16"/>
      <c r="Q96" s="16"/>
      <c r="R96" s="16"/>
      <c r="S96" s="16"/>
      <c r="T96" s="16"/>
      <c r="U96" s="16"/>
      <c r="V96" s="16"/>
      <c r="W96" s="15"/>
      <c r="X96" s="15"/>
      <c r="Y96" s="15"/>
      <c r="Z96" s="15"/>
    </row>
    <row r="97" customHeight="1" spans="1:26">
      <c r="A97" s="17"/>
      <c r="B97" s="15"/>
      <c r="C97" s="15"/>
      <c r="D97" s="15"/>
      <c r="E97" s="15"/>
      <c r="F97" s="15"/>
      <c r="G97" s="15"/>
      <c r="H97" s="16"/>
      <c r="I97" s="16"/>
      <c r="J97" s="16"/>
      <c r="K97" s="16"/>
      <c r="L97" s="16"/>
      <c r="M97" s="16"/>
      <c r="N97" s="16"/>
      <c r="O97" s="16"/>
      <c r="P97" s="16"/>
      <c r="Q97" s="16"/>
      <c r="R97" s="16"/>
      <c r="S97" s="16"/>
      <c r="T97" s="16"/>
      <c r="U97" s="16"/>
      <c r="V97" s="16"/>
      <c r="W97" s="15"/>
      <c r="X97" s="15"/>
      <c r="Y97" s="15"/>
      <c r="Z97" s="15"/>
    </row>
    <row r="98" customHeight="1" spans="1:26">
      <c r="A98" s="17"/>
      <c r="B98" s="15"/>
      <c r="C98" s="15"/>
      <c r="D98" s="15"/>
      <c r="E98" s="15"/>
      <c r="F98" s="15"/>
      <c r="G98" s="15"/>
      <c r="H98" s="16"/>
      <c r="I98" s="16"/>
      <c r="J98" s="16"/>
      <c r="K98" s="16"/>
      <c r="L98" s="16"/>
      <c r="M98" s="16"/>
      <c r="N98" s="16"/>
      <c r="O98" s="16"/>
      <c r="P98" s="16"/>
      <c r="Q98" s="16"/>
      <c r="R98" s="16"/>
      <c r="S98" s="16"/>
      <c r="T98" s="16"/>
      <c r="U98" s="16"/>
      <c r="V98" s="16"/>
      <c r="W98" s="15"/>
      <c r="X98" s="15"/>
      <c r="Y98" s="15"/>
      <c r="Z98" s="15"/>
    </row>
    <row r="99" customHeight="1" spans="1:26">
      <c r="A99" s="17"/>
      <c r="B99" s="15"/>
      <c r="C99" s="15"/>
      <c r="D99" s="15"/>
      <c r="E99" s="15"/>
      <c r="F99" s="15"/>
      <c r="G99" s="15"/>
      <c r="H99" s="16"/>
      <c r="I99" s="16"/>
      <c r="J99" s="16"/>
      <c r="K99" s="16"/>
      <c r="L99" s="16"/>
      <c r="M99" s="16"/>
      <c r="N99" s="16"/>
      <c r="O99" s="16"/>
      <c r="P99" s="16"/>
      <c r="Q99" s="16"/>
      <c r="R99" s="16"/>
      <c r="S99" s="16"/>
      <c r="T99" s="16"/>
      <c r="U99" s="16"/>
      <c r="V99" s="16"/>
      <c r="W99" s="15"/>
      <c r="X99" s="15"/>
      <c r="Y99" s="15"/>
      <c r="Z99" s="15"/>
    </row>
    <row r="100" customHeight="1" spans="1:26">
      <c r="A100" s="17"/>
      <c r="B100" s="15"/>
      <c r="C100" s="15"/>
      <c r="D100" s="15"/>
      <c r="E100" s="15"/>
      <c r="F100" s="15"/>
      <c r="G100" s="15"/>
      <c r="H100" s="16"/>
      <c r="I100" s="16"/>
      <c r="J100" s="16"/>
      <c r="K100" s="16"/>
      <c r="L100" s="16"/>
      <c r="M100" s="16"/>
      <c r="N100" s="16"/>
      <c r="O100" s="16"/>
      <c r="P100" s="16"/>
      <c r="Q100" s="16"/>
      <c r="R100" s="16"/>
      <c r="S100" s="16"/>
      <c r="T100" s="16"/>
      <c r="U100" s="16"/>
      <c r="V100" s="16"/>
      <c r="W100" s="15"/>
      <c r="X100" s="15"/>
      <c r="Y100" s="15"/>
      <c r="Z100" s="15"/>
    </row>
    <row r="101" customHeight="1" spans="1:26">
      <c r="A101" s="17"/>
      <c r="B101" s="15"/>
      <c r="C101" s="15"/>
      <c r="D101" s="15"/>
      <c r="E101" s="15"/>
      <c r="F101" s="15"/>
      <c r="G101" s="15"/>
      <c r="H101" s="16"/>
      <c r="I101" s="16"/>
      <c r="J101" s="16"/>
      <c r="K101" s="16"/>
      <c r="L101" s="16"/>
      <c r="M101" s="16"/>
      <c r="N101" s="16"/>
      <c r="O101" s="16"/>
      <c r="P101" s="16"/>
      <c r="Q101" s="16"/>
      <c r="R101" s="16"/>
      <c r="S101" s="16"/>
      <c r="T101" s="16"/>
      <c r="U101" s="16"/>
      <c r="V101" s="16"/>
      <c r="W101" s="15"/>
      <c r="X101" s="15"/>
      <c r="Y101" s="15"/>
      <c r="Z101" s="15"/>
    </row>
    <row r="102" customHeight="1" spans="1:26">
      <c r="A102" s="17"/>
      <c r="B102" s="15"/>
      <c r="C102" s="15"/>
      <c r="D102" s="15"/>
      <c r="E102" s="15"/>
      <c r="F102" s="15"/>
      <c r="G102" s="15"/>
      <c r="H102" s="16"/>
      <c r="I102" s="16"/>
      <c r="J102" s="16"/>
      <c r="K102" s="16"/>
      <c r="L102" s="16"/>
      <c r="M102" s="16"/>
      <c r="N102" s="16"/>
      <c r="O102" s="16"/>
      <c r="P102" s="16"/>
      <c r="Q102" s="16"/>
      <c r="R102" s="16"/>
      <c r="S102" s="16"/>
      <c r="T102" s="16"/>
      <c r="U102" s="16"/>
      <c r="V102" s="16"/>
      <c r="W102" s="15"/>
      <c r="X102" s="15"/>
      <c r="Y102" s="15"/>
      <c r="Z102" s="15"/>
    </row>
    <row r="103" customHeight="1" spans="1:26">
      <c r="A103" s="17"/>
      <c r="B103" s="15"/>
      <c r="C103" s="15"/>
      <c r="D103" s="15"/>
      <c r="E103" s="15"/>
      <c r="F103" s="15"/>
      <c r="G103" s="15"/>
      <c r="H103" s="16"/>
      <c r="I103" s="16"/>
      <c r="J103" s="16"/>
      <c r="K103" s="16"/>
      <c r="L103" s="16"/>
      <c r="M103" s="16"/>
      <c r="N103" s="16"/>
      <c r="O103" s="16"/>
      <c r="P103" s="16"/>
      <c r="Q103" s="16"/>
      <c r="R103" s="16"/>
      <c r="S103" s="16"/>
      <c r="T103" s="16"/>
      <c r="U103" s="16"/>
      <c r="V103" s="16"/>
      <c r="W103" s="15"/>
      <c r="X103" s="15"/>
      <c r="Y103" s="15"/>
      <c r="Z103" s="15"/>
    </row>
    <row r="104" customHeight="1" spans="1:26">
      <c r="A104" s="17"/>
      <c r="B104" s="15"/>
      <c r="C104" s="15"/>
      <c r="D104" s="15"/>
      <c r="E104" s="15"/>
      <c r="F104" s="15"/>
      <c r="G104" s="15"/>
      <c r="H104" s="16"/>
      <c r="I104" s="16"/>
      <c r="J104" s="16"/>
      <c r="K104" s="16"/>
      <c r="L104" s="16"/>
      <c r="M104" s="16"/>
      <c r="N104" s="16"/>
      <c r="O104" s="16"/>
      <c r="P104" s="16"/>
      <c r="Q104" s="16"/>
      <c r="R104" s="16"/>
      <c r="S104" s="16"/>
      <c r="T104" s="16"/>
      <c r="U104" s="16"/>
      <c r="V104" s="16"/>
      <c r="W104" s="15"/>
      <c r="X104" s="15"/>
      <c r="Y104" s="15"/>
      <c r="Z104" s="15"/>
    </row>
    <row r="105" customHeight="1" spans="1:26">
      <c r="A105" s="17"/>
      <c r="B105" s="15"/>
      <c r="C105" s="15"/>
      <c r="D105" s="15"/>
      <c r="E105" s="15"/>
      <c r="F105" s="15"/>
      <c r="G105" s="15"/>
      <c r="H105" s="16"/>
      <c r="I105" s="16"/>
      <c r="J105" s="16"/>
      <c r="K105" s="16"/>
      <c r="L105" s="16"/>
      <c r="M105" s="16"/>
      <c r="N105" s="16"/>
      <c r="O105" s="16"/>
      <c r="P105" s="16"/>
      <c r="Q105" s="16"/>
      <c r="R105" s="16"/>
      <c r="S105" s="16"/>
      <c r="T105" s="16"/>
      <c r="U105" s="16"/>
      <c r="V105" s="16"/>
      <c r="W105" s="15"/>
      <c r="X105" s="15"/>
      <c r="Y105" s="15"/>
      <c r="Z105" s="15"/>
    </row>
    <row r="106" customHeight="1" spans="1:26">
      <c r="A106" s="17"/>
      <c r="B106" s="15"/>
      <c r="C106" s="15"/>
      <c r="D106" s="15"/>
      <c r="E106" s="15"/>
      <c r="F106" s="15"/>
      <c r="G106" s="15"/>
      <c r="H106" s="16"/>
      <c r="I106" s="16"/>
      <c r="J106" s="16"/>
      <c r="K106" s="16"/>
      <c r="L106" s="16"/>
      <c r="M106" s="16"/>
      <c r="N106" s="16"/>
      <c r="O106" s="16"/>
      <c r="P106" s="16"/>
      <c r="Q106" s="16"/>
      <c r="R106" s="16"/>
      <c r="S106" s="16"/>
      <c r="T106" s="16"/>
      <c r="U106" s="16"/>
      <c r="V106" s="16"/>
      <c r="W106" s="15"/>
      <c r="X106" s="15"/>
      <c r="Y106" s="15"/>
      <c r="Z106" s="15"/>
    </row>
    <row r="107" customHeight="1" spans="1:26">
      <c r="A107" s="17"/>
      <c r="B107" s="15"/>
      <c r="C107" s="15"/>
      <c r="D107" s="15"/>
      <c r="E107" s="15"/>
      <c r="F107" s="15"/>
      <c r="G107" s="15"/>
      <c r="H107" s="16"/>
      <c r="I107" s="16"/>
      <c r="J107" s="16"/>
      <c r="K107" s="16"/>
      <c r="L107" s="16"/>
      <c r="M107" s="16"/>
      <c r="N107" s="16"/>
      <c r="O107" s="16"/>
      <c r="P107" s="16"/>
      <c r="Q107" s="16"/>
      <c r="R107" s="16"/>
      <c r="S107" s="16"/>
      <c r="T107" s="16"/>
      <c r="U107" s="16"/>
      <c r="V107" s="16"/>
      <c r="W107" s="15"/>
      <c r="X107" s="15"/>
      <c r="Y107" s="15"/>
      <c r="Z107" s="15"/>
    </row>
    <row r="108" customHeight="1" spans="1:26">
      <c r="A108" s="17"/>
      <c r="B108" s="15"/>
      <c r="C108" s="15"/>
      <c r="D108" s="15"/>
      <c r="E108" s="15"/>
      <c r="F108" s="15"/>
      <c r="G108" s="15"/>
      <c r="H108" s="16"/>
      <c r="I108" s="16"/>
      <c r="J108" s="16"/>
      <c r="K108" s="16"/>
      <c r="L108" s="16"/>
      <c r="M108" s="16"/>
      <c r="N108" s="16"/>
      <c r="O108" s="16"/>
      <c r="P108" s="16"/>
      <c r="Q108" s="16"/>
      <c r="R108" s="16"/>
      <c r="S108" s="16"/>
      <c r="T108" s="16"/>
      <c r="U108" s="16"/>
      <c r="V108" s="16"/>
      <c r="W108" s="15"/>
      <c r="X108" s="15"/>
      <c r="Y108" s="15"/>
      <c r="Z108" s="15"/>
    </row>
    <row r="109" customHeight="1" spans="1:26">
      <c r="A109" s="17"/>
      <c r="B109" s="15"/>
      <c r="C109" s="15"/>
      <c r="D109" s="15"/>
      <c r="E109" s="15"/>
      <c r="F109" s="15"/>
      <c r="G109" s="15"/>
      <c r="H109" s="16"/>
      <c r="I109" s="16"/>
      <c r="J109" s="16"/>
      <c r="K109" s="16"/>
      <c r="L109" s="16"/>
      <c r="M109" s="16"/>
      <c r="N109" s="16"/>
      <c r="O109" s="16"/>
      <c r="P109" s="16"/>
      <c r="Q109" s="16"/>
      <c r="R109" s="16"/>
      <c r="S109" s="16"/>
      <c r="T109" s="16"/>
      <c r="U109" s="16"/>
      <c r="V109" s="16"/>
      <c r="W109" s="15"/>
      <c r="X109" s="15"/>
      <c r="Y109" s="15"/>
      <c r="Z109" s="15"/>
    </row>
    <row r="110" customHeight="1" spans="1:26">
      <c r="A110" s="17"/>
      <c r="B110" s="15"/>
      <c r="C110" s="15"/>
      <c r="D110" s="15"/>
      <c r="E110" s="15"/>
      <c r="F110" s="15"/>
      <c r="G110" s="15"/>
      <c r="H110" s="16"/>
      <c r="I110" s="16"/>
      <c r="J110" s="16"/>
      <c r="K110" s="16"/>
      <c r="L110" s="16"/>
      <c r="M110" s="16"/>
      <c r="N110" s="16"/>
      <c r="O110" s="16"/>
      <c r="P110" s="16"/>
      <c r="Q110" s="16"/>
      <c r="R110" s="16"/>
      <c r="S110" s="16"/>
      <c r="T110" s="16"/>
      <c r="U110" s="16"/>
      <c r="V110" s="16"/>
      <c r="W110" s="15"/>
      <c r="X110" s="15"/>
      <c r="Y110" s="15"/>
      <c r="Z110" s="15"/>
    </row>
    <row r="111" customHeight="1" spans="1:26">
      <c r="A111" s="17"/>
      <c r="B111" s="15"/>
      <c r="C111" s="15"/>
      <c r="D111" s="15"/>
      <c r="E111" s="15"/>
      <c r="F111" s="15"/>
      <c r="G111" s="15"/>
      <c r="H111" s="16"/>
      <c r="I111" s="16"/>
      <c r="J111" s="16"/>
      <c r="K111" s="16"/>
      <c r="L111" s="16"/>
      <c r="M111" s="16"/>
      <c r="N111" s="16"/>
      <c r="O111" s="16"/>
      <c r="P111" s="16"/>
      <c r="Q111" s="16"/>
      <c r="R111" s="16"/>
      <c r="S111" s="16"/>
      <c r="T111" s="16"/>
      <c r="U111" s="16"/>
      <c r="V111" s="16"/>
      <c r="W111" s="15"/>
      <c r="X111" s="15"/>
      <c r="Y111" s="15"/>
      <c r="Z111" s="15"/>
    </row>
    <row r="112" customHeight="1" spans="1:26">
      <c r="A112" s="17"/>
      <c r="B112" s="15"/>
      <c r="C112" s="15"/>
      <c r="D112" s="15"/>
      <c r="E112" s="15"/>
      <c r="F112" s="15"/>
      <c r="G112" s="15"/>
      <c r="H112" s="16"/>
      <c r="I112" s="16"/>
      <c r="J112" s="16"/>
      <c r="K112" s="16"/>
      <c r="L112" s="16"/>
      <c r="M112" s="16"/>
      <c r="N112" s="16"/>
      <c r="O112" s="16"/>
      <c r="P112" s="16"/>
      <c r="Q112" s="16"/>
      <c r="R112" s="16"/>
      <c r="S112" s="16"/>
      <c r="T112" s="16"/>
      <c r="U112" s="16"/>
      <c r="V112" s="16"/>
      <c r="W112" s="15"/>
      <c r="X112" s="15"/>
      <c r="Y112" s="15"/>
      <c r="Z112" s="15"/>
    </row>
    <row r="113" customHeight="1" spans="1:26">
      <c r="A113" s="17"/>
      <c r="B113" s="15"/>
      <c r="C113" s="15"/>
      <c r="D113" s="15"/>
      <c r="E113" s="15"/>
      <c r="F113" s="15"/>
      <c r="G113" s="15"/>
      <c r="H113" s="16"/>
      <c r="I113" s="16"/>
      <c r="J113" s="16"/>
      <c r="K113" s="16"/>
      <c r="L113" s="16"/>
      <c r="M113" s="16"/>
      <c r="N113" s="16"/>
      <c r="O113" s="16"/>
      <c r="P113" s="16"/>
      <c r="Q113" s="16"/>
      <c r="R113" s="16"/>
      <c r="S113" s="16"/>
      <c r="T113" s="16"/>
      <c r="U113" s="16"/>
      <c r="V113" s="16"/>
      <c r="W113" s="15"/>
      <c r="X113" s="15"/>
      <c r="Y113" s="15"/>
      <c r="Z113" s="15"/>
    </row>
    <row r="114" customHeight="1" spans="1:26">
      <c r="A114" s="17"/>
      <c r="B114" s="15"/>
      <c r="C114" s="15"/>
      <c r="D114" s="15"/>
      <c r="E114" s="15"/>
      <c r="F114" s="15"/>
      <c r="G114" s="15"/>
      <c r="H114" s="16"/>
      <c r="I114" s="16"/>
      <c r="J114" s="16"/>
      <c r="K114" s="16"/>
      <c r="L114" s="16"/>
      <c r="M114" s="16"/>
      <c r="N114" s="16"/>
      <c r="O114" s="16"/>
      <c r="P114" s="16"/>
      <c r="Q114" s="16"/>
      <c r="R114" s="16"/>
      <c r="S114" s="16"/>
      <c r="T114" s="16"/>
      <c r="U114" s="16"/>
      <c r="V114" s="16"/>
      <c r="W114" s="15"/>
      <c r="X114" s="15"/>
      <c r="Y114" s="15"/>
      <c r="Z114" s="15"/>
    </row>
    <row r="115" customHeight="1" spans="1:26">
      <c r="A115" s="17"/>
      <c r="B115" s="15"/>
      <c r="C115" s="15"/>
      <c r="D115" s="15"/>
      <c r="E115" s="15"/>
      <c r="F115" s="15"/>
      <c r="G115" s="15"/>
      <c r="H115" s="16"/>
      <c r="I115" s="16"/>
      <c r="J115" s="16"/>
      <c r="K115" s="16"/>
      <c r="L115" s="16"/>
      <c r="M115" s="16"/>
      <c r="N115" s="16"/>
      <c r="O115" s="16"/>
      <c r="P115" s="16"/>
      <c r="Q115" s="16"/>
      <c r="R115" s="16"/>
      <c r="S115" s="16"/>
      <c r="T115" s="16"/>
      <c r="U115" s="16"/>
      <c r="V115" s="16"/>
      <c r="W115" s="15"/>
      <c r="X115" s="15"/>
      <c r="Y115" s="15"/>
      <c r="Z115" s="15"/>
    </row>
    <row r="116" customHeight="1" spans="1:26">
      <c r="A116" s="17"/>
      <c r="B116" s="15"/>
      <c r="C116" s="15"/>
      <c r="D116" s="15"/>
      <c r="E116" s="15"/>
      <c r="F116" s="15"/>
      <c r="G116" s="15"/>
      <c r="H116" s="16"/>
      <c r="I116" s="16"/>
      <c r="J116" s="16"/>
      <c r="K116" s="16"/>
      <c r="L116" s="16"/>
      <c r="M116" s="16"/>
      <c r="N116" s="16"/>
      <c r="O116" s="16"/>
      <c r="P116" s="16"/>
      <c r="Q116" s="16"/>
      <c r="R116" s="16"/>
      <c r="S116" s="16"/>
      <c r="T116" s="16"/>
      <c r="U116" s="16"/>
      <c r="V116" s="16"/>
      <c r="W116" s="15"/>
      <c r="X116" s="15"/>
      <c r="Y116" s="15"/>
      <c r="Z116" s="15"/>
    </row>
    <row r="117" customHeight="1" spans="1:26">
      <c r="A117" s="17"/>
      <c r="B117" s="15"/>
      <c r="C117" s="15"/>
      <c r="D117" s="15"/>
      <c r="E117" s="15"/>
      <c r="F117" s="15"/>
      <c r="G117" s="15"/>
      <c r="H117" s="16"/>
      <c r="I117" s="16"/>
      <c r="J117" s="16"/>
      <c r="K117" s="16"/>
      <c r="L117" s="16"/>
      <c r="M117" s="16"/>
      <c r="N117" s="16"/>
      <c r="O117" s="16"/>
      <c r="P117" s="16"/>
      <c r="Q117" s="16"/>
      <c r="R117" s="16"/>
      <c r="S117" s="16"/>
      <c r="T117" s="16"/>
      <c r="U117" s="16"/>
      <c r="V117" s="16"/>
      <c r="W117" s="15"/>
      <c r="X117" s="15"/>
      <c r="Y117" s="15"/>
      <c r="Z117" s="15"/>
    </row>
    <row r="118" customHeight="1" spans="1:26">
      <c r="A118" s="17"/>
      <c r="B118" s="15"/>
      <c r="C118" s="15"/>
      <c r="D118" s="15"/>
      <c r="E118" s="15"/>
      <c r="F118" s="15"/>
      <c r="G118" s="15"/>
      <c r="H118" s="16"/>
      <c r="I118" s="16"/>
      <c r="J118" s="16"/>
      <c r="K118" s="16"/>
      <c r="L118" s="16"/>
      <c r="M118" s="16"/>
      <c r="N118" s="16"/>
      <c r="O118" s="16"/>
      <c r="P118" s="16"/>
      <c r="Q118" s="16"/>
      <c r="R118" s="16"/>
      <c r="S118" s="16"/>
      <c r="T118" s="16"/>
      <c r="U118" s="16"/>
      <c r="V118" s="16"/>
      <c r="W118" s="15"/>
      <c r="X118" s="15"/>
      <c r="Y118" s="15"/>
      <c r="Z118" s="15"/>
    </row>
    <row r="119" customHeight="1" spans="1:26">
      <c r="A119" s="17"/>
      <c r="B119" s="15"/>
      <c r="C119" s="15"/>
      <c r="D119" s="15"/>
      <c r="E119" s="15"/>
      <c r="F119" s="15"/>
      <c r="G119" s="15"/>
      <c r="H119" s="16"/>
      <c r="I119" s="16"/>
      <c r="J119" s="16"/>
      <c r="K119" s="16"/>
      <c r="L119" s="16"/>
      <c r="M119" s="16"/>
      <c r="N119" s="16"/>
      <c r="O119" s="16"/>
      <c r="P119" s="16"/>
      <c r="Q119" s="16"/>
      <c r="R119" s="16"/>
      <c r="S119" s="16"/>
      <c r="T119" s="16"/>
      <c r="U119" s="16"/>
      <c r="V119" s="16"/>
      <c r="W119" s="15"/>
      <c r="X119" s="15"/>
      <c r="Y119" s="15"/>
      <c r="Z119" s="15"/>
    </row>
    <row r="120" customHeight="1" spans="1:26">
      <c r="A120" s="17"/>
      <c r="B120" s="15"/>
      <c r="C120" s="15"/>
      <c r="D120" s="15"/>
      <c r="E120" s="15"/>
      <c r="F120" s="15"/>
      <c r="G120" s="15"/>
      <c r="H120" s="16"/>
      <c r="I120" s="16"/>
      <c r="J120" s="16"/>
      <c r="K120" s="16"/>
      <c r="L120" s="16"/>
      <c r="M120" s="16"/>
      <c r="N120" s="16"/>
      <c r="O120" s="16"/>
      <c r="P120" s="16"/>
      <c r="Q120" s="16"/>
      <c r="R120" s="16"/>
      <c r="S120" s="16"/>
      <c r="T120" s="16"/>
      <c r="U120" s="16"/>
      <c r="V120" s="16"/>
      <c r="W120" s="15"/>
      <c r="X120" s="15"/>
      <c r="Y120" s="15"/>
      <c r="Z120" s="15"/>
    </row>
    <row r="121" customHeight="1" spans="1:26">
      <c r="A121" s="17"/>
      <c r="B121" s="15"/>
      <c r="C121" s="15"/>
      <c r="D121" s="15"/>
      <c r="E121" s="15"/>
      <c r="F121" s="15"/>
      <c r="G121" s="15"/>
      <c r="H121" s="16"/>
      <c r="I121" s="16"/>
      <c r="J121" s="16"/>
      <c r="K121" s="16"/>
      <c r="L121" s="16"/>
      <c r="M121" s="16"/>
      <c r="N121" s="16"/>
      <c r="O121" s="16"/>
      <c r="P121" s="16"/>
      <c r="Q121" s="16"/>
      <c r="R121" s="16"/>
      <c r="S121" s="16"/>
      <c r="T121" s="16"/>
      <c r="U121" s="16"/>
      <c r="V121" s="16"/>
      <c r="W121" s="15"/>
      <c r="X121" s="15"/>
      <c r="Y121" s="15"/>
      <c r="Z121" s="15"/>
    </row>
    <row r="122" customHeight="1" spans="1:26">
      <c r="A122" s="17"/>
      <c r="B122" s="15"/>
      <c r="C122" s="15"/>
      <c r="D122" s="15"/>
      <c r="E122" s="15"/>
      <c r="F122" s="15"/>
      <c r="G122" s="15"/>
      <c r="H122" s="16"/>
      <c r="I122" s="16"/>
      <c r="J122" s="16"/>
      <c r="K122" s="16"/>
      <c r="L122" s="16"/>
      <c r="M122" s="16"/>
      <c r="N122" s="16"/>
      <c r="O122" s="16"/>
      <c r="P122" s="16"/>
      <c r="Q122" s="16"/>
      <c r="R122" s="16"/>
      <c r="S122" s="16"/>
      <c r="T122" s="16"/>
      <c r="U122" s="16"/>
      <c r="V122" s="16"/>
      <c r="W122" s="15"/>
      <c r="X122" s="15"/>
      <c r="Y122" s="15"/>
      <c r="Z122" s="15"/>
    </row>
    <row r="123" customHeight="1" spans="1:26">
      <c r="A123" s="17"/>
      <c r="B123" s="15"/>
      <c r="C123" s="15"/>
      <c r="D123" s="15"/>
      <c r="E123" s="15"/>
      <c r="F123" s="15"/>
      <c r="G123" s="15"/>
      <c r="H123" s="16"/>
      <c r="I123" s="16"/>
      <c r="J123" s="16"/>
      <c r="K123" s="16"/>
      <c r="L123" s="16"/>
      <c r="M123" s="16"/>
      <c r="N123" s="16"/>
      <c r="O123" s="16"/>
      <c r="P123" s="16"/>
      <c r="Q123" s="16"/>
      <c r="R123" s="16"/>
      <c r="S123" s="16"/>
      <c r="T123" s="16"/>
      <c r="U123" s="16"/>
      <c r="V123" s="16"/>
      <c r="W123" s="15"/>
      <c r="X123" s="15"/>
      <c r="Y123" s="15"/>
      <c r="Z123" s="15"/>
    </row>
    <row r="124" customHeight="1" spans="1:26">
      <c r="A124" s="17"/>
      <c r="B124" s="15"/>
      <c r="C124" s="15"/>
      <c r="D124" s="15"/>
      <c r="E124" s="15"/>
      <c r="F124" s="15"/>
      <c r="G124" s="15"/>
      <c r="H124" s="16"/>
      <c r="I124" s="16"/>
      <c r="J124" s="16"/>
      <c r="K124" s="16"/>
      <c r="L124" s="16"/>
      <c r="M124" s="16"/>
      <c r="N124" s="16"/>
      <c r="O124" s="16"/>
      <c r="P124" s="16"/>
      <c r="Q124" s="16"/>
      <c r="R124" s="16"/>
      <c r="S124" s="16"/>
      <c r="T124" s="16"/>
      <c r="U124" s="16"/>
      <c r="V124" s="16"/>
      <c r="W124" s="15"/>
      <c r="X124" s="15"/>
      <c r="Y124" s="15"/>
      <c r="Z124" s="15"/>
    </row>
    <row r="125" customHeight="1" spans="1:26">
      <c r="A125" s="17"/>
      <c r="B125" s="15"/>
      <c r="C125" s="15"/>
      <c r="D125" s="15"/>
      <c r="E125" s="15"/>
      <c r="F125" s="15"/>
      <c r="G125" s="15"/>
      <c r="H125" s="16"/>
      <c r="I125" s="16"/>
      <c r="J125" s="16"/>
      <c r="K125" s="16"/>
      <c r="L125" s="16"/>
      <c r="M125" s="16"/>
      <c r="N125" s="16"/>
      <c r="O125" s="16"/>
      <c r="P125" s="16"/>
      <c r="Q125" s="16"/>
      <c r="R125" s="16"/>
      <c r="S125" s="16"/>
      <c r="T125" s="16"/>
      <c r="U125" s="16"/>
      <c r="V125" s="16"/>
      <c r="W125" s="15"/>
      <c r="X125" s="15"/>
      <c r="Y125" s="15"/>
      <c r="Z125" s="15"/>
    </row>
    <row r="126" customHeight="1" spans="1:26">
      <c r="A126" s="17"/>
      <c r="B126" s="15"/>
      <c r="C126" s="15"/>
      <c r="D126" s="15"/>
      <c r="E126" s="15"/>
      <c r="F126" s="15"/>
      <c r="G126" s="15"/>
      <c r="H126" s="16"/>
      <c r="I126" s="16"/>
      <c r="J126" s="16"/>
      <c r="K126" s="16"/>
      <c r="L126" s="16"/>
      <c r="M126" s="16"/>
      <c r="N126" s="16"/>
      <c r="O126" s="16"/>
      <c r="P126" s="16"/>
      <c r="Q126" s="16"/>
      <c r="R126" s="16"/>
      <c r="S126" s="16"/>
      <c r="T126" s="16"/>
      <c r="U126" s="16"/>
      <c r="V126" s="16"/>
      <c r="W126" s="15"/>
      <c r="X126" s="15"/>
      <c r="Y126" s="15"/>
      <c r="Z126" s="15"/>
    </row>
    <row r="127" customHeight="1" spans="1:26">
      <c r="A127" s="17"/>
      <c r="B127" s="15"/>
      <c r="C127" s="15"/>
      <c r="D127" s="15"/>
      <c r="E127" s="15"/>
      <c r="F127" s="15"/>
      <c r="G127" s="15"/>
      <c r="H127" s="16"/>
      <c r="I127" s="16"/>
      <c r="J127" s="16"/>
      <c r="K127" s="16"/>
      <c r="L127" s="16"/>
      <c r="M127" s="16"/>
      <c r="N127" s="16"/>
      <c r="O127" s="16"/>
      <c r="P127" s="16"/>
      <c r="Q127" s="16"/>
      <c r="R127" s="16"/>
      <c r="S127" s="16"/>
      <c r="T127" s="16"/>
      <c r="U127" s="16"/>
      <c r="V127" s="16"/>
      <c r="W127" s="15"/>
      <c r="X127" s="15"/>
      <c r="Y127" s="15"/>
      <c r="Z127" s="15"/>
    </row>
    <row r="128" customHeight="1" spans="1:26">
      <c r="A128" s="17"/>
      <c r="B128" s="15"/>
      <c r="C128" s="15"/>
      <c r="D128" s="15"/>
      <c r="E128" s="15"/>
      <c r="F128" s="15"/>
      <c r="G128" s="15"/>
      <c r="H128" s="16"/>
      <c r="I128" s="16"/>
      <c r="J128" s="16"/>
      <c r="K128" s="16"/>
      <c r="L128" s="16"/>
      <c r="M128" s="16"/>
      <c r="N128" s="16"/>
      <c r="O128" s="16"/>
      <c r="P128" s="16"/>
      <c r="Q128" s="16"/>
      <c r="R128" s="16"/>
      <c r="S128" s="16"/>
      <c r="T128" s="16"/>
      <c r="U128" s="16"/>
      <c r="V128" s="16"/>
      <c r="W128" s="15"/>
      <c r="X128" s="15"/>
      <c r="Y128" s="15"/>
      <c r="Z128" s="15"/>
    </row>
    <row r="129" customHeight="1" spans="1:26">
      <c r="A129" s="17"/>
      <c r="B129" s="15"/>
      <c r="C129" s="15"/>
      <c r="D129" s="15"/>
      <c r="E129" s="15"/>
      <c r="F129" s="15"/>
      <c r="G129" s="15"/>
      <c r="H129" s="16"/>
      <c r="I129" s="16"/>
      <c r="J129" s="16"/>
      <c r="K129" s="16"/>
      <c r="L129" s="16"/>
      <c r="M129" s="16"/>
      <c r="N129" s="16"/>
      <c r="O129" s="16"/>
      <c r="P129" s="16"/>
      <c r="Q129" s="16"/>
      <c r="R129" s="16"/>
      <c r="S129" s="16"/>
      <c r="T129" s="16"/>
      <c r="U129" s="16"/>
      <c r="V129" s="16"/>
      <c r="W129" s="15"/>
      <c r="X129" s="15"/>
      <c r="Y129" s="15"/>
      <c r="Z129" s="15"/>
    </row>
    <row r="130" customHeight="1" spans="1:26">
      <c r="A130" s="17"/>
      <c r="B130" s="15"/>
      <c r="C130" s="15"/>
      <c r="D130" s="15"/>
      <c r="E130" s="15"/>
      <c r="F130" s="15"/>
      <c r="G130" s="15"/>
      <c r="H130" s="16"/>
      <c r="I130" s="16"/>
      <c r="J130" s="16"/>
      <c r="K130" s="16"/>
      <c r="L130" s="16"/>
      <c r="M130" s="16"/>
      <c r="N130" s="16"/>
      <c r="O130" s="16"/>
      <c r="P130" s="16"/>
      <c r="Q130" s="16"/>
      <c r="R130" s="16"/>
      <c r="S130" s="16"/>
      <c r="T130" s="16"/>
      <c r="U130" s="16"/>
      <c r="V130" s="16"/>
      <c r="W130" s="15"/>
      <c r="X130" s="15"/>
      <c r="Y130" s="15"/>
      <c r="Z130" s="15"/>
    </row>
    <row r="131" customHeight="1" spans="1:26">
      <c r="A131" s="17"/>
      <c r="B131" s="15"/>
      <c r="C131" s="15"/>
      <c r="D131" s="15"/>
      <c r="E131" s="15"/>
      <c r="F131" s="15"/>
      <c r="G131" s="15"/>
      <c r="H131" s="16"/>
      <c r="I131" s="16"/>
      <c r="J131" s="16"/>
      <c r="K131" s="16"/>
      <c r="L131" s="16"/>
      <c r="M131" s="16"/>
      <c r="N131" s="16"/>
      <c r="O131" s="16"/>
      <c r="P131" s="16"/>
      <c r="Q131" s="16"/>
      <c r="R131" s="16"/>
      <c r="S131" s="16"/>
      <c r="T131" s="16"/>
      <c r="U131" s="16"/>
      <c r="V131" s="16"/>
      <c r="W131" s="15"/>
      <c r="X131" s="15"/>
      <c r="Y131" s="15"/>
      <c r="Z131" s="15"/>
    </row>
    <row r="132" customHeight="1" spans="1:26">
      <c r="A132" s="17"/>
      <c r="B132" s="15"/>
      <c r="C132" s="15"/>
      <c r="D132" s="15"/>
      <c r="E132" s="15"/>
      <c r="F132" s="15"/>
      <c r="G132" s="15"/>
      <c r="H132" s="16"/>
      <c r="I132" s="16"/>
      <c r="J132" s="16"/>
      <c r="K132" s="16"/>
      <c r="L132" s="16"/>
      <c r="M132" s="16"/>
      <c r="N132" s="16"/>
      <c r="O132" s="16"/>
      <c r="P132" s="16"/>
      <c r="Q132" s="16"/>
      <c r="R132" s="16"/>
      <c r="S132" s="16"/>
      <c r="T132" s="16"/>
      <c r="U132" s="16"/>
      <c r="V132" s="16"/>
      <c r="W132" s="15"/>
      <c r="X132" s="15"/>
      <c r="Y132" s="15"/>
      <c r="Z132" s="15"/>
    </row>
    <row r="133" customHeight="1" spans="1:26">
      <c r="A133" s="17"/>
      <c r="B133" s="15"/>
      <c r="C133" s="15"/>
      <c r="D133" s="15"/>
      <c r="E133" s="15"/>
      <c r="F133" s="15"/>
      <c r="G133" s="15"/>
      <c r="H133" s="16"/>
      <c r="I133" s="16"/>
      <c r="J133" s="16"/>
      <c r="K133" s="16"/>
      <c r="L133" s="16"/>
      <c r="M133" s="16"/>
      <c r="N133" s="16"/>
      <c r="O133" s="16"/>
      <c r="P133" s="16"/>
      <c r="Q133" s="16"/>
      <c r="R133" s="16"/>
      <c r="S133" s="16"/>
      <c r="T133" s="16"/>
      <c r="U133" s="16"/>
      <c r="V133" s="16"/>
      <c r="W133" s="15"/>
      <c r="X133" s="15"/>
      <c r="Y133" s="15"/>
      <c r="Z133" s="15"/>
    </row>
    <row r="134" customHeight="1" spans="1:26">
      <c r="A134" s="17"/>
      <c r="B134" s="15"/>
      <c r="C134" s="15"/>
      <c r="D134" s="15"/>
      <c r="E134" s="15"/>
      <c r="F134" s="15"/>
      <c r="G134" s="15"/>
      <c r="H134" s="16"/>
      <c r="I134" s="16"/>
      <c r="J134" s="16"/>
      <c r="K134" s="16"/>
      <c r="L134" s="16"/>
      <c r="M134" s="16"/>
      <c r="N134" s="16"/>
      <c r="O134" s="16"/>
      <c r="P134" s="16"/>
      <c r="Q134" s="16"/>
      <c r="R134" s="16"/>
      <c r="S134" s="16"/>
      <c r="T134" s="16"/>
      <c r="U134" s="16"/>
      <c r="V134" s="16"/>
      <c r="W134" s="15"/>
      <c r="X134" s="15"/>
      <c r="Y134" s="15"/>
      <c r="Z134" s="15"/>
    </row>
    <row r="135" customHeight="1" spans="1:26">
      <c r="A135" s="17"/>
      <c r="B135" s="15"/>
      <c r="C135" s="15"/>
      <c r="D135" s="15"/>
      <c r="E135" s="15"/>
      <c r="F135" s="15"/>
      <c r="G135" s="15"/>
      <c r="H135" s="16"/>
      <c r="I135" s="16"/>
      <c r="J135" s="16"/>
      <c r="K135" s="16"/>
      <c r="L135" s="16"/>
      <c r="M135" s="16"/>
      <c r="N135" s="16"/>
      <c r="O135" s="16"/>
      <c r="P135" s="16"/>
      <c r="Q135" s="16"/>
      <c r="R135" s="16"/>
      <c r="S135" s="16"/>
      <c r="T135" s="16"/>
      <c r="U135" s="16"/>
      <c r="V135" s="16"/>
      <c r="W135" s="15"/>
      <c r="X135" s="15"/>
      <c r="Y135" s="15"/>
      <c r="Z135" s="15"/>
    </row>
    <row r="136" customHeight="1" spans="1:26">
      <c r="A136" s="17"/>
      <c r="B136" s="15"/>
      <c r="C136" s="15"/>
      <c r="D136" s="15"/>
      <c r="E136" s="15"/>
      <c r="F136" s="15"/>
      <c r="G136" s="15"/>
      <c r="H136" s="16"/>
      <c r="I136" s="16"/>
      <c r="J136" s="16"/>
      <c r="K136" s="16"/>
      <c r="L136" s="16"/>
      <c r="M136" s="16"/>
      <c r="N136" s="16"/>
      <c r="O136" s="16"/>
      <c r="P136" s="16"/>
      <c r="Q136" s="16"/>
      <c r="R136" s="16"/>
      <c r="S136" s="16"/>
      <c r="T136" s="16"/>
      <c r="U136" s="16"/>
      <c r="V136" s="16"/>
      <c r="W136" s="15"/>
      <c r="X136" s="15"/>
      <c r="Y136" s="15"/>
      <c r="Z136" s="15"/>
    </row>
    <row r="137" customHeight="1" spans="1:26">
      <c r="A137" s="17"/>
      <c r="B137" s="15"/>
      <c r="C137" s="15"/>
      <c r="D137" s="15"/>
      <c r="E137" s="15"/>
      <c r="F137" s="15"/>
      <c r="G137" s="15"/>
      <c r="H137" s="16"/>
      <c r="I137" s="16"/>
      <c r="J137" s="16"/>
      <c r="K137" s="16"/>
      <c r="L137" s="16"/>
      <c r="M137" s="16"/>
      <c r="N137" s="16"/>
      <c r="O137" s="16"/>
      <c r="P137" s="16"/>
      <c r="Q137" s="16"/>
      <c r="R137" s="16"/>
      <c r="S137" s="16"/>
      <c r="T137" s="16"/>
      <c r="U137" s="16"/>
      <c r="V137" s="16"/>
      <c r="W137" s="15"/>
      <c r="X137" s="15"/>
      <c r="Y137" s="15"/>
      <c r="Z137" s="15"/>
    </row>
    <row r="138" customHeight="1" spans="1:26">
      <c r="A138" s="17"/>
      <c r="B138" s="15"/>
      <c r="C138" s="15"/>
      <c r="D138" s="15"/>
      <c r="E138" s="15"/>
      <c r="F138" s="15"/>
      <c r="G138" s="15"/>
      <c r="H138" s="16"/>
      <c r="I138" s="16"/>
      <c r="J138" s="16"/>
      <c r="K138" s="16"/>
      <c r="L138" s="16"/>
      <c r="M138" s="16"/>
      <c r="N138" s="16"/>
      <c r="O138" s="16"/>
      <c r="P138" s="16"/>
      <c r="Q138" s="16"/>
      <c r="R138" s="16"/>
      <c r="S138" s="16"/>
      <c r="T138" s="16"/>
      <c r="U138" s="16"/>
      <c r="V138" s="16"/>
      <c r="W138" s="15"/>
      <c r="X138" s="15"/>
      <c r="Y138" s="15"/>
      <c r="Z138" s="15"/>
    </row>
    <row r="139" customHeight="1" spans="1:26">
      <c r="A139" s="17"/>
      <c r="B139" s="15"/>
      <c r="C139" s="15"/>
      <c r="D139" s="15"/>
      <c r="E139" s="15"/>
      <c r="F139" s="15"/>
      <c r="G139" s="15"/>
      <c r="H139" s="16"/>
      <c r="I139" s="16"/>
      <c r="J139" s="16"/>
      <c r="K139" s="16"/>
      <c r="L139" s="16"/>
      <c r="M139" s="16"/>
      <c r="N139" s="16"/>
      <c r="O139" s="16"/>
      <c r="P139" s="16"/>
      <c r="Q139" s="16"/>
      <c r="R139" s="16"/>
      <c r="S139" s="16"/>
      <c r="T139" s="16"/>
      <c r="U139" s="16"/>
      <c r="V139" s="16"/>
      <c r="W139" s="15"/>
      <c r="X139" s="15"/>
      <c r="Y139" s="15"/>
      <c r="Z139" s="15"/>
    </row>
    <row r="140" customHeight="1" spans="1:26">
      <c r="A140" s="17"/>
      <c r="B140" s="15"/>
      <c r="C140" s="15"/>
      <c r="D140" s="15"/>
      <c r="E140" s="15"/>
      <c r="F140" s="15"/>
      <c r="G140" s="15"/>
      <c r="H140" s="16"/>
      <c r="I140" s="16"/>
      <c r="J140" s="16"/>
      <c r="K140" s="16"/>
      <c r="L140" s="16"/>
      <c r="M140" s="16"/>
      <c r="N140" s="16"/>
      <c r="O140" s="16"/>
      <c r="P140" s="16"/>
      <c r="Q140" s="16"/>
      <c r="R140" s="16"/>
      <c r="S140" s="16"/>
      <c r="T140" s="16"/>
      <c r="U140" s="16"/>
      <c r="V140" s="16"/>
      <c r="W140" s="15"/>
      <c r="X140" s="15"/>
      <c r="Y140" s="15"/>
      <c r="Z140" s="15"/>
    </row>
    <row r="141" customHeight="1" spans="1:26">
      <c r="A141" s="17"/>
      <c r="B141" s="15"/>
      <c r="C141" s="15"/>
      <c r="D141" s="15"/>
      <c r="E141" s="15"/>
      <c r="F141" s="15"/>
      <c r="G141" s="15"/>
      <c r="H141" s="16"/>
      <c r="I141" s="16"/>
      <c r="J141" s="16"/>
      <c r="K141" s="16"/>
      <c r="L141" s="16"/>
      <c r="M141" s="16"/>
      <c r="N141" s="16"/>
      <c r="O141" s="16"/>
      <c r="P141" s="16"/>
      <c r="Q141" s="16"/>
      <c r="R141" s="16"/>
      <c r="S141" s="16"/>
      <c r="T141" s="16"/>
      <c r="U141" s="16"/>
      <c r="V141" s="16"/>
      <c r="W141" s="15"/>
      <c r="X141" s="15"/>
      <c r="Y141" s="15"/>
      <c r="Z141" s="15"/>
    </row>
    <row r="142" customHeight="1" spans="1:26">
      <c r="A142" s="17"/>
      <c r="B142" s="15"/>
      <c r="C142" s="15"/>
      <c r="D142" s="15"/>
      <c r="E142" s="15"/>
      <c r="F142" s="15"/>
      <c r="G142" s="15"/>
      <c r="H142" s="16"/>
      <c r="I142" s="16"/>
      <c r="J142" s="16"/>
      <c r="K142" s="16"/>
      <c r="L142" s="16"/>
      <c r="M142" s="16"/>
      <c r="N142" s="16"/>
      <c r="O142" s="16"/>
      <c r="P142" s="16"/>
      <c r="Q142" s="16"/>
      <c r="R142" s="16"/>
      <c r="S142" s="16"/>
      <c r="T142" s="16"/>
      <c r="U142" s="16"/>
      <c r="V142" s="16"/>
      <c r="W142" s="15"/>
      <c r="X142" s="15"/>
      <c r="Y142" s="15"/>
      <c r="Z142" s="15"/>
    </row>
    <row r="143" customHeight="1" spans="1:26">
      <c r="A143" s="17"/>
      <c r="B143" s="15"/>
      <c r="C143" s="15"/>
      <c r="D143" s="15"/>
      <c r="E143" s="15"/>
      <c r="F143" s="15"/>
      <c r="G143" s="15"/>
      <c r="H143" s="16"/>
      <c r="I143" s="16"/>
      <c r="J143" s="16"/>
      <c r="K143" s="16"/>
      <c r="L143" s="16"/>
      <c r="M143" s="16"/>
      <c r="N143" s="16"/>
      <c r="O143" s="16"/>
      <c r="P143" s="16"/>
      <c r="Q143" s="16"/>
      <c r="R143" s="16"/>
      <c r="S143" s="16"/>
      <c r="T143" s="16"/>
      <c r="U143" s="16"/>
      <c r="V143" s="16"/>
      <c r="W143" s="15"/>
      <c r="X143" s="15"/>
      <c r="Y143" s="15"/>
      <c r="Z143" s="15"/>
    </row>
    <row r="144" customHeight="1" spans="1:26">
      <c r="A144" s="17"/>
      <c r="B144" s="15"/>
      <c r="C144" s="15"/>
      <c r="D144" s="15"/>
      <c r="E144" s="15"/>
      <c r="F144" s="15"/>
      <c r="G144" s="15"/>
      <c r="H144" s="16"/>
      <c r="I144" s="16"/>
      <c r="J144" s="16"/>
      <c r="K144" s="16"/>
      <c r="L144" s="16"/>
      <c r="M144" s="16"/>
      <c r="N144" s="16"/>
      <c r="O144" s="16"/>
      <c r="P144" s="16"/>
      <c r="Q144" s="16"/>
      <c r="R144" s="16"/>
      <c r="S144" s="16"/>
      <c r="T144" s="16"/>
      <c r="U144" s="16"/>
      <c r="V144" s="16"/>
      <c r="W144" s="15"/>
      <c r="X144" s="15"/>
      <c r="Y144" s="15"/>
      <c r="Z144" s="15"/>
    </row>
    <row r="145" customHeight="1" spans="1:26">
      <c r="A145" s="17"/>
      <c r="B145" s="15"/>
      <c r="C145" s="15"/>
      <c r="D145" s="15"/>
      <c r="E145" s="15"/>
      <c r="F145" s="15"/>
      <c r="G145" s="15"/>
      <c r="H145" s="16"/>
      <c r="I145" s="16"/>
      <c r="J145" s="16"/>
      <c r="K145" s="16"/>
      <c r="L145" s="16"/>
      <c r="M145" s="16"/>
      <c r="N145" s="16"/>
      <c r="O145" s="16"/>
      <c r="P145" s="16"/>
      <c r="Q145" s="16"/>
      <c r="R145" s="16"/>
      <c r="S145" s="16"/>
      <c r="T145" s="16"/>
      <c r="U145" s="16"/>
      <c r="V145" s="16"/>
      <c r="W145" s="15"/>
      <c r="X145" s="15"/>
      <c r="Y145" s="15"/>
      <c r="Z145" s="15"/>
    </row>
    <row r="146" customHeight="1" spans="1:26">
      <c r="A146" s="17"/>
      <c r="B146" s="15"/>
      <c r="C146" s="15"/>
      <c r="D146" s="15"/>
      <c r="E146" s="15"/>
      <c r="F146" s="15"/>
      <c r="G146" s="15"/>
      <c r="H146" s="16"/>
      <c r="I146" s="16"/>
      <c r="J146" s="16"/>
      <c r="K146" s="16"/>
      <c r="L146" s="16"/>
      <c r="M146" s="16"/>
      <c r="N146" s="16"/>
      <c r="O146" s="16"/>
      <c r="P146" s="16"/>
      <c r="Q146" s="16"/>
      <c r="R146" s="16"/>
      <c r="S146" s="16"/>
      <c r="T146" s="16"/>
      <c r="U146" s="16"/>
      <c r="V146" s="16"/>
      <c r="W146" s="15"/>
      <c r="X146" s="15"/>
      <c r="Y146" s="15"/>
      <c r="Z146" s="15"/>
    </row>
    <row r="147" customHeight="1" spans="1:26">
      <c r="A147" s="17"/>
      <c r="B147" s="15"/>
      <c r="C147" s="15"/>
      <c r="D147" s="15"/>
      <c r="E147" s="15"/>
      <c r="F147" s="15"/>
      <c r="G147" s="15"/>
      <c r="H147" s="16"/>
      <c r="I147" s="16"/>
      <c r="J147" s="16"/>
      <c r="K147" s="16"/>
      <c r="L147" s="16"/>
      <c r="M147" s="16"/>
      <c r="N147" s="16"/>
      <c r="O147" s="16"/>
      <c r="P147" s="16"/>
      <c r="Q147" s="16"/>
      <c r="R147" s="16"/>
      <c r="S147" s="16"/>
      <c r="T147" s="16"/>
      <c r="U147" s="16"/>
      <c r="V147" s="16"/>
      <c r="W147" s="15"/>
      <c r="X147" s="15"/>
      <c r="Y147" s="15"/>
      <c r="Z147" s="15"/>
    </row>
    <row r="148" customHeight="1" spans="1:26">
      <c r="A148" s="17"/>
      <c r="B148" s="15"/>
      <c r="C148" s="15"/>
      <c r="D148" s="15"/>
      <c r="E148" s="15"/>
      <c r="F148" s="15"/>
      <c r="G148" s="15"/>
      <c r="H148" s="16"/>
      <c r="I148" s="16"/>
      <c r="J148" s="16"/>
      <c r="K148" s="16"/>
      <c r="L148" s="16"/>
      <c r="M148" s="16"/>
      <c r="N148" s="16"/>
      <c r="O148" s="16"/>
      <c r="P148" s="16"/>
      <c r="Q148" s="16"/>
      <c r="R148" s="16"/>
      <c r="S148" s="16"/>
      <c r="T148" s="16"/>
      <c r="U148" s="16"/>
      <c r="V148" s="16"/>
      <c r="W148" s="15"/>
      <c r="X148" s="15"/>
      <c r="Y148" s="15"/>
      <c r="Z148" s="15"/>
    </row>
    <row r="149" customHeight="1" spans="1:26">
      <c r="A149" s="17"/>
      <c r="B149" s="15"/>
      <c r="C149" s="15"/>
      <c r="D149" s="15"/>
      <c r="E149" s="15"/>
      <c r="F149" s="15"/>
      <c r="G149" s="15"/>
      <c r="H149" s="16"/>
      <c r="I149" s="16"/>
      <c r="J149" s="16"/>
      <c r="K149" s="16"/>
      <c r="L149" s="16"/>
      <c r="M149" s="16"/>
      <c r="N149" s="16"/>
      <c r="O149" s="16"/>
      <c r="P149" s="16"/>
      <c r="Q149" s="16"/>
      <c r="R149" s="16"/>
      <c r="S149" s="16"/>
      <c r="T149" s="16"/>
      <c r="U149" s="16"/>
      <c r="V149" s="16"/>
      <c r="W149" s="15"/>
      <c r="X149" s="15"/>
      <c r="Y149" s="15"/>
      <c r="Z149" s="15"/>
    </row>
    <row r="150" customHeight="1" spans="1:26">
      <c r="A150" s="17"/>
      <c r="B150" s="15"/>
      <c r="C150" s="15"/>
      <c r="D150" s="15"/>
      <c r="E150" s="15"/>
      <c r="F150" s="15"/>
      <c r="G150" s="15"/>
      <c r="H150" s="16"/>
      <c r="I150" s="16"/>
      <c r="J150" s="16"/>
      <c r="K150" s="16"/>
      <c r="L150" s="16"/>
      <c r="M150" s="16"/>
      <c r="N150" s="16"/>
      <c r="O150" s="16"/>
      <c r="P150" s="16"/>
      <c r="Q150" s="16"/>
      <c r="R150" s="16"/>
      <c r="S150" s="16"/>
      <c r="T150" s="16"/>
      <c r="U150" s="16"/>
      <c r="V150" s="16"/>
      <c r="W150" s="15"/>
      <c r="X150" s="15"/>
      <c r="Y150" s="15"/>
      <c r="Z150" s="15"/>
    </row>
    <row r="151" customHeight="1" spans="1:26">
      <c r="A151" s="17"/>
      <c r="B151" s="15"/>
      <c r="C151" s="15"/>
      <c r="D151" s="15"/>
      <c r="E151" s="15"/>
      <c r="F151" s="15"/>
      <c r="G151" s="15"/>
      <c r="H151" s="16"/>
      <c r="I151" s="16"/>
      <c r="J151" s="16"/>
      <c r="K151" s="16"/>
      <c r="L151" s="16"/>
      <c r="M151" s="16"/>
      <c r="N151" s="16"/>
      <c r="O151" s="16"/>
      <c r="P151" s="16"/>
      <c r="Q151" s="16"/>
      <c r="R151" s="16"/>
      <c r="S151" s="16"/>
      <c r="T151" s="16"/>
      <c r="U151" s="16"/>
      <c r="V151" s="16"/>
      <c r="W151" s="15"/>
      <c r="X151" s="15"/>
      <c r="Y151" s="15"/>
      <c r="Z151" s="15"/>
    </row>
    <row r="152" customHeight="1" spans="1:26">
      <c r="A152" s="17"/>
      <c r="B152" s="15"/>
      <c r="C152" s="15"/>
      <c r="D152" s="15"/>
      <c r="E152" s="15"/>
      <c r="F152" s="15"/>
      <c r="G152" s="15"/>
      <c r="H152" s="16"/>
      <c r="I152" s="16"/>
      <c r="J152" s="16"/>
      <c r="K152" s="16"/>
      <c r="L152" s="16"/>
      <c r="M152" s="16"/>
      <c r="N152" s="16"/>
      <c r="O152" s="16"/>
      <c r="P152" s="16"/>
      <c r="Q152" s="16"/>
      <c r="R152" s="16"/>
      <c r="S152" s="16"/>
      <c r="T152" s="16"/>
      <c r="U152" s="16"/>
      <c r="V152" s="16"/>
      <c r="W152" s="15"/>
      <c r="X152" s="15"/>
      <c r="Y152" s="15"/>
      <c r="Z152" s="15"/>
    </row>
    <row r="153" customHeight="1" spans="1:26">
      <c r="A153" s="17"/>
      <c r="B153" s="15"/>
      <c r="C153" s="15"/>
      <c r="D153" s="15"/>
      <c r="E153" s="15"/>
      <c r="F153" s="15"/>
      <c r="G153" s="15"/>
      <c r="H153" s="16"/>
      <c r="I153" s="16"/>
      <c r="J153" s="16"/>
      <c r="K153" s="16"/>
      <c r="L153" s="16"/>
      <c r="M153" s="16"/>
      <c r="N153" s="16"/>
      <c r="O153" s="16"/>
      <c r="P153" s="16"/>
      <c r="Q153" s="16"/>
      <c r="R153" s="16"/>
      <c r="S153" s="16"/>
      <c r="T153" s="16"/>
      <c r="U153" s="16"/>
      <c r="V153" s="16"/>
      <c r="W153" s="15"/>
      <c r="X153" s="15"/>
      <c r="Y153" s="15"/>
      <c r="Z153" s="15"/>
    </row>
    <row r="154" customHeight="1" spans="1:26">
      <c r="A154" s="17"/>
      <c r="B154" s="15"/>
      <c r="C154" s="15"/>
      <c r="D154" s="15"/>
      <c r="E154" s="15"/>
      <c r="F154" s="15"/>
      <c r="G154" s="15"/>
      <c r="H154" s="16"/>
      <c r="I154" s="16"/>
      <c r="J154" s="16"/>
      <c r="K154" s="16"/>
      <c r="L154" s="16"/>
      <c r="M154" s="16"/>
      <c r="N154" s="16"/>
      <c r="O154" s="16"/>
      <c r="P154" s="16"/>
      <c r="Q154" s="16"/>
      <c r="R154" s="16"/>
      <c r="S154" s="16"/>
      <c r="T154" s="16"/>
      <c r="U154" s="16"/>
      <c r="V154" s="16"/>
      <c r="W154" s="15"/>
      <c r="X154" s="15"/>
      <c r="Y154" s="15"/>
      <c r="Z154" s="15"/>
    </row>
    <row r="155" customHeight="1" spans="1:26">
      <c r="A155" s="17"/>
      <c r="B155" s="15"/>
      <c r="C155" s="15"/>
      <c r="D155" s="15"/>
      <c r="E155" s="15"/>
      <c r="F155" s="15"/>
      <c r="G155" s="15"/>
      <c r="H155" s="16"/>
      <c r="I155" s="16"/>
      <c r="J155" s="16"/>
      <c r="K155" s="16"/>
      <c r="L155" s="16"/>
      <c r="M155" s="16"/>
      <c r="N155" s="16"/>
      <c r="O155" s="16"/>
      <c r="P155" s="16"/>
      <c r="Q155" s="16"/>
      <c r="R155" s="16"/>
      <c r="S155" s="16"/>
      <c r="T155" s="16"/>
      <c r="U155" s="16"/>
      <c r="V155" s="16"/>
      <c r="W155" s="15"/>
      <c r="X155" s="15"/>
      <c r="Y155" s="15"/>
      <c r="Z155" s="15"/>
    </row>
    <row r="156" customHeight="1" spans="1:26">
      <c r="A156" s="17"/>
      <c r="B156" s="15"/>
      <c r="C156" s="15"/>
      <c r="D156" s="15"/>
      <c r="E156" s="15"/>
      <c r="F156" s="15"/>
      <c r="G156" s="15"/>
      <c r="H156" s="16"/>
      <c r="I156" s="16"/>
      <c r="J156" s="16"/>
      <c r="K156" s="16"/>
      <c r="L156" s="16"/>
      <c r="M156" s="16"/>
      <c r="N156" s="16"/>
      <c r="O156" s="16"/>
      <c r="P156" s="16"/>
      <c r="Q156" s="16"/>
      <c r="R156" s="16"/>
      <c r="S156" s="16"/>
      <c r="T156" s="16"/>
      <c r="U156" s="16"/>
      <c r="V156" s="16"/>
      <c r="W156" s="15"/>
      <c r="X156" s="15"/>
      <c r="Y156" s="15"/>
      <c r="Z156" s="15"/>
    </row>
    <row r="157" customHeight="1" spans="1:26">
      <c r="A157" s="17"/>
      <c r="B157" s="15"/>
      <c r="C157" s="15"/>
      <c r="D157" s="15"/>
      <c r="E157" s="15"/>
      <c r="F157" s="15"/>
      <c r="G157" s="15"/>
      <c r="H157" s="16"/>
      <c r="I157" s="16"/>
      <c r="J157" s="16"/>
      <c r="K157" s="16"/>
      <c r="L157" s="16"/>
      <c r="M157" s="16"/>
      <c r="N157" s="16"/>
      <c r="O157" s="16"/>
      <c r="P157" s="16"/>
      <c r="Q157" s="16"/>
      <c r="R157" s="16"/>
      <c r="S157" s="16"/>
      <c r="T157" s="16"/>
      <c r="U157" s="16"/>
      <c r="V157" s="16"/>
      <c r="W157" s="15"/>
      <c r="X157" s="15"/>
      <c r="Y157" s="15"/>
      <c r="Z157" s="15"/>
    </row>
    <row r="158" customHeight="1" spans="1:26">
      <c r="A158" s="17"/>
      <c r="B158" s="15"/>
      <c r="C158" s="15"/>
      <c r="D158" s="15"/>
      <c r="E158" s="15"/>
      <c r="F158" s="15"/>
      <c r="G158" s="15"/>
      <c r="H158" s="16"/>
      <c r="I158" s="16"/>
      <c r="J158" s="16"/>
      <c r="K158" s="16"/>
      <c r="L158" s="16"/>
      <c r="M158" s="16"/>
      <c r="N158" s="16"/>
      <c r="O158" s="16"/>
      <c r="P158" s="16"/>
      <c r="Q158" s="16"/>
      <c r="R158" s="16"/>
      <c r="S158" s="16"/>
      <c r="T158" s="16"/>
      <c r="U158" s="16"/>
      <c r="V158" s="16"/>
      <c r="W158" s="15"/>
      <c r="X158" s="15"/>
      <c r="Y158" s="15"/>
      <c r="Z158" s="15"/>
    </row>
    <row r="159" customHeight="1" spans="1:26">
      <c r="A159" s="17"/>
      <c r="B159" s="15"/>
      <c r="C159" s="15"/>
      <c r="D159" s="15"/>
      <c r="E159" s="15"/>
      <c r="F159" s="15"/>
      <c r="G159" s="15"/>
      <c r="H159" s="16"/>
      <c r="I159" s="16"/>
      <c r="J159" s="16"/>
      <c r="K159" s="16"/>
      <c r="L159" s="16"/>
      <c r="M159" s="16"/>
      <c r="N159" s="16"/>
      <c r="O159" s="16"/>
      <c r="P159" s="16"/>
      <c r="Q159" s="16"/>
      <c r="R159" s="16"/>
      <c r="S159" s="16"/>
      <c r="T159" s="16"/>
      <c r="U159" s="16"/>
      <c r="V159" s="16"/>
      <c r="W159" s="15"/>
      <c r="X159" s="15"/>
      <c r="Y159" s="15"/>
      <c r="Z159" s="15"/>
    </row>
    <row r="160" customHeight="1" spans="1:26">
      <c r="A160" s="17"/>
      <c r="B160" s="15"/>
      <c r="C160" s="15"/>
      <c r="D160" s="15"/>
      <c r="E160" s="15"/>
      <c r="F160" s="15"/>
      <c r="G160" s="15"/>
      <c r="H160" s="16"/>
      <c r="I160" s="16"/>
      <c r="J160" s="16"/>
      <c r="K160" s="16"/>
      <c r="L160" s="16"/>
      <c r="M160" s="16"/>
      <c r="N160" s="16"/>
      <c r="O160" s="16"/>
      <c r="P160" s="16"/>
      <c r="Q160" s="16"/>
      <c r="R160" s="16"/>
      <c r="S160" s="16"/>
      <c r="T160" s="16"/>
      <c r="U160" s="16"/>
      <c r="V160" s="16"/>
      <c r="W160" s="15"/>
      <c r="X160" s="15"/>
      <c r="Y160" s="15"/>
      <c r="Z160" s="15"/>
    </row>
    <row r="161" customHeight="1" spans="1:26">
      <c r="A161" s="17"/>
      <c r="B161" s="15"/>
      <c r="C161" s="15"/>
      <c r="D161" s="15"/>
      <c r="E161" s="15"/>
      <c r="F161" s="15"/>
      <c r="G161" s="15"/>
      <c r="H161" s="16"/>
      <c r="I161" s="16"/>
      <c r="J161" s="16"/>
      <c r="K161" s="16"/>
      <c r="L161" s="16"/>
      <c r="M161" s="16"/>
      <c r="N161" s="16"/>
      <c r="O161" s="16"/>
      <c r="P161" s="16"/>
      <c r="Q161" s="16"/>
      <c r="R161" s="16"/>
      <c r="S161" s="16"/>
      <c r="T161" s="16"/>
      <c r="U161" s="16"/>
      <c r="V161" s="16"/>
      <c r="W161" s="15"/>
      <c r="X161" s="15"/>
      <c r="Y161" s="15"/>
      <c r="Z161" s="15"/>
    </row>
    <row r="162" customHeight="1" spans="1:26">
      <c r="A162" s="17"/>
      <c r="B162" s="15"/>
      <c r="C162" s="15"/>
      <c r="D162" s="15"/>
      <c r="E162" s="15"/>
      <c r="F162" s="15"/>
      <c r="G162" s="15"/>
      <c r="H162" s="16"/>
      <c r="I162" s="16"/>
      <c r="J162" s="16"/>
      <c r="K162" s="16"/>
      <c r="L162" s="16"/>
      <c r="M162" s="16"/>
      <c r="N162" s="16"/>
      <c r="O162" s="16"/>
      <c r="P162" s="16"/>
      <c r="Q162" s="16"/>
      <c r="R162" s="16"/>
      <c r="S162" s="16"/>
      <c r="T162" s="16"/>
      <c r="U162" s="16"/>
      <c r="V162" s="16"/>
      <c r="W162" s="15"/>
      <c r="X162" s="15"/>
      <c r="Y162" s="15"/>
      <c r="Z162" s="15"/>
    </row>
    <row r="163" customHeight="1" spans="1:26">
      <c r="A163" s="17"/>
      <c r="B163" s="15"/>
      <c r="C163" s="15"/>
      <c r="D163" s="15"/>
      <c r="E163" s="15"/>
      <c r="F163" s="15"/>
      <c r="G163" s="15"/>
      <c r="H163" s="16"/>
      <c r="I163" s="16"/>
      <c r="J163" s="16"/>
      <c r="K163" s="16"/>
      <c r="L163" s="16"/>
      <c r="M163" s="16"/>
      <c r="N163" s="16"/>
      <c r="O163" s="16"/>
      <c r="P163" s="16"/>
      <c r="Q163" s="16"/>
      <c r="R163" s="16"/>
      <c r="S163" s="16"/>
      <c r="T163" s="16"/>
      <c r="U163" s="16"/>
      <c r="V163" s="16"/>
      <c r="W163" s="15"/>
      <c r="X163" s="15"/>
      <c r="Y163" s="15"/>
      <c r="Z163" s="15"/>
    </row>
    <row r="164" customHeight="1" spans="1:26">
      <c r="A164" s="17"/>
      <c r="B164" s="15"/>
      <c r="C164" s="15"/>
      <c r="D164" s="15"/>
      <c r="E164" s="15"/>
      <c r="F164" s="15"/>
      <c r="G164" s="15"/>
      <c r="H164" s="16"/>
      <c r="I164" s="16"/>
      <c r="J164" s="16"/>
      <c r="K164" s="16"/>
      <c r="L164" s="16"/>
      <c r="M164" s="16"/>
      <c r="N164" s="16"/>
      <c r="O164" s="16"/>
      <c r="P164" s="16"/>
      <c r="Q164" s="16"/>
      <c r="R164" s="16"/>
      <c r="S164" s="16"/>
      <c r="T164" s="16"/>
      <c r="U164" s="16"/>
      <c r="V164" s="16"/>
      <c r="W164" s="15"/>
      <c r="X164" s="15"/>
      <c r="Y164" s="15"/>
      <c r="Z164" s="15"/>
    </row>
    <row r="165" customHeight="1" spans="1:26">
      <c r="A165" s="17"/>
      <c r="B165" s="15"/>
      <c r="C165" s="15"/>
      <c r="D165" s="15"/>
      <c r="E165" s="15"/>
      <c r="F165" s="15"/>
      <c r="G165" s="15"/>
      <c r="H165" s="16"/>
      <c r="I165" s="16"/>
      <c r="J165" s="16"/>
      <c r="K165" s="16"/>
      <c r="L165" s="16"/>
      <c r="M165" s="16"/>
      <c r="N165" s="16"/>
      <c r="O165" s="16"/>
      <c r="P165" s="16"/>
      <c r="Q165" s="16"/>
      <c r="R165" s="16"/>
      <c r="S165" s="16"/>
      <c r="T165" s="16"/>
      <c r="U165" s="16"/>
      <c r="V165" s="16"/>
      <c r="W165" s="15"/>
      <c r="X165" s="15"/>
      <c r="Y165" s="15"/>
      <c r="Z165" s="15"/>
    </row>
    <row r="166" customHeight="1" spans="1:26">
      <c r="A166" s="17"/>
      <c r="B166" s="15"/>
      <c r="C166" s="15"/>
      <c r="D166" s="15"/>
      <c r="E166" s="15"/>
      <c r="F166" s="15"/>
      <c r="G166" s="15"/>
      <c r="H166" s="16"/>
      <c r="I166" s="16"/>
      <c r="J166" s="16"/>
      <c r="K166" s="16"/>
      <c r="L166" s="16"/>
      <c r="M166" s="16"/>
      <c r="N166" s="16"/>
      <c r="O166" s="16"/>
      <c r="P166" s="16"/>
      <c r="Q166" s="16"/>
      <c r="R166" s="16"/>
      <c r="S166" s="16"/>
      <c r="T166" s="16"/>
      <c r="U166" s="16"/>
      <c r="V166" s="16"/>
      <c r="W166" s="15"/>
      <c r="X166" s="15"/>
      <c r="Y166" s="15"/>
      <c r="Z166" s="15"/>
    </row>
    <row r="167" customHeight="1" spans="1:26">
      <c r="A167" s="17"/>
      <c r="B167" s="15"/>
      <c r="C167" s="15"/>
      <c r="D167" s="15"/>
      <c r="E167" s="15"/>
      <c r="F167" s="15"/>
      <c r="G167" s="15"/>
      <c r="H167" s="16"/>
      <c r="I167" s="16"/>
      <c r="J167" s="16"/>
      <c r="K167" s="16"/>
      <c r="L167" s="16"/>
      <c r="M167" s="16"/>
      <c r="N167" s="16"/>
      <c r="O167" s="16"/>
      <c r="P167" s="16"/>
      <c r="Q167" s="16"/>
      <c r="R167" s="16"/>
      <c r="S167" s="16"/>
      <c r="T167" s="16"/>
      <c r="U167" s="16"/>
      <c r="V167" s="16"/>
      <c r="W167" s="15"/>
      <c r="X167" s="15"/>
      <c r="Y167" s="15"/>
      <c r="Z167" s="15"/>
    </row>
    <row r="168" customHeight="1" spans="1:26">
      <c r="A168" s="17"/>
      <c r="B168" s="15"/>
      <c r="C168" s="15"/>
      <c r="D168" s="15"/>
      <c r="E168" s="15"/>
      <c r="F168" s="15"/>
      <c r="G168" s="15"/>
      <c r="H168" s="16"/>
      <c r="I168" s="16"/>
      <c r="J168" s="16"/>
      <c r="K168" s="16"/>
      <c r="L168" s="16"/>
      <c r="M168" s="16"/>
      <c r="N168" s="16"/>
      <c r="O168" s="16"/>
      <c r="P168" s="16"/>
      <c r="Q168" s="16"/>
      <c r="R168" s="16"/>
      <c r="S168" s="16"/>
      <c r="T168" s="16"/>
      <c r="U168" s="16"/>
      <c r="V168" s="16"/>
      <c r="W168" s="15"/>
      <c r="X168" s="15"/>
      <c r="Y168" s="15"/>
      <c r="Z168" s="15"/>
    </row>
    <row r="169" customHeight="1" spans="1:26">
      <c r="A169" s="17"/>
      <c r="B169" s="15"/>
      <c r="C169" s="15"/>
      <c r="D169" s="15"/>
      <c r="E169" s="15"/>
      <c r="F169" s="15"/>
      <c r="G169" s="15"/>
      <c r="H169" s="16"/>
      <c r="I169" s="16"/>
      <c r="J169" s="16"/>
      <c r="K169" s="16"/>
      <c r="L169" s="16"/>
      <c r="M169" s="16"/>
      <c r="N169" s="16"/>
      <c r="O169" s="16"/>
      <c r="P169" s="16"/>
      <c r="Q169" s="16"/>
      <c r="R169" s="16"/>
      <c r="S169" s="16"/>
      <c r="T169" s="16"/>
      <c r="U169" s="16"/>
      <c r="V169" s="16"/>
      <c r="W169" s="15"/>
      <c r="X169" s="15"/>
      <c r="Y169" s="15"/>
      <c r="Z169" s="15"/>
    </row>
    <row r="170" customHeight="1" spans="1:26">
      <c r="A170" s="17"/>
      <c r="B170" s="15"/>
      <c r="C170" s="15"/>
      <c r="D170" s="15"/>
      <c r="E170" s="15"/>
      <c r="F170" s="15"/>
      <c r="G170" s="15"/>
      <c r="H170" s="16"/>
      <c r="I170" s="16"/>
      <c r="J170" s="16"/>
      <c r="K170" s="16"/>
      <c r="L170" s="16"/>
      <c r="M170" s="16"/>
      <c r="N170" s="16"/>
      <c r="O170" s="16"/>
      <c r="P170" s="16"/>
      <c r="Q170" s="16"/>
      <c r="R170" s="16"/>
      <c r="S170" s="16"/>
      <c r="T170" s="16"/>
      <c r="U170" s="16"/>
      <c r="V170" s="16"/>
      <c r="W170" s="15"/>
      <c r="X170" s="15"/>
      <c r="Y170" s="15"/>
      <c r="Z170" s="15"/>
    </row>
    <row r="171" customHeight="1" spans="1:26">
      <c r="A171" s="17"/>
      <c r="B171" s="15"/>
      <c r="C171" s="15"/>
      <c r="D171" s="15"/>
      <c r="E171" s="15"/>
      <c r="F171" s="15"/>
      <c r="G171" s="15"/>
      <c r="H171" s="16"/>
      <c r="I171" s="16"/>
      <c r="J171" s="16"/>
      <c r="K171" s="16"/>
      <c r="L171" s="16"/>
      <c r="M171" s="16"/>
      <c r="N171" s="16"/>
      <c r="O171" s="16"/>
      <c r="P171" s="16"/>
      <c r="Q171" s="16"/>
      <c r="R171" s="16"/>
      <c r="S171" s="16"/>
      <c r="T171" s="16"/>
      <c r="U171" s="16"/>
      <c r="V171" s="16"/>
      <c r="W171" s="15"/>
      <c r="X171" s="15"/>
      <c r="Y171" s="15"/>
      <c r="Z171" s="15"/>
    </row>
    <row r="172" customHeight="1" spans="1:26">
      <c r="A172" s="17"/>
      <c r="B172" s="15"/>
      <c r="C172" s="15"/>
      <c r="D172" s="15"/>
      <c r="E172" s="15"/>
      <c r="F172" s="15"/>
      <c r="G172" s="15"/>
      <c r="H172" s="16"/>
      <c r="I172" s="16"/>
      <c r="J172" s="16"/>
      <c r="K172" s="16"/>
      <c r="L172" s="16"/>
      <c r="M172" s="16"/>
      <c r="N172" s="16"/>
      <c r="O172" s="16"/>
      <c r="P172" s="16"/>
      <c r="Q172" s="16"/>
      <c r="R172" s="16"/>
      <c r="S172" s="16"/>
      <c r="T172" s="16"/>
      <c r="U172" s="16"/>
      <c r="V172" s="16"/>
      <c r="W172" s="15"/>
      <c r="X172" s="15"/>
      <c r="Y172" s="15"/>
      <c r="Z172" s="15"/>
    </row>
    <row r="173" customHeight="1" spans="1:26">
      <c r="A173" s="17"/>
      <c r="B173" s="15"/>
      <c r="C173" s="15"/>
      <c r="D173" s="15"/>
      <c r="E173" s="15"/>
      <c r="F173" s="15"/>
      <c r="G173" s="15"/>
      <c r="H173" s="16"/>
      <c r="I173" s="16"/>
      <c r="J173" s="16"/>
      <c r="K173" s="16"/>
      <c r="L173" s="16"/>
      <c r="M173" s="16"/>
      <c r="N173" s="16"/>
      <c r="O173" s="16"/>
      <c r="P173" s="16"/>
      <c r="Q173" s="16"/>
      <c r="R173" s="16"/>
      <c r="S173" s="16"/>
      <c r="T173" s="16"/>
      <c r="U173" s="16"/>
      <c r="V173" s="16"/>
      <c r="W173" s="15"/>
      <c r="X173" s="15"/>
      <c r="Y173" s="15"/>
      <c r="Z173" s="15"/>
    </row>
    <row r="174" customHeight="1" spans="1:26">
      <c r="A174" s="17"/>
      <c r="B174" s="15"/>
      <c r="C174" s="15"/>
      <c r="D174" s="15"/>
      <c r="E174" s="15"/>
      <c r="F174" s="15"/>
      <c r="G174" s="15"/>
      <c r="H174" s="16"/>
      <c r="I174" s="16"/>
      <c r="J174" s="16"/>
      <c r="K174" s="16"/>
      <c r="L174" s="16"/>
      <c r="M174" s="16"/>
      <c r="N174" s="16"/>
      <c r="O174" s="16"/>
      <c r="P174" s="16"/>
      <c r="Q174" s="16"/>
      <c r="R174" s="16"/>
      <c r="S174" s="16"/>
      <c r="T174" s="16"/>
      <c r="U174" s="16"/>
      <c r="V174" s="16"/>
      <c r="W174" s="15"/>
      <c r="X174" s="15"/>
      <c r="Y174" s="15"/>
      <c r="Z174" s="15"/>
    </row>
    <row r="175" customHeight="1" spans="1:26">
      <c r="A175" s="17"/>
      <c r="B175" s="15"/>
      <c r="C175" s="15"/>
      <c r="D175" s="15"/>
      <c r="E175" s="15"/>
      <c r="F175" s="15"/>
      <c r="G175" s="15"/>
      <c r="H175" s="16"/>
      <c r="I175" s="16"/>
      <c r="J175" s="16"/>
      <c r="K175" s="16"/>
      <c r="L175" s="16"/>
      <c r="M175" s="16"/>
      <c r="N175" s="16"/>
      <c r="O175" s="16"/>
      <c r="P175" s="16"/>
      <c r="Q175" s="16"/>
      <c r="R175" s="16"/>
      <c r="S175" s="16"/>
      <c r="T175" s="16"/>
      <c r="U175" s="16"/>
      <c r="V175" s="16"/>
      <c r="W175" s="15"/>
      <c r="X175" s="15"/>
      <c r="Y175" s="15"/>
      <c r="Z175" s="15"/>
    </row>
    <row r="176" customHeight="1" spans="1:26">
      <c r="A176" s="17"/>
      <c r="B176" s="15"/>
      <c r="C176" s="15"/>
      <c r="D176" s="15"/>
      <c r="E176" s="15"/>
      <c r="F176" s="15"/>
      <c r="G176" s="15"/>
      <c r="H176" s="16"/>
      <c r="I176" s="16"/>
      <c r="J176" s="16"/>
      <c r="K176" s="16"/>
      <c r="L176" s="16"/>
      <c r="M176" s="16"/>
      <c r="N176" s="16"/>
      <c r="O176" s="16"/>
      <c r="P176" s="16"/>
      <c r="Q176" s="16"/>
      <c r="R176" s="16"/>
      <c r="S176" s="16"/>
      <c r="T176" s="16"/>
      <c r="U176" s="16"/>
      <c r="V176" s="16"/>
      <c r="W176" s="15"/>
      <c r="X176" s="15"/>
      <c r="Y176" s="15"/>
      <c r="Z176" s="15"/>
    </row>
    <row r="177" customHeight="1" spans="1:26">
      <c r="A177" s="17"/>
      <c r="B177" s="15"/>
      <c r="C177" s="15"/>
      <c r="D177" s="15"/>
      <c r="E177" s="15"/>
      <c r="F177" s="15"/>
      <c r="G177" s="15"/>
      <c r="H177" s="16"/>
      <c r="I177" s="16"/>
      <c r="J177" s="16"/>
      <c r="K177" s="16"/>
      <c r="L177" s="16"/>
      <c r="M177" s="16"/>
      <c r="N177" s="16"/>
      <c r="O177" s="16"/>
      <c r="P177" s="16"/>
      <c r="Q177" s="16"/>
      <c r="R177" s="16"/>
      <c r="S177" s="16"/>
      <c r="T177" s="16"/>
      <c r="U177" s="16"/>
      <c r="V177" s="16"/>
      <c r="W177" s="15"/>
      <c r="X177" s="15"/>
      <c r="Y177" s="15"/>
      <c r="Z177" s="15"/>
    </row>
    <row r="178" customHeight="1" spans="1:26">
      <c r="A178" s="17"/>
      <c r="B178" s="15"/>
      <c r="C178" s="15"/>
      <c r="D178" s="15"/>
      <c r="E178" s="15"/>
      <c r="F178" s="15"/>
      <c r="G178" s="15"/>
      <c r="H178" s="16"/>
      <c r="I178" s="16"/>
      <c r="J178" s="16"/>
      <c r="K178" s="16"/>
      <c r="L178" s="16"/>
      <c r="M178" s="16"/>
      <c r="N178" s="16"/>
      <c r="O178" s="16"/>
      <c r="P178" s="16"/>
      <c r="Q178" s="16"/>
      <c r="R178" s="16"/>
      <c r="S178" s="16"/>
      <c r="T178" s="16"/>
      <c r="U178" s="16"/>
      <c r="V178" s="16"/>
      <c r="W178" s="15"/>
      <c r="X178" s="15"/>
      <c r="Y178" s="15"/>
      <c r="Z178" s="15"/>
    </row>
    <row r="179" customHeight="1" spans="1:26">
      <c r="A179" s="17"/>
      <c r="B179" s="15"/>
      <c r="C179" s="15"/>
      <c r="D179" s="15"/>
      <c r="E179" s="15"/>
      <c r="F179" s="15"/>
      <c r="G179" s="15"/>
      <c r="H179" s="16"/>
      <c r="I179" s="16"/>
      <c r="J179" s="16"/>
      <c r="K179" s="16"/>
      <c r="L179" s="16"/>
      <c r="M179" s="16"/>
      <c r="N179" s="16"/>
      <c r="O179" s="16"/>
      <c r="P179" s="16"/>
      <c r="Q179" s="16"/>
      <c r="R179" s="16"/>
      <c r="S179" s="16"/>
      <c r="T179" s="16"/>
      <c r="U179" s="16"/>
      <c r="V179" s="16"/>
      <c r="W179" s="15"/>
      <c r="X179" s="15"/>
      <c r="Y179" s="15"/>
      <c r="Z179" s="15"/>
    </row>
    <row r="180" customHeight="1" spans="1:26">
      <c r="A180" s="17"/>
      <c r="B180" s="15"/>
      <c r="C180" s="15"/>
      <c r="D180" s="15"/>
      <c r="E180" s="15"/>
      <c r="F180" s="15"/>
      <c r="G180" s="15"/>
      <c r="H180" s="16"/>
      <c r="I180" s="16"/>
      <c r="J180" s="16"/>
      <c r="K180" s="16"/>
      <c r="L180" s="16"/>
      <c r="M180" s="16"/>
      <c r="N180" s="16"/>
      <c r="O180" s="16"/>
      <c r="P180" s="16"/>
      <c r="Q180" s="16"/>
      <c r="R180" s="16"/>
      <c r="S180" s="16"/>
      <c r="T180" s="16"/>
      <c r="U180" s="16"/>
      <c r="V180" s="16"/>
      <c r="W180" s="15"/>
      <c r="X180" s="15"/>
      <c r="Y180" s="15"/>
      <c r="Z180" s="15"/>
    </row>
    <row r="181" customHeight="1" spans="1:26">
      <c r="A181" s="17"/>
      <c r="B181" s="15"/>
      <c r="C181" s="15"/>
      <c r="D181" s="15"/>
      <c r="E181" s="15"/>
      <c r="F181" s="15"/>
      <c r="G181" s="15"/>
      <c r="H181" s="16"/>
      <c r="I181" s="16"/>
      <c r="J181" s="16"/>
      <c r="K181" s="16"/>
      <c r="L181" s="16"/>
      <c r="M181" s="16"/>
      <c r="N181" s="16"/>
      <c r="O181" s="16"/>
      <c r="P181" s="16"/>
      <c r="Q181" s="16"/>
      <c r="R181" s="16"/>
      <c r="S181" s="16"/>
      <c r="T181" s="16"/>
      <c r="U181" s="16"/>
      <c r="V181" s="16"/>
      <c r="W181" s="15"/>
      <c r="X181" s="15"/>
      <c r="Y181" s="15"/>
      <c r="Z181" s="15"/>
    </row>
    <row r="182" customHeight="1" spans="1:26">
      <c r="A182" s="17"/>
      <c r="B182" s="15"/>
      <c r="C182" s="15"/>
      <c r="D182" s="15"/>
      <c r="E182" s="15"/>
      <c r="F182" s="15"/>
      <c r="G182" s="15"/>
      <c r="H182" s="16"/>
      <c r="I182" s="16"/>
      <c r="J182" s="16"/>
      <c r="K182" s="16"/>
      <c r="L182" s="16"/>
      <c r="M182" s="16"/>
      <c r="N182" s="16"/>
      <c r="O182" s="16"/>
      <c r="P182" s="16"/>
      <c r="Q182" s="16"/>
      <c r="R182" s="16"/>
      <c r="S182" s="16"/>
      <c r="T182" s="16"/>
      <c r="U182" s="16"/>
      <c r="V182" s="16"/>
      <c r="W182" s="15"/>
      <c r="X182" s="15"/>
      <c r="Y182" s="15"/>
      <c r="Z182" s="15"/>
    </row>
    <row r="183" customHeight="1" spans="1:26">
      <c r="A183" s="17"/>
      <c r="B183" s="15"/>
      <c r="C183" s="15"/>
      <c r="D183" s="15"/>
      <c r="E183" s="15"/>
      <c r="F183" s="15"/>
      <c r="G183" s="15"/>
      <c r="H183" s="16"/>
      <c r="I183" s="16"/>
      <c r="J183" s="16"/>
      <c r="K183" s="16"/>
      <c r="L183" s="16"/>
      <c r="M183" s="16"/>
      <c r="N183" s="16"/>
      <c r="O183" s="16"/>
      <c r="P183" s="16"/>
      <c r="Q183" s="16"/>
      <c r="R183" s="16"/>
      <c r="S183" s="16"/>
      <c r="T183" s="16"/>
      <c r="U183" s="16"/>
      <c r="V183" s="16"/>
      <c r="W183" s="15"/>
      <c r="X183" s="15"/>
      <c r="Y183" s="15"/>
      <c r="Z183" s="15"/>
    </row>
    <row r="184" customHeight="1" spans="1:26">
      <c r="A184" s="17"/>
      <c r="B184" s="15"/>
      <c r="C184" s="15"/>
      <c r="D184" s="15"/>
      <c r="E184" s="15"/>
      <c r="F184" s="15"/>
      <c r="G184" s="15"/>
      <c r="H184" s="16"/>
      <c r="I184" s="16"/>
      <c r="J184" s="16"/>
      <c r="K184" s="16"/>
      <c r="L184" s="16"/>
      <c r="M184" s="16"/>
      <c r="N184" s="16"/>
      <c r="O184" s="16"/>
      <c r="P184" s="16"/>
      <c r="Q184" s="16"/>
      <c r="R184" s="16"/>
      <c r="S184" s="16"/>
      <c r="T184" s="16"/>
      <c r="U184" s="16"/>
      <c r="V184" s="16"/>
      <c r="W184" s="15"/>
      <c r="X184" s="15"/>
      <c r="Y184" s="15"/>
      <c r="Z184" s="15"/>
    </row>
    <row r="185" customHeight="1" spans="1:26">
      <c r="A185" s="17"/>
      <c r="B185" s="15"/>
      <c r="C185" s="15"/>
      <c r="D185" s="15"/>
      <c r="E185" s="15"/>
      <c r="F185" s="15"/>
      <c r="G185" s="15"/>
      <c r="H185" s="16"/>
      <c r="I185" s="16"/>
      <c r="J185" s="16"/>
      <c r="K185" s="16"/>
      <c r="L185" s="16"/>
      <c r="M185" s="16"/>
      <c r="N185" s="16"/>
      <c r="O185" s="16"/>
      <c r="P185" s="16"/>
      <c r="Q185" s="16"/>
      <c r="R185" s="16"/>
      <c r="S185" s="16"/>
      <c r="T185" s="16"/>
      <c r="U185" s="16"/>
      <c r="V185" s="16"/>
      <c r="W185" s="15"/>
      <c r="X185" s="15"/>
      <c r="Y185" s="15"/>
      <c r="Z185" s="15"/>
    </row>
    <row r="186" customHeight="1" spans="1:26">
      <c r="A186" s="17"/>
      <c r="B186" s="15"/>
      <c r="C186" s="15"/>
      <c r="D186" s="15"/>
      <c r="E186" s="15"/>
      <c r="F186" s="15"/>
      <c r="G186" s="15"/>
      <c r="H186" s="16"/>
      <c r="I186" s="16"/>
      <c r="J186" s="16"/>
      <c r="K186" s="16"/>
      <c r="L186" s="16"/>
      <c r="M186" s="16"/>
      <c r="N186" s="16"/>
      <c r="O186" s="16"/>
      <c r="P186" s="16"/>
      <c r="Q186" s="16"/>
      <c r="R186" s="16"/>
      <c r="S186" s="16"/>
      <c r="T186" s="16"/>
      <c r="U186" s="16"/>
      <c r="V186" s="16"/>
      <c r="W186" s="15"/>
      <c r="X186" s="15"/>
      <c r="Y186" s="15"/>
      <c r="Z186" s="15"/>
    </row>
    <row r="187" customHeight="1" spans="1:26">
      <c r="A187" s="17"/>
      <c r="B187" s="15"/>
      <c r="C187" s="15"/>
      <c r="D187" s="15"/>
      <c r="E187" s="15"/>
      <c r="F187" s="15"/>
      <c r="G187" s="15"/>
      <c r="H187" s="16"/>
      <c r="I187" s="16"/>
      <c r="J187" s="16"/>
      <c r="K187" s="16"/>
      <c r="L187" s="16"/>
      <c r="M187" s="16"/>
      <c r="N187" s="16"/>
      <c r="O187" s="16"/>
      <c r="P187" s="16"/>
      <c r="Q187" s="16"/>
      <c r="R187" s="16"/>
      <c r="S187" s="16"/>
      <c r="T187" s="16"/>
      <c r="U187" s="16"/>
      <c r="V187" s="16"/>
      <c r="W187" s="15"/>
      <c r="X187" s="15"/>
      <c r="Y187" s="15"/>
      <c r="Z187" s="15"/>
    </row>
    <row r="188" customHeight="1" spans="1:26">
      <c r="A188" s="17"/>
      <c r="B188" s="15"/>
      <c r="C188" s="15"/>
      <c r="D188" s="15"/>
      <c r="E188" s="15"/>
      <c r="F188" s="15"/>
      <c r="G188" s="15"/>
      <c r="H188" s="16"/>
      <c r="I188" s="16"/>
      <c r="J188" s="16"/>
      <c r="K188" s="16"/>
      <c r="L188" s="16"/>
      <c r="M188" s="16"/>
      <c r="N188" s="16"/>
      <c r="O188" s="16"/>
      <c r="P188" s="16"/>
      <c r="Q188" s="16"/>
      <c r="R188" s="16"/>
      <c r="S188" s="16"/>
      <c r="T188" s="16"/>
      <c r="U188" s="16"/>
      <c r="V188" s="16"/>
      <c r="W188" s="15"/>
      <c r="X188" s="15"/>
      <c r="Y188" s="15"/>
      <c r="Z188" s="15"/>
    </row>
    <row r="189" customHeight="1" spans="1:26">
      <c r="A189" s="17"/>
      <c r="B189" s="15"/>
      <c r="C189" s="15"/>
      <c r="D189" s="15"/>
      <c r="E189" s="15"/>
      <c r="F189" s="15"/>
      <c r="G189" s="15"/>
      <c r="H189" s="16"/>
      <c r="I189" s="16"/>
      <c r="J189" s="16"/>
      <c r="K189" s="16"/>
      <c r="L189" s="16"/>
      <c r="M189" s="16"/>
      <c r="N189" s="16"/>
      <c r="O189" s="16"/>
      <c r="P189" s="16"/>
      <c r="Q189" s="16"/>
      <c r="R189" s="16"/>
      <c r="S189" s="16"/>
      <c r="T189" s="16"/>
      <c r="U189" s="16"/>
      <c r="V189" s="16"/>
      <c r="W189" s="15"/>
      <c r="X189" s="15"/>
      <c r="Y189" s="15"/>
      <c r="Z189" s="15"/>
    </row>
    <row r="190" customHeight="1" spans="1:26">
      <c r="A190" s="17"/>
      <c r="B190" s="15"/>
      <c r="C190" s="15"/>
      <c r="D190" s="15"/>
      <c r="E190" s="15"/>
      <c r="F190" s="15"/>
      <c r="G190" s="15"/>
      <c r="H190" s="16"/>
      <c r="I190" s="16"/>
      <c r="J190" s="16"/>
      <c r="K190" s="16"/>
      <c r="L190" s="16"/>
      <c r="M190" s="16"/>
      <c r="N190" s="16"/>
      <c r="O190" s="16"/>
      <c r="P190" s="16"/>
      <c r="Q190" s="16"/>
      <c r="R190" s="16"/>
      <c r="S190" s="16"/>
      <c r="T190" s="16"/>
      <c r="U190" s="16"/>
      <c r="V190" s="16"/>
      <c r="W190" s="15"/>
      <c r="X190" s="15"/>
      <c r="Y190" s="15"/>
      <c r="Z190" s="15"/>
    </row>
    <row r="191" customHeight="1" spans="1:26">
      <c r="A191" s="17"/>
      <c r="B191" s="15"/>
      <c r="C191" s="15"/>
      <c r="D191" s="15"/>
      <c r="E191" s="15"/>
      <c r="F191" s="15"/>
      <c r="G191" s="15"/>
      <c r="H191" s="16"/>
      <c r="I191" s="16"/>
      <c r="J191" s="16"/>
      <c r="K191" s="16"/>
      <c r="L191" s="16"/>
      <c r="M191" s="16"/>
      <c r="N191" s="16"/>
      <c r="O191" s="16"/>
      <c r="P191" s="16"/>
      <c r="Q191" s="16"/>
      <c r="R191" s="16"/>
      <c r="S191" s="16"/>
      <c r="T191" s="16"/>
      <c r="U191" s="16"/>
      <c r="V191" s="16"/>
      <c r="W191" s="15"/>
      <c r="X191" s="15"/>
      <c r="Y191" s="15"/>
      <c r="Z191" s="15"/>
    </row>
    <row r="192" customHeight="1" spans="1:26">
      <c r="A192" s="17"/>
      <c r="B192" s="15"/>
      <c r="C192" s="15"/>
      <c r="D192" s="15"/>
      <c r="E192" s="15"/>
      <c r="F192" s="15"/>
      <c r="G192" s="15"/>
      <c r="H192" s="16"/>
      <c r="I192" s="16"/>
      <c r="J192" s="16"/>
      <c r="K192" s="16"/>
      <c r="L192" s="16"/>
      <c r="M192" s="16"/>
      <c r="N192" s="16"/>
      <c r="O192" s="16"/>
      <c r="P192" s="16"/>
      <c r="Q192" s="16"/>
      <c r="R192" s="16"/>
      <c r="S192" s="16"/>
      <c r="T192" s="16"/>
      <c r="U192" s="16"/>
      <c r="V192" s="16"/>
      <c r="W192" s="15"/>
      <c r="X192" s="15"/>
      <c r="Y192" s="15"/>
      <c r="Z192" s="15"/>
    </row>
    <row r="193" customHeight="1" spans="1:26">
      <c r="A193" s="17"/>
      <c r="B193" s="15"/>
      <c r="C193" s="15"/>
      <c r="D193" s="15"/>
      <c r="E193" s="15"/>
      <c r="F193" s="15"/>
      <c r="G193" s="15"/>
      <c r="H193" s="16"/>
      <c r="I193" s="16"/>
      <c r="J193" s="16"/>
      <c r="K193" s="16"/>
      <c r="L193" s="16"/>
      <c r="M193" s="16"/>
      <c r="N193" s="16"/>
      <c r="O193" s="16"/>
      <c r="P193" s="16"/>
      <c r="Q193" s="16"/>
      <c r="R193" s="16"/>
      <c r="S193" s="16"/>
      <c r="T193" s="16"/>
      <c r="U193" s="16"/>
      <c r="V193" s="16"/>
      <c r="W193" s="15"/>
      <c r="X193" s="15"/>
      <c r="Y193" s="15"/>
      <c r="Z193" s="15"/>
    </row>
    <row r="194" customHeight="1" spans="1:26">
      <c r="A194" s="17"/>
      <c r="B194" s="15"/>
      <c r="C194" s="15"/>
      <c r="D194" s="15"/>
      <c r="E194" s="15"/>
      <c r="F194" s="15"/>
      <c r="G194" s="15"/>
      <c r="H194" s="16"/>
      <c r="I194" s="16"/>
      <c r="J194" s="16"/>
      <c r="K194" s="16"/>
      <c r="L194" s="16"/>
      <c r="M194" s="16"/>
      <c r="N194" s="16"/>
      <c r="O194" s="16"/>
      <c r="P194" s="16"/>
      <c r="Q194" s="16"/>
      <c r="R194" s="16"/>
      <c r="S194" s="16"/>
      <c r="T194" s="16"/>
      <c r="U194" s="16"/>
      <c r="V194" s="16"/>
      <c r="W194" s="15"/>
      <c r="X194" s="15"/>
      <c r="Y194" s="15"/>
      <c r="Z194" s="15"/>
    </row>
    <row r="195" customHeight="1" spans="1:26">
      <c r="A195" s="17"/>
      <c r="B195" s="15"/>
      <c r="C195" s="15"/>
      <c r="D195" s="15"/>
      <c r="E195" s="15"/>
      <c r="F195" s="15"/>
      <c r="G195" s="15"/>
      <c r="H195" s="16"/>
      <c r="I195" s="16"/>
      <c r="J195" s="16"/>
      <c r="K195" s="16"/>
      <c r="L195" s="16"/>
      <c r="M195" s="16"/>
      <c r="N195" s="16"/>
      <c r="O195" s="16"/>
      <c r="P195" s="16"/>
      <c r="Q195" s="16"/>
      <c r="R195" s="16"/>
      <c r="S195" s="16"/>
      <c r="T195" s="16"/>
      <c r="U195" s="16"/>
      <c r="V195" s="16"/>
      <c r="W195" s="15"/>
      <c r="X195" s="15"/>
      <c r="Y195" s="15"/>
      <c r="Z195" s="15"/>
    </row>
    <row r="196" customHeight="1" spans="1:26">
      <c r="A196" s="17"/>
      <c r="B196" s="15"/>
      <c r="C196" s="15"/>
      <c r="D196" s="15"/>
      <c r="E196" s="15"/>
      <c r="F196" s="15"/>
      <c r="G196" s="15"/>
      <c r="H196" s="16"/>
      <c r="I196" s="16"/>
      <c r="J196" s="16"/>
      <c r="K196" s="16"/>
      <c r="L196" s="16"/>
      <c r="M196" s="16"/>
      <c r="N196" s="16"/>
      <c r="O196" s="16"/>
      <c r="P196" s="16"/>
      <c r="Q196" s="16"/>
      <c r="R196" s="16"/>
      <c r="S196" s="16"/>
      <c r="T196" s="16"/>
      <c r="U196" s="16"/>
      <c r="V196" s="16"/>
      <c r="W196" s="15"/>
      <c r="X196" s="15"/>
      <c r="Y196" s="15"/>
      <c r="Z196" s="15"/>
    </row>
    <row r="197" customHeight="1" spans="1:26">
      <c r="A197" s="17"/>
      <c r="B197" s="15"/>
      <c r="C197" s="15"/>
      <c r="D197" s="15"/>
      <c r="E197" s="15"/>
      <c r="F197" s="15"/>
      <c r="G197" s="15"/>
      <c r="H197" s="16"/>
      <c r="I197" s="16"/>
      <c r="J197" s="16"/>
      <c r="K197" s="16"/>
      <c r="L197" s="16"/>
      <c r="M197" s="16"/>
      <c r="N197" s="16"/>
      <c r="O197" s="16"/>
      <c r="P197" s="16"/>
      <c r="Q197" s="16"/>
      <c r="R197" s="16"/>
      <c r="S197" s="16"/>
      <c r="T197" s="16"/>
      <c r="U197" s="16"/>
      <c r="V197" s="16"/>
      <c r="W197" s="15"/>
      <c r="X197" s="15"/>
      <c r="Y197" s="15"/>
      <c r="Z197" s="15"/>
    </row>
    <row r="198" customHeight="1" spans="1:26">
      <c r="A198" s="17"/>
      <c r="B198" s="15"/>
      <c r="C198" s="15"/>
      <c r="D198" s="15"/>
      <c r="E198" s="15"/>
      <c r="F198" s="15"/>
      <c r="G198" s="15"/>
      <c r="H198" s="16"/>
      <c r="I198" s="16"/>
      <c r="J198" s="16"/>
      <c r="K198" s="16"/>
      <c r="L198" s="16"/>
      <c r="M198" s="16"/>
      <c r="N198" s="16"/>
      <c r="O198" s="16"/>
      <c r="P198" s="16"/>
      <c r="Q198" s="16"/>
      <c r="R198" s="16"/>
      <c r="S198" s="16"/>
      <c r="T198" s="16"/>
      <c r="U198" s="16"/>
      <c r="V198" s="16"/>
      <c r="W198" s="15"/>
      <c r="X198" s="15"/>
      <c r="Y198" s="15"/>
      <c r="Z198" s="15"/>
    </row>
    <row r="199" customHeight="1" spans="1:26">
      <c r="A199" s="17"/>
      <c r="B199" s="15"/>
      <c r="C199" s="15"/>
      <c r="D199" s="15"/>
      <c r="E199" s="15"/>
      <c r="F199" s="15"/>
      <c r="G199" s="15"/>
      <c r="H199" s="16"/>
      <c r="I199" s="16"/>
      <c r="J199" s="16"/>
      <c r="K199" s="16"/>
      <c r="L199" s="16"/>
      <c r="M199" s="16"/>
      <c r="N199" s="16"/>
      <c r="O199" s="16"/>
      <c r="P199" s="16"/>
      <c r="Q199" s="16"/>
      <c r="R199" s="16"/>
      <c r="S199" s="16"/>
      <c r="T199" s="16"/>
      <c r="U199" s="16"/>
      <c r="V199" s="16"/>
      <c r="W199" s="15"/>
      <c r="X199" s="15"/>
      <c r="Y199" s="15"/>
      <c r="Z199" s="15"/>
    </row>
    <row r="200" customHeight="1" spans="1:26">
      <c r="A200" s="17"/>
      <c r="B200" s="15"/>
      <c r="C200" s="15"/>
      <c r="D200" s="15"/>
      <c r="E200" s="15"/>
      <c r="F200" s="15"/>
      <c r="G200" s="15"/>
      <c r="H200" s="16"/>
      <c r="I200" s="16"/>
      <c r="J200" s="16"/>
      <c r="K200" s="16"/>
      <c r="L200" s="16"/>
      <c r="M200" s="16"/>
      <c r="N200" s="16"/>
      <c r="O200" s="16"/>
      <c r="P200" s="16"/>
      <c r="Q200" s="16"/>
      <c r="R200" s="16"/>
      <c r="S200" s="16"/>
      <c r="T200" s="16"/>
      <c r="U200" s="16"/>
      <c r="V200" s="16"/>
      <c r="W200" s="15"/>
      <c r="X200" s="15"/>
      <c r="Y200" s="15"/>
      <c r="Z200" s="15"/>
    </row>
    <row r="201" customHeight="1" spans="1:26">
      <c r="A201" s="17"/>
      <c r="B201" s="15"/>
      <c r="C201" s="15"/>
      <c r="D201" s="15"/>
      <c r="E201" s="15"/>
      <c r="F201" s="15"/>
      <c r="G201" s="15"/>
      <c r="H201" s="16"/>
      <c r="I201" s="16"/>
      <c r="J201" s="16"/>
      <c r="K201" s="16"/>
      <c r="L201" s="16"/>
      <c r="M201" s="16"/>
      <c r="N201" s="16"/>
      <c r="O201" s="16"/>
      <c r="P201" s="16"/>
      <c r="Q201" s="16"/>
      <c r="R201" s="16"/>
      <c r="S201" s="16"/>
      <c r="T201" s="16"/>
      <c r="U201" s="16"/>
      <c r="V201" s="16"/>
      <c r="W201" s="15"/>
      <c r="X201" s="15"/>
      <c r="Y201" s="15"/>
      <c r="Z201" s="15"/>
    </row>
    <row r="202" customHeight="1" spans="1:26">
      <c r="A202" s="17"/>
      <c r="B202" s="15"/>
      <c r="C202" s="15"/>
      <c r="D202" s="15"/>
      <c r="E202" s="15"/>
      <c r="F202" s="15"/>
      <c r="G202" s="15"/>
      <c r="H202" s="16"/>
      <c r="I202" s="16"/>
      <c r="J202" s="16"/>
      <c r="K202" s="16"/>
      <c r="L202" s="16"/>
      <c r="M202" s="16"/>
      <c r="N202" s="16"/>
      <c r="O202" s="16"/>
      <c r="P202" s="16"/>
      <c r="Q202" s="16"/>
      <c r="R202" s="16"/>
      <c r="S202" s="16"/>
      <c r="T202" s="16"/>
      <c r="U202" s="16"/>
      <c r="V202" s="16"/>
      <c r="W202" s="15"/>
      <c r="X202" s="15"/>
      <c r="Y202" s="15"/>
      <c r="Z202" s="15"/>
    </row>
    <row r="203" customHeight="1" spans="1:26">
      <c r="A203" s="17"/>
      <c r="B203" s="15"/>
      <c r="C203" s="15"/>
      <c r="D203" s="15"/>
      <c r="E203" s="15"/>
      <c r="F203" s="15"/>
      <c r="G203" s="15"/>
      <c r="H203" s="16"/>
      <c r="I203" s="16"/>
      <c r="J203" s="16"/>
      <c r="K203" s="16"/>
      <c r="L203" s="16"/>
      <c r="M203" s="16"/>
      <c r="N203" s="16"/>
      <c r="O203" s="16"/>
      <c r="P203" s="16"/>
      <c r="Q203" s="16"/>
      <c r="R203" s="16"/>
      <c r="S203" s="16"/>
      <c r="T203" s="16"/>
      <c r="U203" s="16"/>
      <c r="V203" s="16"/>
      <c r="W203" s="15"/>
      <c r="X203" s="15"/>
      <c r="Y203" s="15"/>
      <c r="Z203" s="15"/>
    </row>
    <row r="204" customHeight="1" spans="1:26">
      <c r="A204" s="17"/>
      <c r="B204" s="15"/>
      <c r="C204" s="15"/>
      <c r="D204" s="15"/>
      <c r="E204" s="15"/>
      <c r="F204" s="15"/>
      <c r="G204" s="15"/>
      <c r="H204" s="16"/>
      <c r="I204" s="16"/>
      <c r="J204" s="16"/>
      <c r="K204" s="16"/>
      <c r="L204" s="16"/>
      <c r="M204" s="16"/>
      <c r="N204" s="16"/>
      <c r="O204" s="16"/>
      <c r="P204" s="16"/>
      <c r="Q204" s="16"/>
      <c r="R204" s="16"/>
      <c r="S204" s="16"/>
      <c r="T204" s="16"/>
      <c r="U204" s="16"/>
      <c r="V204" s="16"/>
      <c r="W204" s="15"/>
      <c r="X204" s="15"/>
      <c r="Y204" s="15"/>
      <c r="Z204" s="15"/>
    </row>
    <row r="205" customHeight="1" spans="1:26">
      <c r="A205" s="17"/>
      <c r="B205" s="15"/>
      <c r="C205" s="15"/>
      <c r="D205" s="15"/>
      <c r="E205" s="15"/>
      <c r="F205" s="15"/>
      <c r="G205" s="15"/>
      <c r="H205" s="16"/>
      <c r="I205" s="16"/>
      <c r="J205" s="16"/>
      <c r="K205" s="16"/>
      <c r="L205" s="16"/>
      <c r="M205" s="16"/>
      <c r="N205" s="16"/>
      <c r="O205" s="16"/>
      <c r="P205" s="16"/>
      <c r="Q205" s="16"/>
      <c r="R205" s="16"/>
      <c r="S205" s="16"/>
      <c r="T205" s="16"/>
      <c r="U205" s="16"/>
      <c r="V205" s="16"/>
      <c r="W205" s="15"/>
      <c r="X205" s="15"/>
      <c r="Y205" s="15"/>
      <c r="Z205" s="15"/>
    </row>
    <row r="206" customHeight="1" spans="1:26">
      <c r="A206" s="17"/>
      <c r="B206" s="15"/>
      <c r="C206" s="15"/>
      <c r="D206" s="15"/>
      <c r="E206" s="15"/>
      <c r="F206" s="15"/>
      <c r="G206" s="15"/>
      <c r="H206" s="16"/>
      <c r="I206" s="16"/>
      <c r="J206" s="16"/>
      <c r="K206" s="16"/>
      <c r="L206" s="16"/>
      <c r="M206" s="16"/>
      <c r="N206" s="16"/>
      <c r="O206" s="16"/>
      <c r="P206" s="16"/>
      <c r="Q206" s="16"/>
      <c r="R206" s="16"/>
      <c r="S206" s="16"/>
      <c r="T206" s="16"/>
      <c r="U206" s="16"/>
      <c r="V206" s="16"/>
      <c r="W206" s="15"/>
      <c r="X206" s="15"/>
      <c r="Y206" s="15"/>
      <c r="Z206" s="15"/>
    </row>
    <row r="207" customHeight="1" spans="1:26">
      <c r="A207" s="17"/>
      <c r="B207" s="15"/>
      <c r="C207" s="15"/>
      <c r="D207" s="15"/>
      <c r="E207" s="15"/>
      <c r="F207" s="15"/>
      <c r="G207" s="15"/>
      <c r="H207" s="16"/>
      <c r="I207" s="16"/>
      <c r="J207" s="16"/>
      <c r="K207" s="16"/>
      <c r="L207" s="16"/>
      <c r="M207" s="16"/>
      <c r="N207" s="16"/>
      <c r="O207" s="16"/>
      <c r="P207" s="16"/>
      <c r="Q207" s="16"/>
      <c r="R207" s="16"/>
      <c r="S207" s="16"/>
      <c r="T207" s="16"/>
      <c r="U207" s="16"/>
      <c r="V207" s="16"/>
      <c r="W207" s="15"/>
      <c r="X207" s="15"/>
      <c r="Y207" s="15"/>
      <c r="Z207" s="15"/>
    </row>
    <row r="208" customHeight="1" spans="1:26">
      <c r="A208" s="17"/>
      <c r="B208" s="15"/>
      <c r="C208" s="15"/>
      <c r="D208" s="15"/>
      <c r="E208" s="15"/>
      <c r="F208" s="15"/>
      <c r="G208" s="15"/>
      <c r="H208" s="16"/>
      <c r="I208" s="16"/>
      <c r="J208" s="16"/>
      <c r="K208" s="16"/>
      <c r="L208" s="16"/>
      <c r="M208" s="16"/>
      <c r="N208" s="16"/>
      <c r="O208" s="16"/>
      <c r="P208" s="16"/>
      <c r="Q208" s="16"/>
      <c r="R208" s="16"/>
      <c r="S208" s="16"/>
      <c r="T208" s="16"/>
      <c r="U208" s="16"/>
      <c r="V208" s="16"/>
      <c r="W208" s="15"/>
      <c r="X208" s="15"/>
      <c r="Y208" s="15"/>
      <c r="Z208" s="15"/>
    </row>
    <row r="209" customHeight="1" spans="1:26">
      <c r="A209" s="17"/>
      <c r="B209" s="15"/>
      <c r="C209" s="15"/>
      <c r="D209" s="15"/>
      <c r="E209" s="15"/>
      <c r="F209" s="15"/>
      <c r="G209" s="15"/>
      <c r="H209" s="16"/>
      <c r="I209" s="16"/>
      <c r="J209" s="16"/>
      <c r="K209" s="16"/>
      <c r="L209" s="16"/>
      <c r="M209" s="16"/>
      <c r="N209" s="16"/>
      <c r="O209" s="16"/>
      <c r="P209" s="16"/>
      <c r="Q209" s="16"/>
      <c r="R209" s="16"/>
      <c r="S209" s="16"/>
      <c r="T209" s="16"/>
      <c r="U209" s="16"/>
      <c r="V209" s="16"/>
      <c r="W209" s="15"/>
      <c r="X209" s="15"/>
      <c r="Y209" s="15"/>
      <c r="Z209" s="15"/>
    </row>
    <row r="210" customHeight="1" spans="1:26">
      <c r="A210" s="17"/>
      <c r="B210" s="15"/>
      <c r="C210" s="15"/>
      <c r="D210" s="15"/>
      <c r="E210" s="15"/>
      <c r="F210" s="15"/>
      <c r="G210" s="15"/>
      <c r="H210" s="16"/>
      <c r="I210" s="16"/>
      <c r="J210" s="16"/>
      <c r="K210" s="16"/>
      <c r="L210" s="16"/>
      <c r="M210" s="16"/>
      <c r="N210" s="16"/>
      <c r="O210" s="16"/>
      <c r="P210" s="16"/>
      <c r="Q210" s="16"/>
      <c r="R210" s="16"/>
      <c r="S210" s="16"/>
      <c r="T210" s="16"/>
      <c r="U210" s="16"/>
      <c r="V210" s="16"/>
      <c r="W210" s="15"/>
      <c r="X210" s="15"/>
      <c r="Y210" s="15"/>
      <c r="Z210" s="15"/>
    </row>
    <row r="211" customHeight="1" spans="1:26">
      <c r="A211" s="17"/>
      <c r="B211" s="15"/>
      <c r="C211" s="15"/>
      <c r="D211" s="15"/>
      <c r="E211" s="15"/>
      <c r="F211" s="15"/>
      <c r="G211" s="15"/>
      <c r="H211" s="16"/>
      <c r="I211" s="16"/>
      <c r="J211" s="16"/>
      <c r="K211" s="16"/>
      <c r="L211" s="16"/>
      <c r="M211" s="16"/>
      <c r="N211" s="16"/>
      <c r="O211" s="16"/>
      <c r="P211" s="16"/>
      <c r="Q211" s="16"/>
      <c r="R211" s="16"/>
      <c r="S211" s="16"/>
      <c r="T211" s="16"/>
      <c r="U211" s="16"/>
      <c r="V211" s="16"/>
      <c r="W211" s="15"/>
      <c r="X211" s="15"/>
      <c r="Y211" s="15"/>
      <c r="Z211" s="15"/>
    </row>
    <row r="212" customHeight="1" spans="1:26">
      <c r="A212" s="17"/>
      <c r="B212" s="15"/>
      <c r="C212" s="15"/>
      <c r="D212" s="15"/>
      <c r="E212" s="15"/>
      <c r="F212" s="15"/>
      <c r="G212" s="15"/>
      <c r="H212" s="16"/>
      <c r="I212" s="16"/>
      <c r="J212" s="16"/>
      <c r="K212" s="16"/>
      <c r="L212" s="16"/>
      <c r="M212" s="16"/>
      <c r="N212" s="16"/>
      <c r="O212" s="16"/>
      <c r="P212" s="16"/>
      <c r="Q212" s="16"/>
      <c r="R212" s="16"/>
      <c r="S212" s="16"/>
      <c r="T212" s="16"/>
      <c r="U212" s="16"/>
      <c r="V212" s="16"/>
      <c r="W212" s="15"/>
      <c r="X212" s="15"/>
      <c r="Y212" s="15"/>
      <c r="Z212" s="15"/>
    </row>
    <row r="213" customHeight="1" spans="1:26">
      <c r="A213" s="17"/>
      <c r="B213" s="15"/>
      <c r="C213" s="15"/>
      <c r="D213" s="15"/>
      <c r="E213" s="15"/>
      <c r="F213" s="15"/>
      <c r="G213" s="15"/>
      <c r="H213" s="16"/>
      <c r="I213" s="16"/>
      <c r="J213" s="16"/>
      <c r="K213" s="16"/>
      <c r="L213" s="16"/>
      <c r="M213" s="16"/>
      <c r="N213" s="16"/>
      <c r="O213" s="16"/>
      <c r="P213" s="16"/>
      <c r="Q213" s="16"/>
      <c r="R213" s="16"/>
      <c r="S213" s="16"/>
      <c r="T213" s="16"/>
      <c r="U213" s="16"/>
      <c r="V213" s="16"/>
      <c r="W213" s="15"/>
      <c r="X213" s="15"/>
      <c r="Y213" s="15"/>
      <c r="Z213" s="15"/>
    </row>
    <row r="214" customHeight="1" spans="1:26">
      <c r="A214" s="17"/>
      <c r="B214" s="15"/>
      <c r="C214" s="15"/>
      <c r="D214" s="15"/>
      <c r="E214" s="15"/>
      <c r="F214" s="15"/>
      <c r="G214" s="15"/>
      <c r="H214" s="16"/>
      <c r="I214" s="16"/>
      <c r="J214" s="16"/>
      <c r="K214" s="16"/>
      <c r="L214" s="16"/>
      <c r="M214" s="16"/>
      <c r="N214" s="16"/>
      <c r="O214" s="16"/>
      <c r="P214" s="16"/>
      <c r="Q214" s="16"/>
      <c r="R214" s="16"/>
      <c r="S214" s="16"/>
      <c r="T214" s="16"/>
      <c r="U214" s="16"/>
      <c r="V214" s="16"/>
      <c r="W214" s="15"/>
      <c r="X214" s="15"/>
      <c r="Y214" s="15"/>
      <c r="Z214" s="15"/>
    </row>
    <row r="215" customHeight="1" spans="1:26">
      <c r="A215" s="17"/>
      <c r="B215" s="15"/>
      <c r="C215" s="15"/>
      <c r="D215" s="15"/>
      <c r="E215" s="15"/>
      <c r="F215" s="15"/>
      <c r="G215" s="15"/>
      <c r="H215" s="16"/>
      <c r="I215" s="16"/>
      <c r="J215" s="16"/>
      <c r="K215" s="16"/>
      <c r="L215" s="16"/>
      <c r="M215" s="16"/>
      <c r="N215" s="16"/>
      <c r="O215" s="16"/>
      <c r="P215" s="16"/>
      <c r="Q215" s="16"/>
      <c r="R215" s="16"/>
      <c r="S215" s="16"/>
      <c r="T215" s="16"/>
      <c r="U215" s="16"/>
      <c r="V215" s="16"/>
      <c r="W215" s="15"/>
      <c r="X215" s="15"/>
      <c r="Y215" s="15"/>
      <c r="Z215" s="15"/>
    </row>
    <row r="216" customHeight="1" spans="1:26">
      <c r="A216" s="17"/>
      <c r="B216" s="15"/>
      <c r="C216" s="15"/>
      <c r="D216" s="15"/>
      <c r="E216" s="15"/>
      <c r="F216" s="15"/>
      <c r="G216" s="15"/>
      <c r="H216" s="16"/>
      <c r="I216" s="16"/>
      <c r="J216" s="16"/>
      <c r="K216" s="16"/>
      <c r="L216" s="16"/>
      <c r="M216" s="16"/>
      <c r="N216" s="16"/>
      <c r="O216" s="16"/>
      <c r="P216" s="16"/>
      <c r="Q216" s="16"/>
      <c r="R216" s="16"/>
      <c r="S216" s="16"/>
      <c r="T216" s="16"/>
      <c r="U216" s="16"/>
      <c r="V216" s="16"/>
      <c r="W216" s="15"/>
      <c r="X216" s="15"/>
      <c r="Y216" s="15"/>
      <c r="Z216" s="15"/>
    </row>
    <row r="217" customHeight="1" spans="1:26">
      <c r="A217" s="17"/>
      <c r="B217" s="15"/>
      <c r="C217" s="15"/>
      <c r="D217" s="15"/>
      <c r="E217" s="15"/>
      <c r="F217" s="15"/>
      <c r="G217" s="15"/>
      <c r="H217" s="16"/>
      <c r="I217" s="16"/>
      <c r="J217" s="16"/>
      <c r="K217" s="16"/>
      <c r="L217" s="16"/>
      <c r="M217" s="16"/>
      <c r="N217" s="16"/>
      <c r="O217" s="16"/>
      <c r="P217" s="16"/>
      <c r="Q217" s="16"/>
      <c r="R217" s="16"/>
      <c r="S217" s="16"/>
      <c r="T217" s="16"/>
      <c r="U217" s="16"/>
      <c r="V217" s="16"/>
      <c r="W217" s="15"/>
      <c r="X217" s="15"/>
      <c r="Y217" s="15"/>
      <c r="Z217" s="15"/>
    </row>
    <row r="218" customHeight="1" spans="1:26">
      <c r="A218" s="17"/>
      <c r="B218" s="15"/>
      <c r="C218" s="15"/>
      <c r="D218" s="15"/>
      <c r="E218" s="15"/>
      <c r="F218" s="15"/>
      <c r="G218" s="15"/>
      <c r="H218" s="16"/>
      <c r="I218" s="16"/>
      <c r="J218" s="16"/>
      <c r="K218" s="16"/>
      <c r="L218" s="16"/>
      <c r="M218" s="16"/>
      <c r="N218" s="16"/>
      <c r="O218" s="16"/>
      <c r="P218" s="16"/>
      <c r="Q218" s="16"/>
      <c r="R218" s="16"/>
      <c r="S218" s="16"/>
      <c r="T218" s="16"/>
      <c r="U218" s="16"/>
      <c r="V218" s="16"/>
      <c r="W218" s="15"/>
      <c r="X218" s="15"/>
      <c r="Y218" s="15"/>
      <c r="Z218" s="15"/>
    </row>
    <row r="219" customHeight="1" spans="1:26">
      <c r="A219" s="17"/>
      <c r="B219" s="15"/>
      <c r="C219" s="15"/>
      <c r="D219" s="15"/>
      <c r="E219" s="15"/>
      <c r="F219" s="15"/>
      <c r="G219" s="15"/>
      <c r="H219" s="16"/>
      <c r="I219" s="16"/>
      <c r="J219" s="16"/>
      <c r="K219" s="16"/>
      <c r="L219" s="16"/>
      <c r="M219" s="16"/>
      <c r="N219" s="16"/>
      <c r="O219" s="16"/>
      <c r="P219" s="16"/>
      <c r="Q219" s="16"/>
      <c r="R219" s="16"/>
      <c r="S219" s="16"/>
      <c r="T219" s="16"/>
      <c r="U219" s="16"/>
      <c r="V219" s="16"/>
      <c r="W219" s="15"/>
      <c r="X219" s="15"/>
      <c r="Y219" s="15"/>
      <c r="Z219" s="15"/>
    </row>
    <row r="220" customHeight="1" spans="1:26">
      <c r="A220" s="17"/>
      <c r="B220" s="15"/>
      <c r="C220" s="15"/>
      <c r="D220" s="15"/>
      <c r="E220" s="15"/>
      <c r="F220" s="15"/>
      <c r="G220" s="15"/>
      <c r="H220" s="16"/>
      <c r="I220" s="16"/>
      <c r="J220" s="16"/>
      <c r="K220" s="16"/>
      <c r="L220" s="16"/>
      <c r="M220" s="16"/>
      <c r="N220" s="16"/>
      <c r="O220" s="16"/>
      <c r="P220" s="16"/>
      <c r="Q220" s="16"/>
      <c r="R220" s="16"/>
      <c r="S220" s="16"/>
      <c r="T220" s="16"/>
      <c r="U220" s="16"/>
      <c r="V220" s="16"/>
      <c r="W220" s="15"/>
      <c r="X220" s="15"/>
      <c r="Y220" s="15"/>
      <c r="Z220" s="15"/>
    </row>
    <row r="221" customHeight="1" spans="1:26">
      <c r="A221" s="17"/>
      <c r="B221" s="15"/>
      <c r="C221" s="15"/>
      <c r="D221" s="15"/>
      <c r="E221" s="15"/>
      <c r="F221" s="15"/>
      <c r="G221" s="15"/>
      <c r="H221" s="16"/>
      <c r="I221" s="16"/>
      <c r="J221" s="16"/>
      <c r="K221" s="16"/>
      <c r="L221" s="16"/>
      <c r="M221" s="16"/>
      <c r="N221" s="16"/>
      <c r="O221" s="16"/>
      <c r="P221" s="16"/>
      <c r="Q221" s="16"/>
      <c r="R221" s="16"/>
      <c r="S221" s="16"/>
      <c r="T221" s="16"/>
      <c r="U221" s="16"/>
      <c r="V221" s="16"/>
      <c r="W221" s="15"/>
      <c r="X221" s="15"/>
      <c r="Y221" s="15"/>
      <c r="Z221" s="15"/>
    </row>
    <row r="222" customHeight="1" spans="1:26">
      <c r="A222" s="17"/>
      <c r="B222" s="15"/>
      <c r="C222" s="15"/>
      <c r="D222" s="15"/>
      <c r="E222" s="15"/>
      <c r="F222" s="15"/>
      <c r="G222" s="15"/>
      <c r="H222" s="16"/>
      <c r="I222" s="16"/>
      <c r="J222" s="16"/>
      <c r="K222" s="16"/>
      <c r="L222" s="16"/>
      <c r="M222" s="16"/>
      <c r="N222" s="16"/>
      <c r="O222" s="16"/>
      <c r="P222" s="16"/>
      <c r="Q222" s="16"/>
      <c r="R222" s="16"/>
      <c r="S222" s="16"/>
      <c r="T222" s="16"/>
      <c r="U222" s="16"/>
      <c r="V222" s="16"/>
      <c r="W222" s="15"/>
      <c r="X222" s="15"/>
      <c r="Y222" s="15"/>
      <c r="Z222" s="15"/>
    </row>
    <row r="223" customHeight="1" spans="1:26">
      <c r="A223" s="17"/>
      <c r="B223" s="15"/>
      <c r="C223" s="15"/>
      <c r="D223" s="15"/>
      <c r="E223" s="15"/>
      <c r="F223" s="15"/>
      <c r="G223" s="15"/>
      <c r="H223" s="16"/>
      <c r="I223" s="16"/>
      <c r="J223" s="16"/>
      <c r="K223" s="16"/>
      <c r="L223" s="16"/>
      <c r="M223" s="16"/>
      <c r="N223" s="16"/>
      <c r="O223" s="16"/>
      <c r="P223" s="16"/>
      <c r="Q223" s="16"/>
      <c r="R223" s="16"/>
      <c r="S223" s="16"/>
      <c r="T223" s="16"/>
      <c r="U223" s="16"/>
      <c r="V223" s="16"/>
      <c r="W223" s="15"/>
      <c r="X223" s="15"/>
      <c r="Y223" s="15"/>
      <c r="Z223" s="15"/>
    </row>
    <row r="224" customHeight="1" spans="1:26">
      <c r="A224" s="17"/>
      <c r="B224" s="15"/>
      <c r="C224" s="15"/>
      <c r="D224" s="15"/>
      <c r="E224" s="15"/>
      <c r="F224" s="15"/>
      <c r="G224" s="15"/>
      <c r="H224" s="16"/>
      <c r="I224" s="16"/>
      <c r="J224" s="16"/>
      <c r="K224" s="16"/>
      <c r="L224" s="16"/>
      <c r="M224" s="16"/>
      <c r="N224" s="16"/>
      <c r="O224" s="16"/>
      <c r="P224" s="16"/>
      <c r="Q224" s="16"/>
      <c r="R224" s="16"/>
      <c r="S224" s="16"/>
      <c r="T224" s="16"/>
      <c r="U224" s="16"/>
      <c r="V224" s="16"/>
      <c r="W224" s="15"/>
      <c r="X224" s="15"/>
      <c r="Y224" s="15"/>
      <c r="Z224" s="15"/>
    </row>
    <row r="225" customHeight="1" spans="1:26">
      <c r="A225" s="17"/>
      <c r="B225" s="15"/>
      <c r="C225" s="15"/>
      <c r="D225" s="15"/>
      <c r="E225" s="15"/>
      <c r="F225" s="15"/>
      <c r="G225" s="15"/>
      <c r="H225" s="16"/>
      <c r="I225" s="16"/>
      <c r="J225" s="16"/>
      <c r="K225" s="16"/>
      <c r="L225" s="16"/>
      <c r="M225" s="16"/>
      <c r="N225" s="16"/>
      <c r="O225" s="16"/>
      <c r="P225" s="16"/>
      <c r="Q225" s="16"/>
      <c r="R225" s="16"/>
      <c r="S225" s="16"/>
      <c r="T225" s="16"/>
      <c r="U225" s="16"/>
      <c r="V225" s="16"/>
      <c r="W225" s="15"/>
      <c r="X225" s="15"/>
      <c r="Y225" s="15"/>
      <c r="Z225" s="15"/>
    </row>
    <row r="226" customHeight="1" spans="1:26">
      <c r="A226" s="17"/>
      <c r="B226" s="15"/>
      <c r="C226" s="15"/>
      <c r="D226" s="15"/>
      <c r="E226" s="15"/>
      <c r="F226" s="15"/>
      <c r="G226" s="15"/>
      <c r="H226" s="16"/>
      <c r="I226" s="16"/>
      <c r="J226" s="16"/>
      <c r="K226" s="16"/>
      <c r="L226" s="16"/>
      <c r="M226" s="16"/>
      <c r="N226" s="16"/>
      <c r="O226" s="16"/>
      <c r="P226" s="16"/>
      <c r="Q226" s="16"/>
      <c r="R226" s="16"/>
      <c r="S226" s="16"/>
      <c r="T226" s="16"/>
      <c r="U226" s="16"/>
      <c r="V226" s="16"/>
      <c r="W226" s="15"/>
      <c r="X226" s="15"/>
      <c r="Y226" s="15"/>
      <c r="Z226" s="15"/>
    </row>
    <row r="227" customHeight="1" spans="1:26">
      <c r="A227" s="17"/>
      <c r="B227" s="15"/>
      <c r="C227" s="15"/>
      <c r="D227" s="15"/>
      <c r="E227" s="15"/>
      <c r="F227" s="15"/>
      <c r="G227" s="15"/>
      <c r="H227" s="16"/>
      <c r="I227" s="16"/>
      <c r="J227" s="16"/>
      <c r="K227" s="16"/>
      <c r="L227" s="16"/>
      <c r="M227" s="16"/>
      <c r="N227" s="16"/>
      <c r="O227" s="16"/>
      <c r="P227" s="16"/>
      <c r="Q227" s="16"/>
      <c r="R227" s="16"/>
      <c r="S227" s="16"/>
      <c r="T227" s="16"/>
      <c r="U227" s="16"/>
      <c r="V227" s="16"/>
      <c r="W227" s="15"/>
      <c r="X227" s="15"/>
      <c r="Y227" s="15"/>
      <c r="Z227" s="15"/>
    </row>
    <row r="228" customHeight="1" spans="1:26">
      <c r="A228" s="17"/>
      <c r="B228" s="15"/>
      <c r="C228" s="15"/>
      <c r="D228" s="15"/>
      <c r="E228" s="15"/>
      <c r="F228" s="15"/>
      <c r="G228" s="15"/>
      <c r="H228" s="16"/>
      <c r="I228" s="16"/>
      <c r="J228" s="16"/>
      <c r="K228" s="16"/>
      <c r="L228" s="16"/>
      <c r="M228" s="16"/>
      <c r="N228" s="16"/>
      <c r="O228" s="16"/>
      <c r="P228" s="16"/>
      <c r="Q228" s="16"/>
      <c r="R228" s="16"/>
      <c r="S228" s="16"/>
      <c r="T228" s="16"/>
      <c r="U228" s="16"/>
      <c r="V228" s="16"/>
      <c r="W228" s="15"/>
      <c r="X228" s="15"/>
      <c r="Y228" s="15"/>
      <c r="Z228" s="15"/>
    </row>
    <row r="229" customHeight="1" spans="1:26">
      <c r="A229" s="17"/>
      <c r="B229" s="15"/>
      <c r="C229" s="15"/>
      <c r="D229" s="15"/>
      <c r="E229" s="15"/>
      <c r="F229" s="15"/>
      <c r="G229" s="15"/>
      <c r="H229" s="16"/>
      <c r="I229" s="16"/>
      <c r="J229" s="16"/>
      <c r="K229" s="16"/>
      <c r="L229" s="16"/>
      <c r="M229" s="16"/>
      <c r="N229" s="16"/>
      <c r="O229" s="16"/>
      <c r="P229" s="16"/>
      <c r="Q229" s="16"/>
      <c r="R229" s="16"/>
      <c r="S229" s="16"/>
      <c r="T229" s="16"/>
      <c r="U229" s="16"/>
      <c r="V229" s="16"/>
      <c r="W229" s="15"/>
      <c r="X229" s="15"/>
      <c r="Y229" s="15"/>
      <c r="Z229" s="15"/>
    </row>
    <row r="230" customHeight="1" spans="1:26">
      <c r="A230" s="17"/>
      <c r="B230" s="15"/>
      <c r="C230" s="15"/>
      <c r="D230" s="15"/>
      <c r="E230" s="15"/>
      <c r="F230" s="15"/>
      <c r="G230" s="15"/>
      <c r="H230" s="16"/>
      <c r="I230" s="16"/>
      <c r="J230" s="16"/>
      <c r="K230" s="16"/>
      <c r="L230" s="16"/>
      <c r="M230" s="16"/>
      <c r="N230" s="16"/>
      <c r="O230" s="16"/>
      <c r="P230" s="16"/>
      <c r="Q230" s="16"/>
      <c r="R230" s="16"/>
      <c r="S230" s="16"/>
      <c r="T230" s="16"/>
      <c r="U230" s="16"/>
      <c r="V230" s="16"/>
      <c r="W230" s="15"/>
      <c r="X230" s="15"/>
      <c r="Y230" s="15"/>
      <c r="Z230" s="15"/>
    </row>
    <row r="231" customHeight="1" spans="1:26">
      <c r="A231" s="17"/>
      <c r="B231" s="15"/>
      <c r="C231" s="15"/>
      <c r="D231" s="15"/>
      <c r="E231" s="15"/>
      <c r="F231" s="15"/>
      <c r="G231" s="15"/>
      <c r="H231" s="16"/>
      <c r="I231" s="16"/>
      <c r="J231" s="16"/>
      <c r="K231" s="16"/>
      <c r="L231" s="16"/>
      <c r="M231" s="16"/>
      <c r="N231" s="16"/>
      <c r="O231" s="16"/>
      <c r="P231" s="16"/>
      <c r="Q231" s="16"/>
      <c r="R231" s="16"/>
      <c r="S231" s="16"/>
      <c r="T231" s="16"/>
      <c r="U231" s="16"/>
      <c r="V231" s="16"/>
      <c r="W231" s="15"/>
      <c r="X231" s="15"/>
      <c r="Y231" s="15"/>
      <c r="Z231" s="15"/>
    </row>
    <row r="232" customHeight="1" spans="1:26">
      <c r="A232" s="17"/>
      <c r="B232" s="15"/>
      <c r="C232" s="15"/>
      <c r="D232" s="15"/>
      <c r="E232" s="15"/>
      <c r="F232" s="15"/>
      <c r="G232" s="15"/>
      <c r="H232" s="16"/>
      <c r="I232" s="16"/>
      <c r="J232" s="16"/>
      <c r="K232" s="16"/>
      <c r="L232" s="16"/>
      <c r="M232" s="16"/>
      <c r="N232" s="16"/>
      <c r="O232" s="16"/>
      <c r="P232" s="16"/>
      <c r="Q232" s="16"/>
      <c r="R232" s="16"/>
      <c r="S232" s="16"/>
      <c r="T232" s="16"/>
      <c r="U232" s="16"/>
      <c r="V232" s="16"/>
      <c r="W232" s="15"/>
      <c r="X232" s="15"/>
      <c r="Y232" s="15"/>
      <c r="Z232" s="15"/>
    </row>
    <row r="233" customHeight="1" spans="1:26">
      <c r="A233" s="17"/>
      <c r="B233" s="15"/>
      <c r="C233" s="15"/>
      <c r="D233" s="15"/>
      <c r="E233" s="15"/>
      <c r="F233" s="15"/>
      <c r="G233" s="15"/>
      <c r="H233" s="16"/>
      <c r="I233" s="16"/>
      <c r="J233" s="16"/>
      <c r="K233" s="16"/>
      <c r="L233" s="16"/>
      <c r="M233" s="16"/>
      <c r="N233" s="16"/>
      <c r="O233" s="16"/>
      <c r="P233" s="16"/>
      <c r="Q233" s="16"/>
      <c r="R233" s="16"/>
      <c r="S233" s="16"/>
      <c r="T233" s="16"/>
      <c r="U233" s="16"/>
      <c r="V233" s="16"/>
      <c r="W233" s="15"/>
      <c r="X233" s="15"/>
      <c r="Y233" s="15"/>
      <c r="Z233" s="15"/>
    </row>
    <row r="234" customHeight="1" spans="1:26">
      <c r="A234" s="17"/>
      <c r="B234" s="15"/>
      <c r="C234" s="15"/>
      <c r="D234" s="15"/>
      <c r="E234" s="15"/>
      <c r="F234" s="15"/>
      <c r="G234" s="15"/>
      <c r="H234" s="16"/>
      <c r="I234" s="16"/>
      <c r="J234" s="16"/>
      <c r="K234" s="16"/>
      <c r="L234" s="16"/>
      <c r="M234" s="16"/>
      <c r="N234" s="16"/>
      <c r="O234" s="16"/>
      <c r="P234" s="16"/>
      <c r="Q234" s="16"/>
      <c r="R234" s="16"/>
      <c r="S234" s="16"/>
      <c r="T234" s="16"/>
      <c r="U234" s="16"/>
      <c r="V234" s="16"/>
      <c r="W234" s="15"/>
      <c r="X234" s="15"/>
      <c r="Y234" s="15"/>
      <c r="Z234" s="15"/>
    </row>
    <row r="235" customHeight="1" spans="1:26">
      <c r="A235" s="17"/>
      <c r="B235" s="15"/>
      <c r="C235" s="15"/>
      <c r="D235" s="15"/>
      <c r="E235" s="15"/>
      <c r="F235" s="15"/>
      <c r="G235" s="15"/>
      <c r="H235" s="16"/>
      <c r="I235" s="16"/>
      <c r="J235" s="16"/>
      <c r="K235" s="16"/>
      <c r="L235" s="16"/>
      <c r="M235" s="16"/>
      <c r="N235" s="16"/>
      <c r="O235" s="16"/>
      <c r="P235" s="16"/>
      <c r="Q235" s="16"/>
      <c r="R235" s="16"/>
      <c r="S235" s="16"/>
      <c r="T235" s="16"/>
      <c r="U235" s="16"/>
      <c r="V235" s="16"/>
      <c r="W235" s="15"/>
      <c r="X235" s="15"/>
      <c r="Y235" s="15"/>
      <c r="Z235" s="15"/>
    </row>
    <row r="236" customHeight="1" spans="1:26">
      <c r="A236" s="17"/>
      <c r="B236" s="15"/>
      <c r="C236" s="15"/>
      <c r="D236" s="15"/>
      <c r="E236" s="15"/>
      <c r="F236" s="15"/>
      <c r="G236" s="15"/>
      <c r="H236" s="16"/>
      <c r="I236" s="16"/>
      <c r="J236" s="16"/>
      <c r="K236" s="16"/>
      <c r="L236" s="16"/>
      <c r="M236" s="16"/>
      <c r="N236" s="16"/>
      <c r="O236" s="16"/>
      <c r="P236" s="16"/>
      <c r="Q236" s="16"/>
      <c r="R236" s="16"/>
      <c r="S236" s="16"/>
      <c r="T236" s="16"/>
      <c r="U236" s="16"/>
      <c r="V236" s="16"/>
      <c r="W236" s="15"/>
      <c r="X236" s="15"/>
      <c r="Y236" s="15"/>
      <c r="Z236" s="15"/>
    </row>
    <row r="237" customHeight="1" spans="1:26">
      <c r="A237" s="17"/>
      <c r="B237" s="15"/>
      <c r="C237" s="15"/>
      <c r="D237" s="15"/>
      <c r="E237" s="15"/>
      <c r="F237" s="15"/>
      <c r="G237" s="15"/>
      <c r="H237" s="16"/>
      <c r="I237" s="16"/>
      <c r="J237" s="16"/>
      <c r="K237" s="16"/>
      <c r="L237" s="16"/>
      <c r="M237" s="16"/>
      <c r="N237" s="16"/>
      <c r="O237" s="16"/>
      <c r="P237" s="16"/>
      <c r="Q237" s="16"/>
      <c r="R237" s="16"/>
      <c r="S237" s="16"/>
      <c r="T237" s="16"/>
      <c r="U237" s="16"/>
      <c r="V237" s="16"/>
      <c r="W237" s="15"/>
      <c r="X237" s="15"/>
      <c r="Y237" s="15"/>
      <c r="Z237" s="15"/>
    </row>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row r="1001" ht="13.2"/>
  </sheetData>
  <mergeCells count="24">
    <mergeCell ref="H2:I2"/>
    <mergeCell ref="J2:K2"/>
    <mergeCell ref="L2:M2"/>
    <mergeCell ref="H10:L10"/>
    <mergeCell ref="M10:Q10"/>
    <mergeCell ref="R10:V10"/>
    <mergeCell ref="H11:J11"/>
    <mergeCell ref="M11:O11"/>
    <mergeCell ref="R11:T11"/>
    <mergeCell ref="A10:A12"/>
    <mergeCell ref="B10:B12"/>
    <mergeCell ref="C10:C12"/>
    <mergeCell ref="D10:D12"/>
    <mergeCell ref="E10:E12"/>
    <mergeCell ref="F10:F12"/>
    <mergeCell ref="G10:G12"/>
    <mergeCell ref="K11:K12"/>
    <mergeCell ref="L11:L12"/>
    <mergeCell ref="N2:N3"/>
    <mergeCell ref="P11:P12"/>
    <mergeCell ref="Q11:Q12"/>
    <mergeCell ref="U11:U12"/>
    <mergeCell ref="V11:V12"/>
    <mergeCell ref="W10:W12"/>
  </mergeCells>
  <dataValidations count="1">
    <dataValidation type="list" allowBlank="1" showErrorMessage="1" sqref="H13:I37 R13:S37 M13:N37">
      <formula1>"Passed,Failed,Blocked,Not Run"</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showGridLines="0" workbookViewId="0">
      <selection activeCell="A1" sqref="A1"/>
    </sheetView>
  </sheetViews>
  <sheetFormatPr defaultColWidth="12.6296296296296" defaultRowHeight="15.75" customHeight="1"/>
  <cols>
    <col min="1" max="1" width="12.6296296296296" customWidth="1"/>
    <col min="2" max="2" width="24.5" customWidth="1"/>
    <col min="3" max="3" width="21" customWidth="1"/>
    <col min="4" max="4" width="25.1296296296296" customWidth="1"/>
    <col min="5" max="5" width="24.6296296296296" customWidth="1"/>
    <col min="6" max="7" width="37.6296296296296" customWidth="1"/>
    <col min="8" max="9" width="18.5" customWidth="1"/>
    <col min="10" max="10" width="19.5" customWidth="1"/>
    <col min="11" max="11" width="23.75" customWidth="1"/>
    <col min="12" max="12" width="14.75" customWidth="1"/>
    <col min="13" max="14" width="18.5" customWidth="1"/>
    <col min="15" max="15" width="19.5" customWidth="1"/>
    <col min="16" max="16" width="27.75" customWidth="1"/>
    <col min="17" max="17" width="15.3796296296296" customWidth="1"/>
    <col min="18" max="19" width="18.5" customWidth="1"/>
    <col min="20" max="20" width="19.5" customWidth="1"/>
    <col min="21" max="21" width="26.3796296296296" customWidth="1"/>
    <col min="22" max="22" width="15" customWidth="1"/>
    <col min="23" max="23" width="27" customWidth="1"/>
    <col min="24" max="26" width="11.8796296296296" customWidth="1"/>
  </cols>
  <sheetData>
    <row r="1" customHeight="1" spans="1:26">
      <c r="A1" s="14" t="s">
        <v>86</v>
      </c>
      <c r="B1" s="15"/>
      <c r="C1" s="15"/>
      <c r="D1" s="15"/>
      <c r="E1" s="15"/>
      <c r="F1" s="15"/>
      <c r="G1" s="15"/>
      <c r="H1" s="16"/>
      <c r="I1" s="16"/>
      <c r="J1" s="16"/>
      <c r="K1" s="16"/>
      <c r="L1" s="16"/>
      <c r="M1" s="16"/>
      <c r="N1" s="16"/>
      <c r="O1" s="16"/>
      <c r="P1" s="16"/>
      <c r="Q1" s="16"/>
      <c r="R1" s="16"/>
      <c r="S1" s="16"/>
      <c r="T1" s="16"/>
      <c r="U1" s="16"/>
      <c r="V1" s="16"/>
      <c r="W1" s="15"/>
      <c r="X1" s="15"/>
      <c r="Y1" s="15"/>
      <c r="Z1" s="15"/>
    </row>
    <row r="2" customHeight="1" spans="1:26">
      <c r="A2" s="17"/>
      <c r="B2" s="15"/>
      <c r="C2" s="15"/>
      <c r="D2" s="15"/>
      <c r="E2" s="15"/>
      <c r="F2" s="15"/>
      <c r="G2" s="15"/>
      <c r="H2" s="18" t="s">
        <v>64</v>
      </c>
      <c r="I2" s="31"/>
      <c r="J2" s="18" t="s">
        <v>65</v>
      </c>
      <c r="K2" s="31"/>
      <c r="L2" s="18" t="s">
        <v>66</v>
      </c>
      <c r="M2" s="31"/>
      <c r="N2" s="23" t="s">
        <v>87</v>
      </c>
      <c r="O2" s="16"/>
      <c r="P2" s="16"/>
      <c r="Q2" s="16"/>
      <c r="R2" s="16"/>
      <c r="S2" s="16"/>
      <c r="T2" s="16"/>
      <c r="U2" s="16"/>
      <c r="V2" s="16"/>
      <c r="W2" s="15"/>
      <c r="X2" s="15"/>
      <c r="Y2" s="15"/>
      <c r="Z2" s="15"/>
    </row>
    <row r="3" customHeight="1" spans="1:26">
      <c r="A3" s="6" t="s">
        <v>26</v>
      </c>
      <c r="B3" s="6" t="s">
        <v>88</v>
      </c>
      <c r="C3" s="15"/>
      <c r="D3" s="6" t="s">
        <v>89</v>
      </c>
      <c r="E3" s="6" t="s">
        <v>90</v>
      </c>
      <c r="F3" s="15"/>
      <c r="G3" s="19"/>
      <c r="H3" s="6" t="s">
        <v>67</v>
      </c>
      <c r="I3" s="6" t="s">
        <v>68</v>
      </c>
      <c r="J3" s="6" t="s">
        <v>67</v>
      </c>
      <c r="K3" s="6" t="s">
        <v>68</v>
      </c>
      <c r="L3" s="6" t="s">
        <v>67</v>
      </c>
      <c r="M3" s="6" t="s">
        <v>68</v>
      </c>
      <c r="N3" s="25"/>
      <c r="O3" s="16"/>
      <c r="P3" s="16"/>
      <c r="Q3" s="16"/>
      <c r="R3" s="16"/>
      <c r="S3" s="16"/>
      <c r="T3" s="16"/>
      <c r="U3" s="16"/>
      <c r="V3" s="16"/>
      <c r="W3" s="15"/>
      <c r="X3" s="15"/>
      <c r="Y3" s="15"/>
      <c r="Z3" s="15"/>
    </row>
    <row r="4" customHeight="1" spans="1:26">
      <c r="A4" s="20" t="s">
        <v>13</v>
      </c>
      <c r="B4" s="21" t="s">
        <v>55</v>
      </c>
      <c r="C4" s="15"/>
      <c r="D4" s="20" t="s">
        <v>257</v>
      </c>
      <c r="E4" s="21" t="s">
        <v>258</v>
      </c>
      <c r="F4" s="15"/>
      <c r="G4" s="6" t="s">
        <v>96</v>
      </c>
      <c r="H4" s="22">
        <f t="shared" ref="H4:I4" si="0">COUNTIF(H13:H215,"PASSED")</f>
        <v>7</v>
      </c>
      <c r="I4" s="22">
        <f t="shared" si="0"/>
        <v>8</v>
      </c>
      <c r="J4" s="22">
        <f t="shared" ref="J4:K4" si="1">COUNTIF(M13:M215,"PASSED")</f>
        <v>6</v>
      </c>
      <c r="K4" s="22">
        <f t="shared" si="1"/>
        <v>6</v>
      </c>
      <c r="L4" s="22">
        <f t="shared" ref="L4:M4" si="2">COUNTIF(R13:R215,"PASSED")</f>
        <v>8</v>
      </c>
      <c r="M4" s="22">
        <f t="shared" si="2"/>
        <v>7</v>
      </c>
      <c r="N4" s="22">
        <f t="shared" ref="N4:N8" si="3">SUM(H4:M4)</f>
        <v>42</v>
      </c>
      <c r="O4" s="16"/>
      <c r="P4" s="16"/>
      <c r="Q4" s="16"/>
      <c r="R4" s="16"/>
      <c r="S4" s="16"/>
      <c r="T4" s="16"/>
      <c r="U4" s="16"/>
      <c r="V4" s="16"/>
      <c r="W4" s="15"/>
      <c r="X4" s="15"/>
      <c r="Y4" s="15"/>
      <c r="Z4" s="15"/>
    </row>
    <row r="5" customHeight="1" spans="1:26">
      <c r="A5" s="20"/>
      <c r="B5" s="20"/>
      <c r="C5" s="15"/>
      <c r="D5" s="20"/>
      <c r="E5" s="20"/>
      <c r="F5" s="15"/>
      <c r="G5" s="6" t="s">
        <v>97</v>
      </c>
      <c r="H5" s="22">
        <f t="shared" ref="H5:I5" si="4">COUNTIF(H13:H225,"FAILED")</f>
        <v>1</v>
      </c>
      <c r="I5" s="22">
        <f t="shared" si="4"/>
        <v>0</v>
      </c>
      <c r="J5" s="22">
        <f t="shared" ref="J5:K5" si="5">COUNTIF(M14:M216,"FAILED")</f>
        <v>2</v>
      </c>
      <c r="K5" s="22">
        <f t="shared" si="5"/>
        <v>2</v>
      </c>
      <c r="L5" s="22">
        <f t="shared" ref="L5:M5" si="6">COUNTIF(R14:R216,"FAILED")</f>
        <v>0</v>
      </c>
      <c r="M5" s="22">
        <f t="shared" si="6"/>
        <v>1</v>
      </c>
      <c r="N5" s="22">
        <f t="shared" si="3"/>
        <v>6</v>
      </c>
      <c r="O5" s="16"/>
      <c r="P5" s="16"/>
      <c r="Q5" s="16"/>
      <c r="R5" s="16"/>
      <c r="S5" s="16"/>
      <c r="T5" s="16"/>
      <c r="U5" s="16"/>
      <c r="V5" s="16"/>
      <c r="W5" s="15"/>
      <c r="X5" s="15"/>
      <c r="Y5" s="15"/>
      <c r="Z5" s="15"/>
    </row>
    <row r="6" customHeight="1" spans="1:26">
      <c r="A6" s="20"/>
      <c r="B6" s="20"/>
      <c r="C6" s="15"/>
      <c r="D6" s="20"/>
      <c r="E6" s="20"/>
      <c r="F6" s="15"/>
      <c r="G6" s="6" t="s">
        <v>98</v>
      </c>
      <c r="H6" s="22">
        <f t="shared" ref="H6:I6" si="7">COUNTIF(H13:H235,"BLOCKED")</f>
        <v>0</v>
      </c>
      <c r="I6" s="22">
        <f t="shared" si="7"/>
        <v>0</v>
      </c>
      <c r="J6" s="22">
        <f t="shared" ref="J6:K6" si="8">COUNTIF(M15:M217,"BLOCKED")</f>
        <v>0</v>
      </c>
      <c r="K6" s="22">
        <f t="shared" si="8"/>
        <v>0</v>
      </c>
      <c r="L6" s="22">
        <f t="shared" ref="L6:M6" si="9">COUNTIF(R15:R217,"BLOCKED")</f>
        <v>0</v>
      </c>
      <c r="M6" s="22">
        <f t="shared" si="9"/>
        <v>0</v>
      </c>
      <c r="N6" s="22">
        <f t="shared" si="3"/>
        <v>0</v>
      </c>
      <c r="O6" s="16"/>
      <c r="P6" s="16"/>
      <c r="Q6" s="16"/>
      <c r="R6" s="16"/>
      <c r="S6" s="16"/>
      <c r="T6" s="16"/>
      <c r="U6" s="16"/>
      <c r="V6" s="16"/>
      <c r="W6" s="15"/>
      <c r="X6" s="15"/>
      <c r="Y6" s="15"/>
      <c r="Z6" s="15"/>
    </row>
    <row r="7" customHeight="1" spans="1:26">
      <c r="A7" s="20"/>
      <c r="B7" s="20"/>
      <c r="C7" s="15"/>
      <c r="D7" s="20"/>
      <c r="E7" s="20"/>
      <c r="F7" s="15"/>
      <c r="G7" s="6" t="s">
        <v>99</v>
      </c>
      <c r="H7" s="22">
        <f t="shared" ref="H7:I7" si="10">COUNTIF(H13:H245,"NOT RUN")</f>
        <v>0</v>
      </c>
      <c r="I7" s="22">
        <f t="shared" si="10"/>
        <v>0</v>
      </c>
      <c r="J7" s="22">
        <f t="shared" ref="J7:K7" si="11">COUNTIF(M16:M218,"NOT RUN")</f>
        <v>0</v>
      </c>
      <c r="K7" s="22">
        <f t="shared" si="11"/>
        <v>0</v>
      </c>
      <c r="L7" s="22">
        <f t="shared" ref="L7:M7" si="12">COUNTIF(R16:R218,"NOT RUN")</f>
        <v>0</v>
      </c>
      <c r="M7" s="22">
        <f t="shared" si="12"/>
        <v>0</v>
      </c>
      <c r="N7" s="22">
        <f t="shared" si="3"/>
        <v>0</v>
      </c>
      <c r="O7" s="16"/>
      <c r="P7" s="16"/>
      <c r="Q7" s="16"/>
      <c r="R7" s="16"/>
      <c r="S7" s="16"/>
      <c r="T7" s="16"/>
      <c r="U7" s="16"/>
      <c r="V7" s="16"/>
      <c r="W7" s="15"/>
      <c r="X7" s="15"/>
      <c r="Y7" s="15"/>
      <c r="Z7" s="15"/>
    </row>
    <row r="8" customHeight="1" spans="1:26">
      <c r="A8" s="20"/>
      <c r="B8" s="20"/>
      <c r="C8" s="15"/>
      <c r="D8" s="20"/>
      <c r="E8" s="20"/>
      <c r="F8" s="15"/>
      <c r="G8" s="6" t="s">
        <v>100</v>
      </c>
      <c r="H8" s="22">
        <f t="shared" ref="H8:M8" si="13">COUNTA($G13:$G227)</f>
        <v>8</v>
      </c>
      <c r="I8" s="22">
        <f t="shared" si="13"/>
        <v>8</v>
      </c>
      <c r="J8" s="22">
        <f t="shared" si="13"/>
        <v>8</v>
      </c>
      <c r="K8" s="22">
        <f t="shared" si="13"/>
        <v>8</v>
      </c>
      <c r="L8" s="22">
        <f t="shared" si="13"/>
        <v>8</v>
      </c>
      <c r="M8" s="22">
        <f t="shared" si="13"/>
        <v>8</v>
      </c>
      <c r="N8" s="22">
        <f t="shared" si="3"/>
        <v>48</v>
      </c>
      <c r="O8" s="16"/>
      <c r="P8" s="16"/>
      <c r="Q8" s="16"/>
      <c r="R8" s="16"/>
      <c r="S8" s="16"/>
      <c r="T8" s="16"/>
      <c r="U8" s="16"/>
      <c r="V8" s="16"/>
      <c r="W8" s="15"/>
      <c r="X8" s="15"/>
      <c r="Y8" s="15"/>
      <c r="Z8" s="15"/>
    </row>
    <row r="9" customHeight="1" spans="1:26">
      <c r="A9" s="17"/>
      <c r="B9" s="15"/>
      <c r="C9" s="15"/>
      <c r="D9" s="15"/>
      <c r="E9" s="15"/>
      <c r="F9" s="15"/>
      <c r="G9" s="15"/>
      <c r="H9" s="16"/>
      <c r="I9" s="16"/>
      <c r="J9" s="16"/>
      <c r="K9" s="16"/>
      <c r="L9" s="16"/>
      <c r="M9" s="16"/>
      <c r="N9" s="16"/>
      <c r="O9" s="16"/>
      <c r="P9" s="16"/>
      <c r="Q9" s="16"/>
      <c r="R9" s="16"/>
      <c r="S9" s="16"/>
      <c r="T9" s="16"/>
      <c r="U9" s="16"/>
      <c r="V9" s="16"/>
      <c r="W9" s="15"/>
      <c r="X9" s="15"/>
      <c r="Y9" s="15"/>
      <c r="Z9" s="15"/>
    </row>
    <row r="10" customHeight="1" spans="1:26">
      <c r="A10" s="23" t="s">
        <v>22</v>
      </c>
      <c r="B10" s="23" t="s">
        <v>101</v>
      </c>
      <c r="C10" s="23" t="s">
        <v>102</v>
      </c>
      <c r="D10" s="23" t="s">
        <v>103</v>
      </c>
      <c r="E10" s="23" t="s">
        <v>104</v>
      </c>
      <c r="F10" s="23" t="s">
        <v>105</v>
      </c>
      <c r="G10" s="23" t="s">
        <v>106</v>
      </c>
      <c r="H10" s="18" t="s">
        <v>64</v>
      </c>
      <c r="I10" s="32"/>
      <c r="J10" s="32"/>
      <c r="K10" s="32"/>
      <c r="L10" s="31"/>
      <c r="M10" s="18" t="s">
        <v>65</v>
      </c>
      <c r="N10" s="32"/>
      <c r="O10" s="32"/>
      <c r="P10" s="32"/>
      <c r="Q10" s="31"/>
      <c r="R10" s="18" t="s">
        <v>66</v>
      </c>
      <c r="S10" s="32"/>
      <c r="T10" s="32"/>
      <c r="U10" s="32"/>
      <c r="V10" s="31"/>
      <c r="W10" s="23" t="s">
        <v>29</v>
      </c>
      <c r="X10" s="13"/>
      <c r="Y10" s="13"/>
      <c r="Z10" s="13"/>
    </row>
    <row r="11" customHeight="1" spans="1:26">
      <c r="A11" s="24"/>
      <c r="B11" s="24"/>
      <c r="C11" s="24"/>
      <c r="D11" s="24"/>
      <c r="E11" s="24"/>
      <c r="F11" s="24"/>
      <c r="G11" s="24"/>
      <c r="H11" s="18" t="s">
        <v>107</v>
      </c>
      <c r="I11" s="32"/>
      <c r="J11" s="31"/>
      <c r="K11" s="23" t="s">
        <v>108</v>
      </c>
      <c r="L11" s="23" t="s">
        <v>109</v>
      </c>
      <c r="M11" s="18" t="s">
        <v>107</v>
      </c>
      <c r="N11" s="32"/>
      <c r="O11" s="31"/>
      <c r="P11" s="23" t="s">
        <v>108</v>
      </c>
      <c r="Q11" s="23" t="s">
        <v>109</v>
      </c>
      <c r="R11" s="18" t="s">
        <v>107</v>
      </c>
      <c r="S11" s="32"/>
      <c r="T11" s="31"/>
      <c r="U11" s="23" t="s">
        <v>108</v>
      </c>
      <c r="V11" s="23" t="s">
        <v>109</v>
      </c>
      <c r="W11" s="24"/>
      <c r="X11" s="15"/>
      <c r="Y11" s="15"/>
      <c r="Z11" s="15"/>
    </row>
    <row r="12" customHeight="1" spans="1:26">
      <c r="A12" s="25"/>
      <c r="B12" s="25"/>
      <c r="C12" s="25"/>
      <c r="D12" s="25"/>
      <c r="E12" s="25"/>
      <c r="F12" s="25"/>
      <c r="G12" s="25"/>
      <c r="H12" s="6" t="s">
        <v>67</v>
      </c>
      <c r="I12" s="6" t="s">
        <v>68</v>
      </c>
      <c r="J12" s="6" t="s">
        <v>110</v>
      </c>
      <c r="K12" s="25"/>
      <c r="L12" s="25"/>
      <c r="M12" s="6" t="s">
        <v>67</v>
      </c>
      <c r="N12" s="6" t="s">
        <v>68</v>
      </c>
      <c r="O12" s="6" t="s">
        <v>110</v>
      </c>
      <c r="P12" s="25"/>
      <c r="Q12" s="25"/>
      <c r="R12" s="6" t="s">
        <v>67</v>
      </c>
      <c r="S12" s="6" t="s">
        <v>68</v>
      </c>
      <c r="T12" s="6" t="s">
        <v>110</v>
      </c>
      <c r="U12" s="25"/>
      <c r="V12" s="25"/>
      <c r="W12" s="25"/>
      <c r="X12" s="15"/>
      <c r="Y12" s="15"/>
      <c r="Z12" s="15"/>
    </row>
    <row r="13" ht="26.4" spans="1:26">
      <c r="A13" s="26" t="str">
        <f t="shared" ref="A13:A36" si="14">"ID-00"&amp;(ROW()-(ROW($A$12)))</f>
        <v>ID-001</v>
      </c>
      <c r="B13" s="10" t="s">
        <v>259</v>
      </c>
      <c r="C13" s="10" t="s">
        <v>260</v>
      </c>
      <c r="D13" s="28" t="s">
        <v>192</v>
      </c>
      <c r="E13" s="28" t="s">
        <v>261</v>
      </c>
      <c r="F13" s="28" t="s">
        <v>262</v>
      </c>
      <c r="G13" s="28" t="s">
        <v>263</v>
      </c>
      <c r="H13" s="8" t="s">
        <v>69</v>
      </c>
      <c r="I13" s="8" t="s">
        <v>69</v>
      </c>
      <c r="J13" s="8"/>
      <c r="K13" s="33" t="s">
        <v>118</v>
      </c>
      <c r="L13" s="8" t="s">
        <v>117</v>
      </c>
      <c r="M13" s="8" t="s">
        <v>69</v>
      </c>
      <c r="N13" s="8" t="s">
        <v>69</v>
      </c>
      <c r="O13" s="8"/>
      <c r="P13" s="33" t="s">
        <v>196</v>
      </c>
      <c r="Q13" s="8" t="s">
        <v>117</v>
      </c>
      <c r="R13" s="8" t="s">
        <v>69</v>
      </c>
      <c r="S13" s="8" t="s">
        <v>69</v>
      </c>
      <c r="T13" s="8"/>
      <c r="U13" s="33" t="s">
        <v>197</v>
      </c>
      <c r="V13" s="8" t="s">
        <v>117</v>
      </c>
      <c r="W13" s="30"/>
      <c r="X13" s="15"/>
      <c r="Y13" s="15"/>
      <c r="Z13" s="15"/>
    </row>
    <row r="14" ht="26.4" spans="1:26">
      <c r="A14" s="26" t="str">
        <f t="shared" si="14"/>
        <v>ID-002</v>
      </c>
      <c r="B14" s="10" t="s">
        <v>259</v>
      </c>
      <c r="C14" s="10" t="s">
        <v>191</v>
      </c>
      <c r="D14" s="28" t="s">
        <v>192</v>
      </c>
      <c r="E14" s="28" t="s">
        <v>264</v>
      </c>
      <c r="F14" s="28" t="s">
        <v>265</v>
      </c>
      <c r="G14" s="28" t="s">
        <v>266</v>
      </c>
      <c r="H14" s="8" t="s">
        <v>69</v>
      </c>
      <c r="I14" s="8" t="s">
        <v>69</v>
      </c>
      <c r="J14" s="8"/>
      <c r="K14" s="33" t="s">
        <v>118</v>
      </c>
      <c r="L14" s="8" t="s">
        <v>117</v>
      </c>
      <c r="M14" s="8" t="s">
        <v>70</v>
      </c>
      <c r="N14" s="8" t="s">
        <v>70</v>
      </c>
      <c r="O14" s="8" t="s">
        <v>267</v>
      </c>
      <c r="P14" s="36">
        <v>45849</v>
      </c>
      <c r="Q14" s="8" t="s">
        <v>117</v>
      </c>
      <c r="R14" s="8" t="s">
        <v>69</v>
      </c>
      <c r="S14" s="8" t="s">
        <v>70</v>
      </c>
      <c r="T14" s="8" t="s">
        <v>268</v>
      </c>
      <c r="U14" s="37">
        <v>46002</v>
      </c>
      <c r="V14" s="8" t="s">
        <v>117</v>
      </c>
      <c r="W14" s="30"/>
      <c r="X14" s="15"/>
      <c r="Y14" s="15"/>
      <c r="Z14" s="15"/>
    </row>
    <row r="15" ht="52.8" spans="1:26">
      <c r="A15" s="26" t="str">
        <f t="shared" si="14"/>
        <v>ID-003</v>
      </c>
      <c r="B15" s="10" t="s">
        <v>259</v>
      </c>
      <c r="C15" s="10" t="s">
        <v>269</v>
      </c>
      <c r="D15" s="28" t="s">
        <v>192</v>
      </c>
      <c r="E15" s="28" t="s">
        <v>270</v>
      </c>
      <c r="F15" s="28" t="s">
        <v>271</v>
      </c>
      <c r="G15" s="28" t="s">
        <v>272</v>
      </c>
      <c r="H15" s="8" t="s">
        <v>70</v>
      </c>
      <c r="I15" s="8" t="s">
        <v>69</v>
      </c>
      <c r="J15" s="8" t="s">
        <v>273</v>
      </c>
      <c r="K15" s="33" t="s">
        <v>118</v>
      </c>
      <c r="L15" s="8" t="s">
        <v>117</v>
      </c>
      <c r="M15" s="8" t="s">
        <v>69</v>
      </c>
      <c r="N15" s="8" t="s">
        <v>69</v>
      </c>
      <c r="O15" s="8"/>
      <c r="P15" s="33" t="s">
        <v>196</v>
      </c>
      <c r="Q15" s="8" t="s">
        <v>117</v>
      </c>
      <c r="R15" s="8" t="s">
        <v>69</v>
      </c>
      <c r="S15" s="8" t="s">
        <v>69</v>
      </c>
      <c r="T15" s="8"/>
      <c r="U15" s="37">
        <v>46002</v>
      </c>
      <c r="V15" s="8" t="s">
        <v>117</v>
      </c>
      <c r="W15" s="30"/>
      <c r="X15" s="15"/>
      <c r="Y15" s="15"/>
      <c r="Z15" s="15"/>
    </row>
    <row r="16" ht="49.5" customHeight="1" spans="1:26">
      <c r="A16" s="26" t="str">
        <f t="shared" si="14"/>
        <v>ID-004</v>
      </c>
      <c r="B16" s="10" t="s">
        <v>259</v>
      </c>
      <c r="C16" s="10" t="s">
        <v>274</v>
      </c>
      <c r="D16" s="28" t="s">
        <v>275</v>
      </c>
      <c r="E16" s="28" t="s">
        <v>276</v>
      </c>
      <c r="F16" s="28" t="s">
        <v>277</v>
      </c>
      <c r="G16" s="48" t="s">
        <v>278</v>
      </c>
      <c r="H16" s="8" t="s">
        <v>69</v>
      </c>
      <c r="I16" s="8" t="s">
        <v>69</v>
      </c>
      <c r="J16" s="8"/>
      <c r="K16" s="33" t="s">
        <v>118</v>
      </c>
      <c r="L16" s="8" t="s">
        <v>117</v>
      </c>
      <c r="M16" s="8" t="s">
        <v>70</v>
      </c>
      <c r="N16" s="8" t="s">
        <v>70</v>
      </c>
      <c r="O16" s="8" t="s">
        <v>279</v>
      </c>
      <c r="P16" s="36">
        <v>45849</v>
      </c>
      <c r="Q16" s="8" t="s">
        <v>117</v>
      </c>
      <c r="R16" s="8" t="s">
        <v>69</v>
      </c>
      <c r="S16" s="8" t="s">
        <v>69</v>
      </c>
      <c r="T16" s="8"/>
      <c r="U16" s="37">
        <v>46002</v>
      </c>
      <c r="V16" s="8" t="s">
        <v>117</v>
      </c>
      <c r="W16" s="30"/>
      <c r="X16" s="15"/>
      <c r="Y16" s="15"/>
      <c r="Z16" s="15"/>
    </row>
    <row r="17" ht="66.75" customHeight="1" spans="1:26">
      <c r="A17" s="26" t="str">
        <f t="shared" si="14"/>
        <v>ID-005</v>
      </c>
      <c r="B17" s="10" t="s">
        <v>259</v>
      </c>
      <c r="C17" s="49" t="s">
        <v>280</v>
      </c>
      <c r="D17" s="28" t="s">
        <v>275</v>
      </c>
      <c r="E17" s="48" t="s">
        <v>281</v>
      </c>
      <c r="F17" s="44" t="s">
        <v>282</v>
      </c>
      <c r="G17" s="44" t="s">
        <v>283</v>
      </c>
      <c r="H17" s="8" t="s">
        <v>69</v>
      </c>
      <c r="I17" s="8" t="s">
        <v>69</v>
      </c>
      <c r="J17" s="8"/>
      <c r="K17" s="33" t="s">
        <v>78</v>
      </c>
      <c r="L17" s="8" t="s">
        <v>117</v>
      </c>
      <c r="M17" s="8" t="s">
        <v>69</v>
      </c>
      <c r="N17" s="8" t="s">
        <v>69</v>
      </c>
      <c r="O17" s="8"/>
      <c r="P17" s="37">
        <v>45941</v>
      </c>
      <c r="Q17" s="8" t="s">
        <v>117</v>
      </c>
      <c r="R17" s="8" t="s">
        <v>69</v>
      </c>
      <c r="S17" s="8" t="s">
        <v>69</v>
      </c>
      <c r="T17" s="8"/>
      <c r="U17" s="8" t="s">
        <v>72</v>
      </c>
      <c r="V17" s="8" t="s">
        <v>117</v>
      </c>
      <c r="W17" s="30"/>
      <c r="X17" s="15"/>
      <c r="Y17" s="15"/>
      <c r="Z17" s="15"/>
    </row>
    <row r="18" ht="31.5" customHeight="1" spans="1:26">
      <c r="A18" s="26" t="str">
        <f t="shared" si="14"/>
        <v>ID-006</v>
      </c>
      <c r="B18" s="10" t="s">
        <v>259</v>
      </c>
      <c r="C18" s="44" t="s">
        <v>191</v>
      </c>
      <c r="D18" s="50" t="s">
        <v>284</v>
      </c>
      <c r="E18" s="45" t="s">
        <v>285</v>
      </c>
      <c r="F18" s="47" t="s">
        <v>286</v>
      </c>
      <c r="G18" s="50" t="s">
        <v>287</v>
      </c>
      <c r="H18" s="8" t="s">
        <v>69</v>
      </c>
      <c r="I18" s="8" t="s">
        <v>69</v>
      </c>
      <c r="J18" s="8"/>
      <c r="K18" s="33" t="s">
        <v>78</v>
      </c>
      <c r="L18" s="8" t="s">
        <v>117</v>
      </c>
      <c r="M18" s="8" t="s">
        <v>69</v>
      </c>
      <c r="N18" s="8" t="s">
        <v>69</v>
      </c>
      <c r="O18" s="8"/>
      <c r="P18" s="37">
        <v>45941</v>
      </c>
      <c r="Q18" s="8" t="s">
        <v>117</v>
      </c>
      <c r="R18" s="8" t="s">
        <v>69</v>
      </c>
      <c r="S18" s="8" t="s">
        <v>69</v>
      </c>
      <c r="T18" s="8"/>
      <c r="U18" s="8" t="s">
        <v>72</v>
      </c>
      <c r="V18" s="8" t="s">
        <v>117</v>
      </c>
      <c r="W18" s="30"/>
      <c r="X18" s="15"/>
      <c r="Y18" s="15"/>
      <c r="Z18" s="15"/>
    </row>
    <row r="19" ht="65.25" customHeight="1" spans="1:26">
      <c r="A19" s="26" t="str">
        <f t="shared" si="14"/>
        <v>ID-007</v>
      </c>
      <c r="B19" s="10" t="s">
        <v>259</v>
      </c>
      <c r="C19" s="51" t="s">
        <v>288</v>
      </c>
      <c r="D19" s="28" t="s">
        <v>289</v>
      </c>
      <c r="E19" s="45" t="s">
        <v>290</v>
      </c>
      <c r="F19" s="46" t="s">
        <v>291</v>
      </c>
      <c r="G19" s="45" t="s">
        <v>292</v>
      </c>
      <c r="H19" s="8" t="s">
        <v>69</v>
      </c>
      <c r="I19" s="8" t="s">
        <v>69</v>
      </c>
      <c r="J19" s="8"/>
      <c r="K19" s="33" t="s">
        <v>78</v>
      </c>
      <c r="L19" s="8" t="s">
        <v>117</v>
      </c>
      <c r="M19" s="8" t="s">
        <v>69</v>
      </c>
      <c r="N19" s="8" t="s">
        <v>69</v>
      </c>
      <c r="O19" s="8"/>
      <c r="P19" s="37">
        <v>45941</v>
      </c>
      <c r="Q19" s="8" t="s">
        <v>117</v>
      </c>
      <c r="R19" s="8" t="s">
        <v>69</v>
      </c>
      <c r="S19" s="8" t="s">
        <v>69</v>
      </c>
      <c r="T19" s="8"/>
      <c r="U19" s="8" t="s">
        <v>72</v>
      </c>
      <c r="V19" s="8" t="s">
        <v>117</v>
      </c>
      <c r="W19" s="30"/>
      <c r="X19" s="15"/>
      <c r="Y19" s="15"/>
      <c r="Z19" s="15"/>
    </row>
    <row r="20" ht="34.5" customHeight="1" spans="1:26">
      <c r="A20" s="26" t="str">
        <f t="shared" si="14"/>
        <v>ID-008</v>
      </c>
      <c r="B20" s="10" t="s">
        <v>259</v>
      </c>
      <c r="C20" s="52" t="s">
        <v>293</v>
      </c>
      <c r="D20" s="28" t="s">
        <v>289</v>
      </c>
      <c r="E20" s="48" t="s">
        <v>294</v>
      </c>
      <c r="F20" s="28" t="s">
        <v>295</v>
      </c>
      <c r="G20" s="50" t="s">
        <v>296</v>
      </c>
      <c r="H20" s="8" t="s">
        <v>69</v>
      </c>
      <c r="I20" s="8" t="s">
        <v>69</v>
      </c>
      <c r="J20" s="8"/>
      <c r="K20" s="33" t="s">
        <v>78</v>
      </c>
      <c r="L20" s="8" t="s">
        <v>117</v>
      </c>
      <c r="M20" s="8" t="s">
        <v>69</v>
      </c>
      <c r="N20" s="8" t="s">
        <v>69</v>
      </c>
      <c r="O20" s="8"/>
      <c r="P20" s="37">
        <v>45941</v>
      </c>
      <c r="Q20" s="8" t="s">
        <v>117</v>
      </c>
      <c r="R20" s="8" t="s">
        <v>69</v>
      </c>
      <c r="S20" s="8" t="s">
        <v>69</v>
      </c>
      <c r="T20" s="8"/>
      <c r="U20" s="8" t="s">
        <v>72</v>
      </c>
      <c r="V20" s="8" t="s">
        <v>117</v>
      </c>
      <c r="W20" s="30"/>
      <c r="X20" s="15"/>
      <c r="Y20" s="15"/>
      <c r="Z20" s="15"/>
    </row>
    <row r="21" ht="13.2" spans="1:26">
      <c r="A21" s="26" t="str">
        <f t="shared" si="14"/>
        <v>ID-009</v>
      </c>
      <c r="B21" s="30"/>
      <c r="C21" s="30"/>
      <c r="D21" s="28"/>
      <c r="E21" s="28"/>
      <c r="F21" s="28"/>
      <c r="G21" s="28"/>
      <c r="H21" s="8"/>
      <c r="I21" s="8"/>
      <c r="J21" s="8"/>
      <c r="K21" s="8"/>
      <c r="L21" s="8"/>
      <c r="M21" s="8"/>
      <c r="N21" s="8"/>
      <c r="O21" s="8"/>
      <c r="P21" s="8"/>
      <c r="Q21" s="8"/>
      <c r="R21" s="8"/>
      <c r="S21" s="8"/>
      <c r="T21" s="8"/>
      <c r="U21" s="8"/>
      <c r="V21" s="8"/>
      <c r="W21" s="30"/>
      <c r="X21" s="15"/>
      <c r="Y21" s="15"/>
      <c r="Z21" s="15"/>
    </row>
    <row r="22" ht="13.2" spans="1:26">
      <c r="A22" s="26" t="str">
        <f t="shared" si="14"/>
        <v>ID-0010</v>
      </c>
      <c r="B22" s="30"/>
      <c r="C22" s="30"/>
      <c r="D22" s="38"/>
      <c r="E22" s="28"/>
      <c r="F22" s="28"/>
      <c r="G22" s="28"/>
      <c r="H22" s="8"/>
      <c r="I22" s="8"/>
      <c r="J22" s="8"/>
      <c r="K22" s="8"/>
      <c r="L22" s="8"/>
      <c r="M22" s="8"/>
      <c r="N22" s="8"/>
      <c r="O22" s="8"/>
      <c r="P22" s="8"/>
      <c r="Q22" s="8"/>
      <c r="R22" s="8"/>
      <c r="S22" s="8"/>
      <c r="T22" s="8"/>
      <c r="U22" s="8"/>
      <c r="V22" s="8"/>
      <c r="W22" s="30"/>
      <c r="X22" s="15"/>
      <c r="Y22" s="15"/>
      <c r="Z22" s="15"/>
    </row>
    <row r="23" ht="13.2" spans="1:26">
      <c r="A23" s="26" t="str">
        <f t="shared" si="14"/>
        <v>ID-0011</v>
      </c>
      <c r="B23" s="30"/>
      <c r="C23" s="30"/>
      <c r="D23" s="38"/>
      <c r="E23" s="28"/>
      <c r="F23" s="28"/>
      <c r="G23" s="28"/>
      <c r="H23" s="8"/>
      <c r="I23" s="8"/>
      <c r="J23" s="8"/>
      <c r="K23" s="8"/>
      <c r="L23" s="8"/>
      <c r="M23" s="8"/>
      <c r="N23" s="8"/>
      <c r="O23" s="8"/>
      <c r="P23" s="8"/>
      <c r="Q23" s="8"/>
      <c r="R23" s="8"/>
      <c r="S23" s="8"/>
      <c r="T23" s="8"/>
      <c r="U23" s="8"/>
      <c r="V23" s="8"/>
      <c r="W23" s="30"/>
      <c r="X23" s="15"/>
      <c r="Y23" s="15"/>
      <c r="Z23" s="15"/>
    </row>
    <row r="24" ht="13.2" spans="1:26">
      <c r="A24" s="26" t="str">
        <f t="shared" si="14"/>
        <v>ID-0012</v>
      </c>
      <c r="B24" s="30"/>
      <c r="C24" s="30"/>
      <c r="D24" s="38"/>
      <c r="E24" s="28"/>
      <c r="F24" s="28"/>
      <c r="G24" s="28"/>
      <c r="H24" s="8"/>
      <c r="I24" s="8"/>
      <c r="J24" s="8"/>
      <c r="K24" s="8"/>
      <c r="L24" s="8"/>
      <c r="M24" s="8"/>
      <c r="N24" s="8"/>
      <c r="O24" s="8"/>
      <c r="P24" s="8"/>
      <c r="Q24" s="8"/>
      <c r="R24" s="8"/>
      <c r="S24" s="8"/>
      <c r="T24" s="8"/>
      <c r="U24" s="8"/>
      <c r="V24" s="8"/>
      <c r="W24" s="30"/>
      <c r="X24" s="15"/>
      <c r="Y24" s="15"/>
      <c r="Z24" s="15"/>
    </row>
    <row r="25" ht="13.2" spans="1:26">
      <c r="A25" s="26" t="str">
        <f t="shared" si="14"/>
        <v>ID-0013</v>
      </c>
      <c r="B25" s="30"/>
      <c r="C25" s="30"/>
      <c r="D25" s="38"/>
      <c r="E25" s="28"/>
      <c r="F25" s="28"/>
      <c r="G25" s="28"/>
      <c r="H25" s="8"/>
      <c r="I25" s="8"/>
      <c r="J25" s="8"/>
      <c r="K25" s="8"/>
      <c r="L25" s="8"/>
      <c r="M25" s="8"/>
      <c r="N25" s="8"/>
      <c r="O25" s="8"/>
      <c r="P25" s="8"/>
      <c r="Q25" s="8"/>
      <c r="R25" s="8"/>
      <c r="S25" s="8"/>
      <c r="T25" s="8"/>
      <c r="U25" s="8"/>
      <c r="V25" s="8"/>
      <c r="W25" s="30"/>
      <c r="X25" s="15"/>
      <c r="Y25" s="15"/>
      <c r="Z25" s="15"/>
    </row>
    <row r="26" ht="13.2" spans="1:26">
      <c r="A26" s="26" t="str">
        <f t="shared" si="14"/>
        <v>ID-0014</v>
      </c>
      <c r="B26" s="30"/>
      <c r="C26" s="30"/>
      <c r="D26" s="38"/>
      <c r="E26" s="28"/>
      <c r="F26" s="28"/>
      <c r="G26" s="28"/>
      <c r="H26" s="8"/>
      <c r="I26" s="8"/>
      <c r="J26" s="8"/>
      <c r="K26" s="8"/>
      <c r="L26" s="8"/>
      <c r="M26" s="8"/>
      <c r="N26" s="8"/>
      <c r="O26" s="8"/>
      <c r="P26" s="8"/>
      <c r="Q26" s="8"/>
      <c r="R26" s="8"/>
      <c r="S26" s="8"/>
      <c r="T26" s="8"/>
      <c r="U26" s="8"/>
      <c r="V26" s="8"/>
      <c r="W26" s="30"/>
      <c r="X26" s="15"/>
      <c r="Y26" s="15"/>
      <c r="Z26" s="15"/>
    </row>
    <row r="27" customHeight="1" spans="1:26">
      <c r="A27" s="26" t="str">
        <f t="shared" si="14"/>
        <v>ID-0015</v>
      </c>
      <c r="B27" s="30"/>
      <c r="C27" s="30"/>
      <c r="D27" s="30"/>
      <c r="E27" s="30"/>
      <c r="F27" s="30"/>
      <c r="G27" s="30"/>
      <c r="H27" s="8"/>
      <c r="I27" s="8"/>
      <c r="J27" s="8"/>
      <c r="K27" s="8"/>
      <c r="L27" s="8"/>
      <c r="M27" s="8"/>
      <c r="N27" s="8"/>
      <c r="O27" s="8"/>
      <c r="P27" s="8"/>
      <c r="Q27" s="8"/>
      <c r="R27" s="8"/>
      <c r="S27" s="8"/>
      <c r="T27" s="8"/>
      <c r="U27" s="8"/>
      <c r="V27" s="8"/>
      <c r="W27" s="30"/>
      <c r="X27" s="15"/>
      <c r="Y27" s="15"/>
      <c r="Z27" s="15"/>
    </row>
    <row r="28" customHeight="1" spans="1:26">
      <c r="A28" s="26" t="str">
        <f t="shared" si="14"/>
        <v>ID-0016</v>
      </c>
      <c r="B28" s="30"/>
      <c r="C28" s="30"/>
      <c r="D28" s="30"/>
      <c r="E28" s="30"/>
      <c r="F28" s="30"/>
      <c r="G28" s="30"/>
      <c r="H28" s="8"/>
      <c r="I28" s="8"/>
      <c r="J28" s="8"/>
      <c r="K28" s="8"/>
      <c r="L28" s="8"/>
      <c r="M28" s="8"/>
      <c r="N28" s="8"/>
      <c r="O28" s="8"/>
      <c r="P28" s="8"/>
      <c r="Q28" s="8"/>
      <c r="R28" s="8"/>
      <c r="S28" s="8"/>
      <c r="T28" s="8"/>
      <c r="U28" s="8"/>
      <c r="V28" s="8"/>
      <c r="W28" s="30"/>
      <c r="X28" s="15"/>
      <c r="Y28" s="15"/>
      <c r="Z28" s="15"/>
    </row>
    <row r="29" customHeight="1" spans="1:26">
      <c r="A29" s="26" t="str">
        <f t="shared" si="14"/>
        <v>ID-0017</v>
      </c>
      <c r="B29" s="30"/>
      <c r="C29" s="30"/>
      <c r="D29" s="30"/>
      <c r="E29" s="30"/>
      <c r="F29" s="30"/>
      <c r="G29" s="30"/>
      <c r="H29" s="8"/>
      <c r="I29" s="8"/>
      <c r="J29" s="8"/>
      <c r="K29" s="8"/>
      <c r="L29" s="8"/>
      <c r="M29" s="8"/>
      <c r="N29" s="8"/>
      <c r="O29" s="8"/>
      <c r="P29" s="8"/>
      <c r="Q29" s="8"/>
      <c r="R29" s="8"/>
      <c r="S29" s="8"/>
      <c r="T29" s="8"/>
      <c r="U29" s="8"/>
      <c r="V29" s="8"/>
      <c r="W29" s="30"/>
      <c r="X29" s="15"/>
      <c r="Y29" s="15"/>
      <c r="Z29" s="15"/>
    </row>
    <row r="30" customHeight="1" spans="1:26">
      <c r="A30" s="26" t="str">
        <f t="shared" si="14"/>
        <v>ID-0018</v>
      </c>
      <c r="B30" s="30"/>
      <c r="C30" s="30"/>
      <c r="D30" s="30"/>
      <c r="E30" s="30"/>
      <c r="F30" s="30"/>
      <c r="G30" s="30"/>
      <c r="H30" s="8"/>
      <c r="I30" s="8"/>
      <c r="J30" s="8"/>
      <c r="K30" s="8"/>
      <c r="L30" s="8"/>
      <c r="M30" s="8"/>
      <c r="N30" s="8"/>
      <c r="O30" s="8"/>
      <c r="P30" s="8"/>
      <c r="Q30" s="8"/>
      <c r="R30" s="8"/>
      <c r="S30" s="8"/>
      <c r="T30" s="8"/>
      <c r="U30" s="8"/>
      <c r="V30" s="8"/>
      <c r="W30" s="30"/>
      <c r="X30" s="15"/>
      <c r="Y30" s="15"/>
      <c r="Z30" s="15"/>
    </row>
    <row r="31" customHeight="1" spans="1:26">
      <c r="A31" s="26" t="str">
        <f t="shared" si="14"/>
        <v>ID-0019</v>
      </c>
      <c r="B31" s="30"/>
      <c r="C31" s="30"/>
      <c r="D31" s="30"/>
      <c r="E31" s="30"/>
      <c r="F31" s="30"/>
      <c r="G31" s="30"/>
      <c r="H31" s="8"/>
      <c r="I31" s="8"/>
      <c r="J31" s="8"/>
      <c r="K31" s="8"/>
      <c r="L31" s="8"/>
      <c r="M31" s="8"/>
      <c r="N31" s="8"/>
      <c r="O31" s="8"/>
      <c r="P31" s="8"/>
      <c r="Q31" s="8"/>
      <c r="R31" s="8"/>
      <c r="S31" s="8"/>
      <c r="T31" s="8"/>
      <c r="U31" s="8"/>
      <c r="V31" s="8"/>
      <c r="W31" s="30"/>
      <c r="X31" s="15"/>
      <c r="Y31" s="15"/>
      <c r="Z31" s="15"/>
    </row>
    <row r="32" customHeight="1" spans="1:26">
      <c r="A32" s="26" t="str">
        <f t="shared" si="14"/>
        <v>ID-0020</v>
      </c>
      <c r="B32" s="30"/>
      <c r="C32" s="30"/>
      <c r="D32" s="30"/>
      <c r="E32" s="30"/>
      <c r="F32" s="30"/>
      <c r="G32" s="30"/>
      <c r="H32" s="8"/>
      <c r="I32" s="8"/>
      <c r="J32" s="8"/>
      <c r="K32" s="8"/>
      <c r="L32" s="8"/>
      <c r="M32" s="8"/>
      <c r="N32" s="8"/>
      <c r="O32" s="8"/>
      <c r="P32" s="8"/>
      <c r="Q32" s="8"/>
      <c r="R32" s="8"/>
      <c r="S32" s="8"/>
      <c r="T32" s="8"/>
      <c r="U32" s="8"/>
      <c r="V32" s="8"/>
      <c r="W32" s="30"/>
      <c r="X32" s="15"/>
      <c r="Y32" s="15"/>
      <c r="Z32" s="15"/>
    </row>
    <row r="33" customHeight="1" spans="1:26">
      <c r="A33" s="26" t="str">
        <f t="shared" si="14"/>
        <v>ID-0021</v>
      </c>
      <c r="B33" s="30"/>
      <c r="C33" s="30"/>
      <c r="D33" s="30"/>
      <c r="E33" s="30"/>
      <c r="F33" s="30"/>
      <c r="G33" s="30"/>
      <c r="H33" s="8"/>
      <c r="I33" s="8"/>
      <c r="J33" s="8"/>
      <c r="K33" s="8"/>
      <c r="L33" s="8"/>
      <c r="M33" s="8"/>
      <c r="N33" s="8"/>
      <c r="O33" s="8"/>
      <c r="P33" s="8"/>
      <c r="Q33" s="8"/>
      <c r="R33" s="8"/>
      <c r="S33" s="8"/>
      <c r="T33" s="8"/>
      <c r="U33" s="8"/>
      <c r="V33" s="8"/>
      <c r="W33" s="30"/>
      <c r="X33" s="15"/>
      <c r="Y33" s="15"/>
      <c r="Z33" s="15"/>
    </row>
    <row r="34" customHeight="1" spans="1:26">
      <c r="A34" s="26" t="str">
        <f t="shared" si="14"/>
        <v>ID-0022</v>
      </c>
      <c r="B34" s="30"/>
      <c r="C34" s="30"/>
      <c r="D34" s="30"/>
      <c r="E34" s="30"/>
      <c r="F34" s="30"/>
      <c r="G34" s="30"/>
      <c r="H34" s="8"/>
      <c r="I34" s="8"/>
      <c r="J34" s="8"/>
      <c r="K34" s="8"/>
      <c r="L34" s="8"/>
      <c r="M34" s="8"/>
      <c r="N34" s="8"/>
      <c r="O34" s="8"/>
      <c r="P34" s="8"/>
      <c r="Q34" s="8"/>
      <c r="R34" s="8"/>
      <c r="S34" s="8"/>
      <c r="T34" s="8"/>
      <c r="U34" s="8"/>
      <c r="V34" s="8"/>
      <c r="W34" s="30"/>
      <c r="X34" s="15"/>
      <c r="Y34" s="15"/>
      <c r="Z34" s="15"/>
    </row>
    <row r="35" customHeight="1" spans="1:26">
      <c r="A35" s="26" t="str">
        <f t="shared" si="14"/>
        <v>ID-0023</v>
      </c>
      <c r="B35" s="30"/>
      <c r="C35" s="30"/>
      <c r="D35" s="30"/>
      <c r="E35" s="30"/>
      <c r="F35" s="30"/>
      <c r="G35" s="30"/>
      <c r="H35" s="8"/>
      <c r="I35" s="8"/>
      <c r="J35" s="8"/>
      <c r="K35" s="8"/>
      <c r="L35" s="8"/>
      <c r="M35" s="8"/>
      <c r="N35" s="8"/>
      <c r="O35" s="8"/>
      <c r="P35" s="8"/>
      <c r="Q35" s="8"/>
      <c r="R35" s="8"/>
      <c r="S35" s="8"/>
      <c r="T35" s="8"/>
      <c r="U35" s="8"/>
      <c r="V35" s="8"/>
      <c r="W35" s="30"/>
      <c r="X35" s="15"/>
      <c r="Y35" s="15"/>
      <c r="Z35" s="15"/>
    </row>
    <row r="36" customHeight="1" spans="1:26">
      <c r="A36" s="26" t="str">
        <f t="shared" si="14"/>
        <v>ID-0024</v>
      </c>
      <c r="B36" s="30"/>
      <c r="C36" s="30"/>
      <c r="D36" s="30"/>
      <c r="E36" s="30"/>
      <c r="F36" s="30"/>
      <c r="G36" s="30"/>
      <c r="H36" s="8"/>
      <c r="I36" s="8"/>
      <c r="J36" s="8"/>
      <c r="K36" s="8"/>
      <c r="L36" s="8"/>
      <c r="M36" s="8"/>
      <c r="N36" s="8"/>
      <c r="O36" s="8"/>
      <c r="P36" s="8"/>
      <c r="Q36" s="8"/>
      <c r="R36" s="8"/>
      <c r="S36" s="8"/>
      <c r="T36" s="8"/>
      <c r="U36" s="8"/>
      <c r="V36" s="8"/>
      <c r="W36" s="30"/>
      <c r="X36" s="15"/>
      <c r="Y36" s="15"/>
      <c r="Z36" s="15"/>
    </row>
    <row r="37" customHeight="1" spans="1:26">
      <c r="A37" s="17"/>
      <c r="B37" s="15"/>
      <c r="C37" s="15"/>
      <c r="D37" s="15"/>
      <c r="E37" s="15"/>
      <c r="F37" s="15"/>
      <c r="G37" s="15"/>
      <c r="H37" s="16"/>
      <c r="I37" s="16"/>
      <c r="J37" s="16"/>
      <c r="K37" s="16"/>
      <c r="L37" s="16"/>
      <c r="M37" s="16"/>
      <c r="N37" s="16"/>
      <c r="O37" s="16"/>
      <c r="P37" s="16"/>
      <c r="Q37" s="16"/>
      <c r="R37" s="16"/>
      <c r="S37" s="16"/>
      <c r="T37" s="16"/>
      <c r="U37" s="16"/>
      <c r="V37" s="16"/>
      <c r="W37" s="15"/>
      <c r="X37" s="15"/>
      <c r="Y37" s="15"/>
      <c r="Z37" s="15"/>
    </row>
    <row r="38" customHeight="1" spans="1:26">
      <c r="A38" s="17"/>
      <c r="B38" s="15"/>
      <c r="C38" s="15"/>
      <c r="D38" s="15"/>
      <c r="E38" s="15"/>
      <c r="F38" s="15"/>
      <c r="G38" s="15"/>
      <c r="H38" s="16"/>
      <c r="I38" s="16"/>
      <c r="J38" s="16"/>
      <c r="K38" s="16"/>
      <c r="L38" s="16"/>
      <c r="M38" s="16"/>
      <c r="N38" s="16"/>
      <c r="O38" s="16"/>
      <c r="P38" s="16"/>
      <c r="Q38" s="16"/>
      <c r="R38" s="16"/>
      <c r="S38" s="16"/>
      <c r="T38" s="16"/>
      <c r="U38" s="16"/>
      <c r="V38" s="16"/>
      <c r="W38" s="15"/>
      <c r="X38" s="15"/>
      <c r="Y38" s="15"/>
      <c r="Z38" s="15"/>
    </row>
    <row r="39" customHeight="1" spans="1:26">
      <c r="A39" s="17"/>
      <c r="B39" s="15"/>
      <c r="C39" s="15"/>
      <c r="D39" s="15"/>
      <c r="E39" s="15"/>
      <c r="F39" s="15"/>
      <c r="G39" s="15"/>
      <c r="H39" s="16"/>
      <c r="I39" s="16"/>
      <c r="J39" s="16"/>
      <c r="K39" s="16"/>
      <c r="L39" s="16"/>
      <c r="M39" s="16"/>
      <c r="N39" s="16"/>
      <c r="O39" s="16"/>
      <c r="P39" s="16"/>
      <c r="Q39" s="16"/>
      <c r="R39" s="16"/>
      <c r="S39" s="16"/>
      <c r="T39" s="16"/>
      <c r="U39" s="16"/>
      <c r="V39" s="16"/>
      <c r="W39" s="15"/>
      <c r="X39" s="15"/>
      <c r="Y39" s="15"/>
      <c r="Z39" s="15"/>
    </row>
    <row r="40" customHeight="1" spans="1:26">
      <c r="A40" s="17"/>
      <c r="B40" s="15"/>
      <c r="C40" s="15"/>
      <c r="D40" s="15"/>
      <c r="E40" s="15"/>
      <c r="F40" s="15"/>
      <c r="G40" s="15"/>
      <c r="H40" s="16"/>
      <c r="I40" s="16"/>
      <c r="J40" s="16"/>
      <c r="K40" s="16"/>
      <c r="L40" s="16"/>
      <c r="M40" s="16"/>
      <c r="N40" s="16"/>
      <c r="O40" s="16"/>
      <c r="P40" s="16"/>
      <c r="Q40" s="16"/>
      <c r="R40" s="16"/>
      <c r="S40" s="16"/>
      <c r="T40" s="16"/>
      <c r="U40" s="16"/>
      <c r="V40" s="16"/>
      <c r="W40" s="15"/>
      <c r="X40" s="15"/>
      <c r="Y40" s="15"/>
      <c r="Z40" s="15"/>
    </row>
    <row r="41" customHeight="1" spans="1:26">
      <c r="A41" s="17"/>
      <c r="B41" s="15"/>
      <c r="C41" s="15"/>
      <c r="D41" s="15"/>
      <c r="E41" s="15"/>
      <c r="F41" s="15"/>
      <c r="G41" s="15"/>
      <c r="H41" s="16"/>
      <c r="I41" s="16"/>
      <c r="J41" s="16"/>
      <c r="K41" s="16"/>
      <c r="L41" s="16"/>
      <c r="M41" s="16"/>
      <c r="N41" s="16"/>
      <c r="O41" s="16"/>
      <c r="P41" s="16"/>
      <c r="Q41" s="16"/>
      <c r="R41" s="16"/>
      <c r="S41" s="16"/>
      <c r="T41" s="16"/>
      <c r="U41" s="16"/>
      <c r="V41" s="16"/>
      <c r="W41" s="15"/>
      <c r="X41" s="15"/>
      <c r="Y41" s="15"/>
      <c r="Z41" s="15"/>
    </row>
    <row r="42" customHeight="1" spans="1:26">
      <c r="A42" s="17"/>
      <c r="B42" s="15"/>
      <c r="C42" s="15"/>
      <c r="D42" s="15"/>
      <c r="E42" s="15"/>
      <c r="F42" s="15"/>
      <c r="G42" s="15"/>
      <c r="H42" s="16"/>
      <c r="I42" s="16"/>
      <c r="J42" s="16"/>
      <c r="K42" s="16"/>
      <c r="L42" s="16"/>
      <c r="M42" s="16"/>
      <c r="N42" s="16"/>
      <c r="O42" s="16"/>
      <c r="P42" s="16"/>
      <c r="Q42" s="16"/>
      <c r="R42" s="16"/>
      <c r="S42" s="16"/>
      <c r="T42" s="16"/>
      <c r="U42" s="16"/>
      <c r="V42" s="16"/>
      <c r="W42" s="15"/>
      <c r="X42" s="15"/>
      <c r="Y42" s="15"/>
      <c r="Z42" s="15"/>
    </row>
    <row r="43" customHeight="1" spans="1:26">
      <c r="A43" s="17"/>
      <c r="B43" s="15"/>
      <c r="C43" s="15"/>
      <c r="D43" s="15"/>
      <c r="E43" s="15"/>
      <c r="F43" s="15"/>
      <c r="G43" s="15"/>
      <c r="H43" s="16"/>
      <c r="I43" s="16"/>
      <c r="J43" s="16"/>
      <c r="K43" s="16"/>
      <c r="L43" s="16"/>
      <c r="M43" s="16"/>
      <c r="N43" s="16"/>
      <c r="O43" s="16"/>
      <c r="P43" s="16"/>
      <c r="Q43" s="16"/>
      <c r="R43" s="16"/>
      <c r="S43" s="16"/>
      <c r="T43" s="16"/>
      <c r="U43" s="16"/>
      <c r="V43" s="16"/>
      <c r="W43" s="15"/>
      <c r="X43" s="15"/>
      <c r="Y43" s="15"/>
      <c r="Z43" s="15"/>
    </row>
    <row r="44" customHeight="1" spans="1:26">
      <c r="A44" s="17"/>
      <c r="B44" s="15"/>
      <c r="C44" s="15"/>
      <c r="D44" s="15"/>
      <c r="E44" s="15"/>
      <c r="F44" s="15"/>
      <c r="G44" s="15"/>
      <c r="H44" s="16"/>
      <c r="I44" s="16"/>
      <c r="J44" s="16"/>
      <c r="K44" s="16"/>
      <c r="L44" s="16"/>
      <c r="M44" s="16"/>
      <c r="N44" s="16"/>
      <c r="O44" s="16"/>
      <c r="P44" s="16"/>
      <c r="Q44" s="16"/>
      <c r="R44" s="16"/>
      <c r="S44" s="16"/>
      <c r="T44" s="16"/>
      <c r="U44" s="16"/>
      <c r="V44" s="16"/>
      <c r="W44" s="15"/>
      <c r="X44" s="15"/>
      <c r="Y44" s="15"/>
      <c r="Z44" s="15"/>
    </row>
    <row r="45" customHeight="1" spans="1:26">
      <c r="A45" s="17"/>
      <c r="B45" s="15"/>
      <c r="C45" s="15"/>
      <c r="D45" s="15"/>
      <c r="E45" s="15"/>
      <c r="F45" s="15"/>
      <c r="G45" s="15"/>
      <c r="H45" s="16"/>
      <c r="I45" s="16"/>
      <c r="J45" s="16"/>
      <c r="K45" s="16"/>
      <c r="L45" s="16"/>
      <c r="M45" s="16"/>
      <c r="N45" s="16"/>
      <c r="O45" s="16"/>
      <c r="P45" s="16"/>
      <c r="Q45" s="16"/>
      <c r="R45" s="16"/>
      <c r="S45" s="16"/>
      <c r="T45" s="16"/>
      <c r="U45" s="16"/>
      <c r="V45" s="16"/>
      <c r="W45" s="15"/>
      <c r="X45" s="15"/>
      <c r="Y45" s="15"/>
      <c r="Z45" s="15"/>
    </row>
    <row r="46" customHeight="1" spans="1:26">
      <c r="A46" s="17"/>
      <c r="B46" s="15"/>
      <c r="C46" s="15"/>
      <c r="D46" s="15"/>
      <c r="E46" s="15"/>
      <c r="F46" s="15"/>
      <c r="G46" s="15"/>
      <c r="H46" s="16"/>
      <c r="I46" s="16"/>
      <c r="J46" s="16"/>
      <c r="K46" s="16"/>
      <c r="L46" s="16"/>
      <c r="M46" s="16"/>
      <c r="N46" s="16"/>
      <c r="O46" s="16"/>
      <c r="P46" s="16"/>
      <c r="Q46" s="16"/>
      <c r="R46" s="16"/>
      <c r="S46" s="16"/>
      <c r="T46" s="16"/>
      <c r="U46" s="16"/>
      <c r="V46" s="16"/>
      <c r="W46" s="15"/>
      <c r="X46" s="15"/>
      <c r="Y46" s="15"/>
      <c r="Z46" s="15"/>
    </row>
    <row r="47" customHeight="1" spans="1:26">
      <c r="A47" s="17"/>
      <c r="B47" s="15"/>
      <c r="C47" s="15"/>
      <c r="D47" s="15"/>
      <c r="E47" s="15"/>
      <c r="F47" s="15"/>
      <c r="G47" s="15"/>
      <c r="H47" s="16"/>
      <c r="I47" s="16"/>
      <c r="J47" s="16"/>
      <c r="K47" s="16"/>
      <c r="L47" s="16"/>
      <c r="M47" s="16"/>
      <c r="N47" s="16"/>
      <c r="O47" s="16"/>
      <c r="P47" s="16"/>
      <c r="Q47" s="16"/>
      <c r="R47" s="16"/>
      <c r="S47" s="16"/>
      <c r="T47" s="16"/>
      <c r="U47" s="16"/>
      <c r="V47" s="16"/>
      <c r="W47" s="15"/>
      <c r="X47" s="15"/>
      <c r="Y47" s="15"/>
      <c r="Z47" s="15"/>
    </row>
    <row r="48" customHeight="1" spans="1:26">
      <c r="A48" s="17"/>
      <c r="B48" s="15"/>
      <c r="C48" s="15"/>
      <c r="D48" s="15"/>
      <c r="E48" s="15"/>
      <c r="F48" s="15"/>
      <c r="G48" s="15"/>
      <c r="H48" s="16"/>
      <c r="I48" s="16"/>
      <c r="J48" s="16"/>
      <c r="K48" s="16"/>
      <c r="L48" s="16"/>
      <c r="M48" s="16"/>
      <c r="N48" s="16"/>
      <c r="O48" s="16"/>
      <c r="P48" s="16"/>
      <c r="Q48" s="16"/>
      <c r="R48" s="16"/>
      <c r="S48" s="16"/>
      <c r="T48" s="16"/>
      <c r="U48" s="16"/>
      <c r="V48" s="16"/>
      <c r="W48" s="15"/>
      <c r="X48" s="15"/>
      <c r="Y48" s="15"/>
      <c r="Z48" s="15"/>
    </row>
    <row r="49" customHeight="1" spans="1:26">
      <c r="A49" s="17"/>
      <c r="B49" s="15"/>
      <c r="C49" s="15"/>
      <c r="D49" s="15"/>
      <c r="E49" s="15"/>
      <c r="F49" s="15"/>
      <c r="G49" s="15"/>
      <c r="H49" s="16"/>
      <c r="I49" s="16"/>
      <c r="J49" s="16"/>
      <c r="K49" s="16"/>
      <c r="L49" s="16"/>
      <c r="M49" s="16"/>
      <c r="N49" s="16"/>
      <c r="O49" s="16"/>
      <c r="P49" s="16"/>
      <c r="Q49" s="16"/>
      <c r="R49" s="16"/>
      <c r="S49" s="16"/>
      <c r="T49" s="16"/>
      <c r="U49" s="16"/>
      <c r="V49" s="16"/>
      <c r="W49" s="15"/>
      <c r="X49" s="15"/>
      <c r="Y49" s="15"/>
      <c r="Z49" s="15"/>
    </row>
    <row r="50" customHeight="1" spans="1:26">
      <c r="A50" s="17"/>
      <c r="B50" s="15"/>
      <c r="C50" s="15"/>
      <c r="D50" s="15"/>
      <c r="E50" s="15"/>
      <c r="F50" s="15"/>
      <c r="G50" s="15"/>
      <c r="H50" s="16"/>
      <c r="I50" s="16"/>
      <c r="J50" s="16"/>
      <c r="K50" s="16"/>
      <c r="L50" s="16"/>
      <c r="M50" s="16"/>
      <c r="N50" s="16"/>
      <c r="O50" s="16"/>
      <c r="P50" s="16"/>
      <c r="Q50" s="16"/>
      <c r="R50" s="16"/>
      <c r="S50" s="16"/>
      <c r="T50" s="16"/>
      <c r="U50" s="16"/>
      <c r="V50" s="16"/>
      <c r="W50" s="15"/>
      <c r="X50" s="15"/>
      <c r="Y50" s="15"/>
      <c r="Z50" s="15"/>
    </row>
    <row r="51" customHeight="1" spans="1:26">
      <c r="A51" s="17"/>
      <c r="B51" s="15"/>
      <c r="C51" s="15"/>
      <c r="D51" s="15"/>
      <c r="E51" s="15"/>
      <c r="F51" s="15"/>
      <c r="G51" s="15"/>
      <c r="H51" s="16"/>
      <c r="I51" s="16"/>
      <c r="J51" s="16"/>
      <c r="K51" s="16"/>
      <c r="L51" s="16"/>
      <c r="M51" s="16"/>
      <c r="N51" s="16"/>
      <c r="O51" s="16"/>
      <c r="P51" s="16"/>
      <c r="Q51" s="16"/>
      <c r="R51" s="16"/>
      <c r="S51" s="16"/>
      <c r="T51" s="16"/>
      <c r="U51" s="16"/>
      <c r="V51" s="16"/>
      <c r="W51" s="15"/>
      <c r="X51" s="15"/>
      <c r="Y51" s="15"/>
      <c r="Z51" s="15"/>
    </row>
    <row r="52" customHeight="1" spans="1:26">
      <c r="A52" s="17"/>
      <c r="B52" s="15"/>
      <c r="C52" s="15"/>
      <c r="D52" s="15"/>
      <c r="E52" s="15"/>
      <c r="F52" s="15"/>
      <c r="G52" s="15"/>
      <c r="H52" s="16"/>
      <c r="I52" s="16"/>
      <c r="J52" s="16"/>
      <c r="K52" s="16"/>
      <c r="L52" s="16"/>
      <c r="M52" s="16"/>
      <c r="N52" s="16"/>
      <c r="O52" s="16"/>
      <c r="P52" s="16"/>
      <c r="Q52" s="16"/>
      <c r="R52" s="16"/>
      <c r="S52" s="16"/>
      <c r="T52" s="16"/>
      <c r="U52" s="16"/>
      <c r="V52" s="16"/>
      <c r="W52" s="15"/>
      <c r="X52" s="15"/>
      <c r="Y52" s="15"/>
      <c r="Z52" s="15"/>
    </row>
    <row r="53" customHeight="1" spans="1:26">
      <c r="A53" s="17"/>
      <c r="B53" s="15"/>
      <c r="C53" s="15"/>
      <c r="D53" s="15"/>
      <c r="E53" s="15"/>
      <c r="F53" s="15"/>
      <c r="G53" s="15"/>
      <c r="H53" s="16"/>
      <c r="I53" s="16"/>
      <c r="J53" s="16"/>
      <c r="K53" s="16"/>
      <c r="L53" s="16"/>
      <c r="M53" s="16"/>
      <c r="N53" s="16"/>
      <c r="O53" s="16"/>
      <c r="P53" s="16"/>
      <c r="Q53" s="16"/>
      <c r="R53" s="16"/>
      <c r="S53" s="16"/>
      <c r="T53" s="16"/>
      <c r="U53" s="16"/>
      <c r="V53" s="16"/>
      <c r="W53" s="15"/>
      <c r="X53" s="15"/>
      <c r="Y53" s="15"/>
      <c r="Z53" s="15"/>
    </row>
    <row r="54" customHeight="1" spans="1:26">
      <c r="A54" s="17"/>
      <c r="B54" s="15"/>
      <c r="C54" s="15"/>
      <c r="D54" s="15"/>
      <c r="E54" s="15"/>
      <c r="F54" s="15"/>
      <c r="G54" s="15"/>
      <c r="H54" s="16"/>
      <c r="I54" s="16"/>
      <c r="J54" s="16"/>
      <c r="K54" s="16"/>
      <c r="L54" s="16"/>
      <c r="M54" s="16"/>
      <c r="N54" s="16"/>
      <c r="O54" s="16"/>
      <c r="P54" s="16"/>
      <c r="Q54" s="16"/>
      <c r="R54" s="16"/>
      <c r="S54" s="16"/>
      <c r="T54" s="16"/>
      <c r="U54" s="16"/>
      <c r="V54" s="16"/>
      <c r="W54" s="15"/>
      <c r="X54" s="15"/>
      <c r="Y54" s="15"/>
      <c r="Z54" s="15"/>
    </row>
    <row r="55" customHeight="1" spans="1:26">
      <c r="A55" s="17"/>
      <c r="B55" s="15"/>
      <c r="C55" s="15"/>
      <c r="D55" s="15"/>
      <c r="E55" s="15"/>
      <c r="F55" s="15"/>
      <c r="G55" s="15"/>
      <c r="H55" s="16"/>
      <c r="I55" s="16"/>
      <c r="J55" s="16"/>
      <c r="K55" s="16"/>
      <c r="L55" s="16"/>
      <c r="M55" s="16"/>
      <c r="N55" s="16"/>
      <c r="O55" s="16"/>
      <c r="P55" s="16"/>
      <c r="Q55" s="16"/>
      <c r="R55" s="16"/>
      <c r="S55" s="16"/>
      <c r="T55" s="16"/>
      <c r="U55" s="16"/>
      <c r="V55" s="16"/>
      <c r="W55" s="15"/>
      <c r="X55" s="15"/>
      <c r="Y55" s="15"/>
      <c r="Z55" s="15"/>
    </row>
    <row r="56" customHeight="1" spans="1:26">
      <c r="A56" s="17"/>
      <c r="B56" s="15"/>
      <c r="C56" s="15"/>
      <c r="D56" s="15"/>
      <c r="E56" s="15"/>
      <c r="F56" s="15"/>
      <c r="G56" s="15"/>
      <c r="H56" s="16"/>
      <c r="I56" s="16"/>
      <c r="J56" s="16"/>
      <c r="K56" s="16"/>
      <c r="L56" s="16"/>
      <c r="M56" s="16"/>
      <c r="N56" s="16"/>
      <c r="O56" s="16"/>
      <c r="P56" s="16"/>
      <c r="Q56" s="16"/>
      <c r="R56" s="16"/>
      <c r="S56" s="16"/>
      <c r="T56" s="16"/>
      <c r="U56" s="16"/>
      <c r="V56" s="16"/>
      <c r="W56" s="15"/>
      <c r="X56" s="15"/>
      <c r="Y56" s="15"/>
      <c r="Z56" s="15"/>
    </row>
    <row r="57" customHeight="1" spans="1:26">
      <c r="A57" s="17"/>
      <c r="B57" s="15"/>
      <c r="C57" s="15"/>
      <c r="D57" s="15"/>
      <c r="E57" s="15"/>
      <c r="F57" s="15"/>
      <c r="G57" s="15"/>
      <c r="H57" s="16"/>
      <c r="I57" s="16"/>
      <c r="J57" s="16"/>
      <c r="K57" s="16"/>
      <c r="L57" s="16"/>
      <c r="M57" s="16"/>
      <c r="N57" s="16"/>
      <c r="O57" s="16"/>
      <c r="P57" s="16"/>
      <c r="Q57" s="16"/>
      <c r="R57" s="16"/>
      <c r="S57" s="16"/>
      <c r="T57" s="16"/>
      <c r="U57" s="16"/>
      <c r="V57" s="16"/>
      <c r="W57" s="15"/>
      <c r="X57" s="15"/>
      <c r="Y57" s="15"/>
      <c r="Z57" s="15"/>
    </row>
    <row r="58" customHeight="1" spans="1:26">
      <c r="A58" s="17"/>
      <c r="B58" s="15"/>
      <c r="C58" s="15"/>
      <c r="D58" s="15"/>
      <c r="E58" s="15"/>
      <c r="F58" s="15"/>
      <c r="G58" s="15"/>
      <c r="H58" s="16"/>
      <c r="I58" s="16"/>
      <c r="J58" s="16"/>
      <c r="K58" s="16"/>
      <c r="L58" s="16"/>
      <c r="M58" s="16"/>
      <c r="N58" s="16"/>
      <c r="O58" s="16"/>
      <c r="P58" s="16"/>
      <c r="Q58" s="16"/>
      <c r="R58" s="16"/>
      <c r="S58" s="16"/>
      <c r="T58" s="16"/>
      <c r="U58" s="16"/>
      <c r="V58" s="16"/>
      <c r="W58" s="15"/>
      <c r="X58" s="15"/>
      <c r="Y58" s="15"/>
      <c r="Z58" s="15"/>
    </row>
    <row r="59" customHeight="1" spans="1:26">
      <c r="A59" s="17"/>
      <c r="B59" s="15"/>
      <c r="C59" s="15"/>
      <c r="D59" s="15"/>
      <c r="E59" s="15"/>
      <c r="F59" s="15"/>
      <c r="G59" s="15"/>
      <c r="H59" s="16"/>
      <c r="I59" s="16"/>
      <c r="J59" s="16"/>
      <c r="K59" s="16"/>
      <c r="L59" s="16"/>
      <c r="M59" s="16"/>
      <c r="N59" s="16"/>
      <c r="O59" s="16"/>
      <c r="P59" s="16"/>
      <c r="Q59" s="16"/>
      <c r="R59" s="16"/>
      <c r="S59" s="16"/>
      <c r="T59" s="16"/>
      <c r="U59" s="16"/>
      <c r="V59" s="16"/>
      <c r="W59" s="15"/>
      <c r="X59" s="15"/>
      <c r="Y59" s="15"/>
      <c r="Z59" s="15"/>
    </row>
    <row r="60" customHeight="1" spans="1:26">
      <c r="A60" s="17"/>
      <c r="B60" s="15"/>
      <c r="C60" s="15"/>
      <c r="D60" s="15"/>
      <c r="E60" s="15"/>
      <c r="F60" s="15"/>
      <c r="G60" s="15"/>
      <c r="H60" s="16"/>
      <c r="I60" s="16"/>
      <c r="J60" s="16"/>
      <c r="K60" s="16"/>
      <c r="L60" s="16"/>
      <c r="M60" s="16"/>
      <c r="N60" s="16"/>
      <c r="O60" s="16"/>
      <c r="P60" s="16"/>
      <c r="Q60" s="16"/>
      <c r="R60" s="16"/>
      <c r="S60" s="16"/>
      <c r="T60" s="16"/>
      <c r="U60" s="16"/>
      <c r="V60" s="16"/>
      <c r="W60" s="15"/>
      <c r="X60" s="15"/>
      <c r="Y60" s="15"/>
      <c r="Z60" s="15"/>
    </row>
    <row r="61" customHeight="1" spans="1:26">
      <c r="A61" s="17"/>
      <c r="B61" s="15"/>
      <c r="C61" s="15"/>
      <c r="D61" s="15"/>
      <c r="E61" s="15"/>
      <c r="F61" s="15"/>
      <c r="G61" s="15"/>
      <c r="H61" s="16"/>
      <c r="I61" s="16"/>
      <c r="J61" s="16"/>
      <c r="K61" s="16"/>
      <c r="L61" s="16"/>
      <c r="M61" s="16"/>
      <c r="N61" s="16"/>
      <c r="O61" s="16"/>
      <c r="P61" s="16"/>
      <c r="Q61" s="16"/>
      <c r="R61" s="16"/>
      <c r="S61" s="16"/>
      <c r="T61" s="16"/>
      <c r="U61" s="16"/>
      <c r="V61" s="16"/>
      <c r="W61" s="15"/>
      <c r="X61" s="15"/>
      <c r="Y61" s="15"/>
      <c r="Z61" s="15"/>
    </row>
    <row r="62" customHeight="1" spans="1:26">
      <c r="A62" s="17"/>
      <c r="B62" s="15"/>
      <c r="C62" s="15"/>
      <c r="D62" s="15"/>
      <c r="E62" s="15"/>
      <c r="F62" s="15"/>
      <c r="G62" s="15"/>
      <c r="H62" s="16"/>
      <c r="I62" s="16"/>
      <c r="J62" s="16"/>
      <c r="K62" s="16"/>
      <c r="L62" s="16"/>
      <c r="M62" s="16"/>
      <c r="N62" s="16"/>
      <c r="O62" s="16"/>
      <c r="P62" s="16"/>
      <c r="Q62" s="16"/>
      <c r="R62" s="16"/>
      <c r="S62" s="16"/>
      <c r="T62" s="16"/>
      <c r="U62" s="16"/>
      <c r="V62" s="16"/>
      <c r="W62" s="15"/>
      <c r="X62" s="15"/>
      <c r="Y62" s="15"/>
      <c r="Z62" s="15"/>
    </row>
    <row r="63" customHeight="1" spans="1:26">
      <c r="A63" s="17"/>
      <c r="B63" s="15"/>
      <c r="C63" s="15"/>
      <c r="D63" s="15"/>
      <c r="E63" s="15"/>
      <c r="F63" s="15"/>
      <c r="G63" s="15"/>
      <c r="H63" s="16"/>
      <c r="I63" s="16"/>
      <c r="J63" s="16"/>
      <c r="K63" s="16"/>
      <c r="L63" s="16"/>
      <c r="M63" s="16"/>
      <c r="N63" s="16"/>
      <c r="O63" s="16"/>
      <c r="P63" s="16"/>
      <c r="Q63" s="16"/>
      <c r="R63" s="16"/>
      <c r="S63" s="16"/>
      <c r="T63" s="16"/>
      <c r="U63" s="16"/>
      <c r="V63" s="16"/>
      <c r="W63" s="15"/>
      <c r="X63" s="15"/>
      <c r="Y63" s="15"/>
      <c r="Z63" s="15"/>
    </row>
    <row r="64" customHeight="1" spans="1:26">
      <c r="A64" s="17"/>
      <c r="B64" s="15"/>
      <c r="C64" s="15"/>
      <c r="D64" s="15"/>
      <c r="E64" s="15"/>
      <c r="F64" s="15"/>
      <c r="G64" s="15"/>
      <c r="H64" s="16"/>
      <c r="I64" s="16"/>
      <c r="J64" s="16"/>
      <c r="K64" s="16"/>
      <c r="L64" s="16"/>
      <c r="M64" s="16"/>
      <c r="N64" s="16"/>
      <c r="O64" s="16"/>
      <c r="P64" s="16"/>
      <c r="Q64" s="16"/>
      <c r="R64" s="16"/>
      <c r="S64" s="16"/>
      <c r="T64" s="16"/>
      <c r="U64" s="16"/>
      <c r="V64" s="16"/>
      <c r="W64" s="15"/>
      <c r="X64" s="15"/>
      <c r="Y64" s="15"/>
      <c r="Z64" s="15"/>
    </row>
    <row r="65" customHeight="1" spans="1:26">
      <c r="A65" s="17"/>
      <c r="B65" s="15"/>
      <c r="C65" s="15"/>
      <c r="D65" s="15"/>
      <c r="E65" s="15"/>
      <c r="F65" s="15"/>
      <c r="G65" s="15"/>
      <c r="H65" s="16"/>
      <c r="I65" s="16"/>
      <c r="J65" s="16"/>
      <c r="K65" s="16"/>
      <c r="L65" s="16"/>
      <c r="M65" s="16"/>
      <c r="N65" s="16"/>
      <c r="O65" s="16"/>
      <c r="P65" s="16"/>
      <c r="Q65" s="16"/>
      <c r="R65" s="16"/>
      <c r="S65" s="16"/>
      <c r="T65" s="16"/>
      <c r="U65" s="16"/>
      <c r="V65" s="16"/>
      <c r="W65" s="15"/>
      <c r="X65" s="15"/>
      <c r="Y65" s="15"/>
      <c r="Z65" s="15"/>
    </row>
    <row r="66" customHeight="1" spans="1:26">
      <c r="A66" s="17"/>
      <c r="B66" s="15"/>
      <c r="C66" s="15"/>
      <c r="D66" s="15"/>
      <c r="E66" s="15"/>
      <c r="F66" s="15"/>
      <c r="G66" s="15"/>
      <c r="H66" s="16"/>
      <c r="I66" s="16"/>
      <c r="J66" s="16"/>
      <c r="K66" s="16"/>
      <c r="L66" s="16"/>
      <c r="M66" s="16"/>
      <c r="N66" s="16"/>
      <c r="O66" s="16"/>
      <c r="P66" s="16"/>
      <c r="Q66" s="16"/>
      <c r="R66" s="16"/>
      <c r="S66" s="16"/>
      <c r="T66" s="16"/>
      <c r="U66" s="16"/>
      <c r="V66" s="16"/>
      <c r="W66" s="15"/>
      <c r="X66" s="15"/>
      <c r="Y66" s="15"/>
      <c r="Z66" s="15"/>
    </row>
    <row r="67" customHeight="1" spans="1:26">
      <c r="A67" s="17"/>
      <c r="B67" s="15"/>
      <c r="C67" s="15"/>
      <c r="D67" s="15"/>
      <c r="E67" s="15"/>
      <c r="F67" s="15"/>
      <c r="G67" s="15"/>
      <c r="H67" s="16"/>
      <c r="I67" s="16"/>
      <c r="J67" s="16"/>
      <c r="K67" s="16"/>
      <c r="L67" s="16"/>
      <c r="M67" s="16"/>
      <c r="N67" s="16"/>
      <c r="O67" s="16"/>
      <c r="P67" s="16"/>
      <c r="Q67" s="16"/>
      <c r="R67" s="16"/>
      <c r="S67" s="16"/>
      <c r="T67" s="16"/>
      <c r="U67" s="16"/>
      <c r="V67" s="16"/>
      <c r="W67" s="15"/>
      <c r="X67" s="15"/>
      <c r="Y67" s="15"/>
      <c r="Z67" s="15"/>
    </row>
    <row r="68" customHeight="1" spans="1:26">
      <c r="A68" s="17"/>
      <c r="B68" s="15"/>
      <c r="C68" s="15"/>
      <c r="D68" s="15"/>
      <c r="E68" s="15"/>
      <c r="F68" s="15"/>
      <c r="G68" s="15"/>
      <c r="H68" s="16"/>
      <c r="I68" s="16"/>
      <c r="J68" s="16"/>
      <c r="K68" s="16"/>
      <c r="L68" s="16"/>
      <c r="M68" s="16"/>
      <c r="N68" s="16"/>
      <c r="O68" s="16"/>
      <c r="P68" s="16"/>
      <c r="Q68" s="16"/>
      <c r="R68" s="16"/>
      <c r="S68" s="16"/>
      <c r="T68" s="16"/>
      <c r="U68" s="16"/>
      <c r="V68" s="16"/>
      <c r="W68" s="15"/>
      <c r="X68" s="15"/>
      <c r="Y68" s="15"/>
      <c r="Z68" s="15"/>
    </row>
    <row r="69" customHeight="1" spans="1:26">
      <c r="A69" s="17"/>
      <c r="B69" s="15"/>
      <c r="C69" s="15"/>
      <c r="D69" s="15"/>
      <c r="E69" s="15"/>
      <c r="F69" s="15"/>
      <c r="G69" s="15"/>
      <c r="H69" s="16"/>
      <c r="I69" s="16"/>
      <c r="J69" s="16"/>
      <c r="K69" s="16"/>
      <c r="L69" s="16"/>
      <c r="M69" s="16"/>
      <c r="N69" s="16"/>
      <c r="O69" s="16"/>
      <c r="P69" s="16"/>
      <c r="Q69" s="16"/>
      <c r="R69" s="16"/>
      <c r="S69" s="16"/>
      <c r="T69" s="16"/>
      <c r="U69" s="16"/>
      <c r="V69" s="16"/>
      <c r="W69" s="15"/>
      <c r="X69" s="15"/>
      <c r="Y69" s="15"/>
      <c r="Z69" s="15"/>
    </row>
    <row r="70" customHeight="1" spans="1:26">
      <c r="A70" s="17"/>
      <c r="B70" s="15"/>
      <c r="C70" s="15"/>
      <c r="D70" s="15"/>
      <c r="E70" s="15"/>
      <c r="F70" s="15"/>
      <c r="G70" s="15"/>
      <c r="H70" s="16"/>
      <c r="I70" s="16"/>
      <c r="J70" s="16"/>
      <c r="K70" s="16"/>
      <c r="L70" s="16"/>
      <c r="M70" s="16"/>
      <c r="N70" s="16"/>
      <c r="O70" s="16"/>
      <c r="P70" s="16"/>
      <c r="Q70" s="16"/>
      <c r="R70" s="16"/>
      <c r="S70" s="16"/>
      <c r="T70" s="16"/>
      <c r="U70" s="16"/>
      <c r="V70" s="16"/>
      <c r="W70" s="15"/>
      <c r="X70" s="15"/>
      <c r="Y70" s="15"/>
      <c r="Z70" s="15"/>
    </row>
    <row r="71" customHeight="1" spans="1:26">
      <c r="A71" s="17"/>
      <c r="B71" s="15"/>
      <c r="C71" s="15"/>
      <c r="D71" s="15"/>
      <c r="E71" s="15"/>
      <c r="F71" s="15"/>
      <c r="G71" s="15"/>
      <c r="H71" s="16"/>
      <c r="I71" s="16"/>
      <c r="J71" s="16"/>
      <c r="K71" s="16"/>
      <c r="L71" s="16"/>
      <c r="M71" s="16"/>
      <c r="N71" s="16"/>
      <c r="O71" s="16"/>
      <c r="P71" s="16"/>
      <c r="Q71" s="16"/>
      <c r="R71" s="16"/>
      <c r="S71" s="16"/>
      <c r="T71" s="16"/>
      <c r="U71" s="16"/>
      <c r="V71" s="16"/>
      <c r="W71" s="15"/>
      <c r="X71" s="15"/>
      <c r="Y71" s="15"/>
      <c r="Z71" s="15"/>
    </row>
    <row r="72" customHeight="1" spans="1:26">
      <c r="A72" s="17"/>
      <c r="B72" s="15"/>
      <c r="C72" s="15"/>
      <c r="D72" s="15"/>
      <c r="E72" s="15"/>
      <c r="F72" s="15"/>
      <c r="G72" s="15"/>
      <c r="H72" s="16"/>
      <c r="I72" s="16"/>
      <c r="J72" s="16"/>
      <c r="K72" s="16"/>
      <c r="L72" s="16"/>
      <c r="M72" s="16"/>
      <c r="N72" s="16"/>
      <c r="O72" s="16"/>
      <c r="P72" s="16"/>
      <c r="Q72" s="16"/>
      <c r="R72" s="16"/>
      <c r="S72" s="16"/>
      <c r="T72" s="16"/>
      <c r="U72" s="16"/>
      <c r="V72" s="16"/>
      <c r="W72" s="15"/>
      <c r="X72" s="15"/>
      <c r="Y72" s="15"/>
      <c r="Z72" s="15"/>
    </row>
    <row r="73" customHeight="1" spans="1:26">
      <c r="A73" s="17"/>
      <c r="B73" s="15"/>
      <c r="C73" s="15"/>
      <c r="D73" s="15"/>
      <c r="E73" s="15"/>
      <c r="F73" s="15"/>
      <c r="G73" s="15"/>
      <c r="H73" s="16"/>
      <c r="I73" s="16"/>
      <c r="J73" s="16"/>
      <c r="K73" s="16"/>
      <c r="L73" s="16"/>
      <c r="M73" s="16"/>
      <c r="N73" s="16"/>
      <c r="O73" s="16"/>
      <c r="P73" s="16"/>
      <c r="Q73" s="16"/>
      <c r="R73" s="16"/>
      <c r="S73" s="16"/>
      <c r="T73" s="16"/>
      <c r="U73" s="16"/>
      <c r="V73" s="16"/>
      <c r="W73" s="15"/>
      <c r="X73" s="15"/>
      <c r="Y73" s="15"/>
      <c r="Z73" s="15"/>
    </row>
    <row r="74" customHeight="1" spans="1:26">
      <c r="A74" s="17"/>
      <c r="B74" s="15"/>
      <c r="C74" s="15"/>
      <c r="D74" s="15"/>
      <c r="E74" s="15"/>
      <c r="F74" s="15"/>
      <c r="G74" s="15"/>
      <c r="H74" s="16"/>
      <c r="I74" s="16"/>
      <c r="J74" s="16"/>
      <c r="K74" s="16"/>
      <c r="L74" s="16"/>
      <c r="M74" s="16"/>
      <c r="N74" s="16"/>
      <c r="O74" s="16"/>
      <c r="P74" s="16"/>
      <c r="Q74" s="16"/>
      <c r="R74" s="16"/>
      <c r="S74" s="16"/>
      <c r="T74" s="16"/>
      <c r="U74" s="16"/>
      <c r="V74" s="16"/>
      <c r="W74" s="15"/>
      <c r="X74" s="15"/>
      <c r="Y74" s="15"/>
      <c r="Z74" s="15"/>
    </row>
    <row r="75" customHeight="1" spans="1:26">
      <c r="A75" s="17"/>
      <c r="B75" s="15"/>
      <c r="C75" s="15"/>
      <c r="D75" s="15"/>
      <c r="E75" s="15"/>
      <c r="F75" s="15"/>
      <c r="G75" s="15"/>
      <c r="H75" s="16"/>
      <c r="I75" s="16"/>
      <c r="J75" s="16"/>
      <c r="K75" s="16"/>
      <c r="L75" s="16"/>
      <c r="M75" s="16"/>
      <c r="N75" s="16"/>
      <c r="O75" s="16"/>
      <c r="P75" s="16"/>
      <c r="Q75" s="16"/>
      <c r="R75" s="16"/>
      <c r="S75" s="16"/>
      <c r="T75" s="16"/>
      <c r="U75" s="16"/>
      <c r="V75" s="16"/>
      <c r="W75" s="15"/>
      <c r="X75" s="15"/>
      <c r="Y75" s="15"/>
      <c r="Z75" s="15"/>
    </row>
    <row r="76" customHeight="1" spans="1:26">
      <c r="A76" s="17"/>
      <c r="B76" s="15"/>
      <c r="C76" s="15"/>
      <c r="D76" s="15"/>
      <c r="E76" s="15"/>
      <c r="F76" s="15"/>
      <c r="G76" s="15"/>
      <c r="H76" s="16"/>
      <c r="I76" s="16"/>
      <c r="J76" s="16"/>
      <c r="K76" s="16"/>
      <c r="L76" s="16"/>
      <c r="M76" s="16"/>
      <c r="N76" s="16"/>
      <c r="O76" s="16"/>
      <c r="P76" s="16"/>
      <c r="Q76" s="16"/>
      <c r="R76" s="16"/>
      <c r="S76" s="16"/>
      <c r="T76" s="16"/>
      <c r="U76" s="16"/>
      <c r="V76" s="16"/>
      <c r="W76" s="15"/>
      <c r="X76" s="15"/>
      <c r="Y76" s="15"/>
      <c r="Z76" s="15"/>
    </row>
    <row r="77" customHeight="1" spans="1:26">
      <c r="A77" s="17"/>
      <c r="B77" s="15"/>
      <c r="C77" s="15"/>
      <c r="D77" s="15"/>
      <c r="E77" s="15"/>
      <c r="F77" s="15"/>
      <c r="G77" s="15"/>
      <c r="H77" s="16"/>
      <c r="I77" s="16"/>
      <c r="J77" s="16"/>
      <c r="K77" s="16"/>
      <c r="L77" s="16"/>
      <c r="M77" s="16"/>
      <c r="N77" s="16"/>
      <c r="O77" s="16"/>
      <c r="P77" s="16"/>
      <c r="Q77" s="16"/>
      <c r="R77" s="16"/>
      <c r="S77" s="16"/>
      <c r="T77" s="16"/>
      <c r="U77" s="16"/>
      <c r="V77" s="16"/>
      <c r="W77" s="15"/>
      <c r="X77" s="15"/>
      <c r="Y77" s="15"/>
      <c r="Z77" s="15"/>
    </row>
    <row r="78" customHeight="1" spans="1:26">
      <c r="A78" s="17"/>
      <c r="B78" s="15"/>
      <c r="C78" s="15"/>
      <c r="D78" s="15"/>
      <c r="E78" s="15"/>
      <c r="F78" s="15"/>
      <c r="G78" s="15"/>
      <c r="H78" s="16"/>
      <c r="I78" s="16"/>
      <c r="J78" s="16"/>
      <c r="K78" s="16"/>
      <c r="L78" s="16"/>
      <c r="M78" s="16"/>
      <c r="N78" s="16"/>
      <c r="O78" s="16"/>
      <c r="P78" s="16"/>
      <c r="Q78" s="16"/>
      <c r="R78" s="16"/>
      <c r="S78" s="16"/>
      <c r="T78" s="16"/>
      <c r="U78" s="16"/>
      <c r="V78" s="16"/>
      <c r="W78" s="15"/>
      <c r="X78" s="15"/>
      <c r="Y78" s="15"/>
      <c r="Z78" s="15"/>
    </row>
    <row r="79" customHeight="1" spans="1:26">
      <c r="A79" s="17"/>
      <c r="B79" s="15"/>
      <c r="C79" s="15"/>
      <c r="D79" s="15"/>
      <c r="E79" s="15"/>
      <c r="F79" s="15"/>
      <c r="G79" s="15"/>
      <c r="H79" s="16"/>
      <c r="I79" s="16"/>
      <c r="J79" s="16"/>
      <c r="K79" s="16"/>
      <c r="L79" s="16"/>
      <c r="M79" s="16"/>
      <c r="N79" s="16"/>
      <c r="O79" s="16"/>
      <c r="P79" s="16"/>
      <c r="Q79" s="16"/>
      <c r="R79" s="16"/>
      <c r="S79" s="16"/>
      <c r="T79" s="16"/>
      <c r="U79" s="16"/>
      <c r="V79" s="16"/>
      <c r="W79" s="15"/>
      <c r="X79" s="15"/>
      <c r="Y79" s="15"/>
      <c r="Z79" s="15"/>
    </row>
    <row r="80" customHeight="1" spans="1:26">
      <c r="A80" s="17"/>
      <c r="B80" s="15"/>
      <c r="C80" s="15"/>
      <c r="D80" s="15"/>
      <c r="E80" s="15"/>
      <c r="F80" s="15"/>
      <c r="G80" s="15"/>
      <c r="H80" s="16"/>
      <c r="I80" s="16"/>
      <c r="J80" s="16"/>
      <c r="K80" s="16"/>
      <c r="L80" s="16"/>
      <c r="M80" s="16"/>
      <c r="N80" s="16"/>
      <c r="O80" s="16"/>
      <c r="P80" s="16"/>
      <c r="Q80" s="16"/>
      <c r="R80" s="16"/>
      <c r="S80" s="16"/>
      <c r="T80" s="16"/>
      <c r="U80" s="16"/>
      <c r="V80" s="16"/>
      <c r="W80" s="15"/>
      <c r="X80" s="15"/>
      <c r="Y80" s="15"/>
      <c r="Z80" s="15"/>
    </row>
    <row r="81" customHeight="1" spans="1:26">
      <c r="A81" s="17"/>
      <c r="B81" s="15"/>
      <c r="C81" s="15"/>
      <c r="D81" s="15"/>
      <c r="E81" s="15"/>
      <c r="F81" s="15"/>
      <c r="G81" s="15"/>
      <c r="H81" s="16"/>
      <c r="I81" s="16"/>
      <c r="J81" s="16"/>
      <c r="K81" s="16"/>
      <c r="L81" s="16"/>
      <c r="M81" s="16"/>
      <c r="N81" s="16"/>
      <c r="O81" s="16"/>
      <c r="P81" s="16"/>
      <c r="Q81" s="16"/>
      <c r="R81" s="16"/>
      <c r="S81" s="16"/>
      <c r="T81" s="16"/>
      <c r="U81" s="16"/>
      <c r="V81" s="16"/>
      <c r="W81" s="15"/>
      <c r="X81" s="15"/>
      <c r="Y81" s="15"/>
      <c r="Z81" s="15"/>
    </row>
    <row r="82" customHeight="1" spans="1:26">
      <c r="A82" s="17"/>
      <c r="B82" s="15"/>
      <c r="C82" s="15"/>
      <c r="D82" s="15"/>
      <c r="E82" s="15"/>
      <c r="F82" s="15"/>
      <c r="G82" s="15"/>
      <c r="H82" s="16"/>
      <c r="I82" s="16"/>
      <c r="J82" s="16"/>
      <c r="K82" s="16"/>
      <c r="L82" s="16"/>
      <c r="M82" s="16"/>
      <c r="N82" s="16"/>
      <c r="O82" s="16"/>
      <c r="P82" s="16"/>
      <c r="Q82" s="16"/>
      <c r="R82" s="16"/>
      <c r="S82" s="16"/>
      <c r="T82" s="16"/>
      <c r="U82" s="16"/>
      <c r="V82" s="16"/>
      <c r="W82" s="15"/>
      <c r="X82" s="15"/>
      <c r="Y82" s="15"/>
      <c r="Z82" s="15"/>
    </row>
    <row r="83" customHeight="1" spans="1:26">
      <c r="A83" s="17"/>
      <c r="B83" s="15"/>
      <c r="C83" s="15"/>
      <c r="D83" s="15"/>
      <c r="E83" s="15"/>
      <c r="F83" s="15"/>
      <c r="G83" s="15"/>
      <c r="H83" s="16"/>
      <c r="I83" s="16"/>
      <c r="J83" s="16"/>
      <c r="K83" s="16"/>
      <c r="L83" s="16"/>
      <c r="M83" s="16"/>
      <c r="N83" s="16"/>
      <c r="O83" s="16"/>
      <c r="P83" s="16"/>
      <c r="Q83" s="16"/>
      <c r="R83" s="16"/>
      <c r="S83" s="16"/>
      <c r="T83" s="16"/>
      <c r="U83" s="16"/>
      <c r="V83" s="16"/>
      <c r="W83" s="15"/>
      <c r="X83" s="15"/>
      <c r="Y83" s="15"/>
      <c r="Z83" s="15"/>
    </row>
    <row r="84" customHeight="1" spans="1:26">
      <c r="A84" s="17"/>
      <c r="B84" s="15"/>
      <c r="C84" s="15"/>
      <c r="D84" s="15"/>
      <c r="E84" s="15"/>
      <c r="F84" s="15"/>
      <c r="G84" s="15"/>
      <c r="H84" s="16"/>
      <c r="I84" s="16"/>
      <c r="J84" s="16"/>
      <c r="K84" s="16"/>
      <c r="L84" s="16"/>
      <c r="M84" s="16"/>
      <c r="N84" s="16"/>
      <c r="O84" s="16"/>
      <c r="P84" s="16"/>
      <c r="Q84" s="16"/>
      <c r="R84" s="16"/>
      <c r="S84" s="16"/>
      <c r="T84" s="16"/>
      <c r="U84" s="16"/>
      <c r="V84" s="16"/>
      <c r="W84" s="15"/>
      <c r="X84" s="15"/>
      <c r="Y84" s="15"/>
      <c r="Z84" s="15"/>
    </row>
    <row r="85" customHeight="1" spans="1:26">
      <c r="A85" s="17"/>
      <c r="B85" s="15"/>
      <c r="C85" s="15"/>
      <c r="D85" s="15"/>
      <c r="E85" s="15"/>
      <c r="F85" s="15"/>
      <c r="G85" s="15"/>
      <c r="H85" s="16"/>
      <c r="I85" s="16"/>
      <c r="J85" s="16"/>
      <c r="K85" s="16"/>
      <c r="L85" s="16"/>
      <c r="M85" s="16"/>
      <c r="N85" s="16"/>
      <c r="O85" s="16"/>
      <c r="P85" s="16"/>
      <c r="Q85" s="16"/>
      <c r="R85" s="16"/>
      <c r="S85" s="16"/>
      <c r="T85" s="16"/>
      <c r="U85" s="16"/>
      <c r="V85" s="16"/>
      <c r="W85" s="15"/>
      <c r="X85" s="15"/>
      <c r="Y85" s="15"/>
      <c r="Z85" s="15"/>
    </row>
    <row r="86" customHeight="1" spans="1:26">
      <c r="A86" s="17"/>
      <c r="B86" s="15"/>
      <c r="C86" s="15"/>
      <c r="D86" s="15"/>
      <c r="E86" s="15"/>
      <c r="F86" s="15"/>
      <c r="G86" s="15"/>
      <c r="H86" s="16"/>
      <c r="I86" s="16"/>
      <c r="J86" s="16"/>
      <c r="K86" s="16"/>
      <c r="L86" s="16"/>
      <c r="M86" s="16"/>
      <c r="N86" s="16"/>
      <c r="O86" s="16"/>
      <c r="P86" s="16"/>
      <c r="Q86" s="16"/>
      <c r="R86" s="16"/>
      <c r="S86" s="16"/>
      <c r="T86" s="16"/>
      <c r="U86" s="16"/>
      <c r="V86" s="16"/>
      <c r="W86" s="15"/>
      <c r="X86" s="15"/>
      <c r="Y86" s="15"/>
      <c r="Z86" s="15"/>
    </row>
    <row r="87" customHeight="1" spans="1:26">
      <c r="A87" s="17"/>
      <c r="B87" s="15"/>
      <c r="C87" s="15"/>
      <c r="D87" s="15"/>
      <c r="E87" s="15"/>
      <c r="F87" s="15"/>
      <c r="G87" s="15"/>
      <c r="H87" s="16"/>
      <c r="I87" s="16"/>
      <c r="J87" s="16"/>
      <c r="K87" s="16"/>
      <c r="L87" s="16"/>
      <c r="M87" s="16"/>
      <c r="N87" s="16"/>
      <c r="O87" s="16"/>
      <c r="P87" s="16"/>
      <c r="Q87" s="16"/>
      <c r="R87" s="16"/>
      <c r="S87" s="16"/>
      <c r="T87" s="16"/>
      <c r="U87" s="16"/>
      <c r="V87" s="16"/>
      <c r="W87" s="15"/>
      <c r="X87" s="15"/>
      <c r="Y87" s="15"/>
      <c r="Z87" s="15"/>
    </row>
    <row r="88" customHeight="1" spans="1:26">
      <c r="A88" s="17"/>
      <c r="B88" s="15"/>
      <c r="C88" s="15"/>
      <c r="D88" s="15"/>
      <c r="E88" s="15"/>
      <c r="F88" s="15"/>
      <c r="G88" s="15"/>
      <c r="H88" s="16"/>
      <c r="I88" s="16"/>
      <c r="J88" s="16"/>
      <c r="K88" s="16"/>
      <c r="L88" s="16"/>
      <c r="M88" s="16"/>
      <c r="N88" s="16"/>
      <c r="O88" s="16"/>
      <c r="P88" s="16"/>
      <c r="Q88" s="16"/>
      <c r="R88" s="16"/>
      <c r="S88" s="16"/>
      <c r="T88" s="16"/>
      <c r="U88" s="16"/>
      <c r="V88" s="16"/>
      <c r="W88" s="15"/>
      <c r="X88" s="15"/>
      <c r="Y88" s="15"/>
      <c r="Z88" s="15"/>
    </row>
    <row r="89" customHeight="1" spans="1:26">
      <c r="A89" s="17"/>
      <c r="B89" s="15"/>
      <c r="C89" s="15"/>
      <c r="D89" s="15"/>
      <c r="E89" s="15"/>
      <c r="F89" s="15"/>
      <c r="G89" s="15"/>
      <c r="H89" s="16"/>
      <c r="I89" s="16"/>
      <c r="J89" s="16"/>
      <c r="K89" s="16"/>
      <c r="L89" s="16"/>
      <c r="M89" s="16"/>
      <c r="N89" s="16"/>
      <c r="O89" s="16"/>
      <c r="P89" s="16"/>
      <c r="Q89" s="16"/>
      <c r="R89" s="16"/>
      <c r="S89" s="16"/>
      <c r="T89" s="16"/>
      <c r="U89" s="16"/>
      <c r="V89" s="16"/>
      <c r="W89" s="15"/>
      <c r="X89" s="15"/>
      <c r="Y89" s="15"/>
      <c r="Z89" s="15"/>
    </row>
    <row r="90" customHeight="1" spans="1:26">
      <c r="A90" s="17"/>
      <c r="B90" s="15"/>
      <c r="C90" s="15"/>
      <c r="D90" s="15"/>
      <c r="E90" s="15"/>
      <c r="F90" s="15"/>
      <c r="G90" s="15"/>
      <c r="H90" s="16"/>
      <c r="I90" s="16"/>
      <c r="J90" s="16"/>
      <c r="K90" s="16"/>
      <c r="L90" s="16"/>
      <c r="M90" s="16"/>
      <c r="N90" s="16"/>
      <c r="O90" s="16"/>
      <c r="P90" s="16"/>
      <c r="Q90" s="16"/>
      <c r="R90" s="16"/>
      <c r="S90" s="16"/>
      <c r="T90" s="16"/>
      <c r="U90" s="16"/>
      <c r="V90" s="16"/>
      <c r="W90" s="15"/>
      <c r="X90" s="15"/>
      <c r="Y90" s="15"/>
      <c r="Z90" s="15"/>
    </row>
    <row r="91" customHeight="1" spans="1:26">
      <c r="A91" s="17"/>
      <c r="B91" s="15"/>
      <c r="C91" s="15"/>
      <c r="D91" s="15"/>
      <c r="E91" s="15"/>
      <c r="F91" s="15"/>
      <c r="G91" s="15"/>
      <c r="H91" s="16"/>
      <c r="I91" s="16"/>
      <c r="J91" s="16"/>
      <c r="K91" s="16"/>
      <c r="L91" s="16"/>
      <c r="M91" s="16"/>
      <c r="N91" s="16"/>
      <c r="O91" s="16"/>
      <c r="P91" s="16"/>
      <c r="Q91" s="16"/>
      <c r="R91" s="16"/>
      <c r="S91" s="16"/>
      <c r="T91" s="16"/>
      <c r="U91" s="16"/>
      <c r="V91" s="16"/>
      <c r="W91" s="15"/>
      <c r="X91" s="15"/>
      <c r="Y91" s="15"/>
      <c r="Z91" s="15"/>
    </row>
    <row r="92" customHeight="1" spans="1:26">
      <c r="A92" s="17"/>
      <c r="B92" s="15"/>
      <c r="C92" s="15"/>
      <c r="D92" s="15"/>
      <c r="E92" s="15"/>
      <c r="F92" s="15"/>
      <c r="G92" s="15"/>
      <c r="H92" s="16"/>
      <c r="I92" s="16"/>
      <c r="J92" s="16"/>
      <c r="K92" s="16"/>
      <c r="L92" s="16"/>
      <c r="M92" s="16"/>
      <c r="N92" s="16"/>
      <c r="O92" s="16"/>
      <c r="P92" s="16"/>
      <c r="Q92" s="16"/>
      <c r="R92" s="16"/>
      <c r="S92" s="16"/>
      <c r="T92" s="16"/>
      <c r="U92" s="16"/>
      <c r="V92" s="16"/>
      <c r="W92" s="15"/>
      <c r="X92" s="15"/>
      <c r="Y92" s="15"/>
      <c r="Z92" s="15"/>
    </row>
    <row r="93" customHeight="1" spans="1:26">
      <c r="A93" s="17"/>
      <c r="B93" s="15"/>
      <c r="C93" s="15"/>
      <c r="D93" s="15"/>
      <c r="E93" s="15"/>
      <c r="F93" s="15"/>
      <c r="G93" s="15"/>
      <c r="H93" s="16"/>
      <c r="I93" s="16"/>
      <c r="J93" s="16"/>
      <c r="K93" s="16"/>
      <c r="L93" s="16"/>
      <c r="M93" s="16"/>
      <c r="N93" s="16"/>
      <c r="O93" s="16"/>
      <c r="P93" s="16"/>
      <c r="Q93" s="16"/>
      <c r="R93" s="16"/>
      <c r="S93" s="16"/>
      <c r="T93" s="16"/>
      <c r="U93" s="16"/>
      <c r="V93" s="16"/>
      <c r="W93" s="15"/>
      <c r="X93" s="15"/>
      <c r="Y93" s="15"/>
      <c r="Z93" s="15"/>
    </row>
    <row r="94" customHeight="1" spans="1:26">
      <c r="A94" s="17"/>
      <c r="B94" s="15"/>
      <c r="C94" s="15"/>
      <c r="D94" s="15"/>
      <c r="E94" s="15"/>
      <c r="F94" s="15"/>
      <c r="G94" s="15"/>
      <c r="H94" s="16"/>
      <c r="I94" s="16"/>
      <c r="J94" s="16"/>
      <c r="K94" s="16"/>
      <c r="L94" s="16"/>
      <c r="M94" s="16"/>
      <c r="N94" s="16"/>
      <c r="O94" s="16"/>
      <c r="P94" s="16"/>
      <c r="Q94" s="16"/>
      <c r="R94" s="16"/>
      <c r="S94" s="16"/>
      <c r="T94" s="16"/>
      <c r="U94" s="16"/>
      <c r="V94" s="16"/>
      <c r="W94" s="15"/>
      <c r="X94" s="15"/>
      <c r="Y94" s="15"/>
      <c r="Z94" s="15"/>
    </row>
    <row r="95" customHeight="1" spans="1:26">
      <c r="A95" s="17"/>
      <c r="B95" s="15"/>
      <c r="C95" s="15"/>
      <c r="D95" s="15"/>
      <c r="E95" s="15"/>
      <c r="F95" s="15"/>
      <c r="G95" s="15"/>
      <c r="H95" s="16"/>
      <c r="I95" s="16"/>
      <c r="J95" s="16"/>
      <c r="K95" s="16"/>
      <c r="L95" s="16"/>
      <c r="M95" s="16"/>
      <c r="N95" s="16"/>
      <c r="O95" s="16"/>
      <c r="P95" s="16"/>
      <c r="Q95" s="16"/>
      <c r="R95" s="16"/>
      <c r="S95" s="16"/>
      <c r="T95" s="16"/>
      <c r="U95" s="16"/>
      <c r="V95" s="16"/>
      <c r="W95" s="15"/>
      <c r="X95" s="15"/>
      <c r="Y95" s="15"/>
      <c r="Z95" s="15"/>
    </row>
    <row r="96" customHeight="1" spans="1:26">
      <c r="A96" s="17"/>
      <c r="B96" s="15"/>
      <c r="C96" s="15"/>
      <c r="D96" s="15"/>
      <c r="E96" s="15"/>
      <c r="F96" s="15"/>
      <c r="G96" s="15"/>
      <c r="H96" s="16"/>
      <c r="I96" s="16"/>
      <c r="J96" s="16"/>
      <c r="K96" s="16"/>
      <c r="L96" s="16"/>
      <c r="M96" s="16"/>
      <c r="N96" s="16"/>
      <c r="O96" s="16"/>
      <c r="P96" s="16"/>
      <c r="Q96" s="16"/>
      <c r="R96" s="16"/>
      <c r="S96" s="16"/>
      <c r="T96" s="16"/>
      <c r="U96" s="16"/>
      <c r="V96" s="16"/>
      <c r="W96" s="15"/>
      <c r="X96" s="15"/>
      <c r="Y96" s="15"/>
      <c r="Z96" s="15"/>
    </row>
    <row r="97" customHeight="1" spans="1:26">
      <c r="A97" s="17"/>
      <c r="B97" s="15"/>
      <c r="C97" s="15"/>
      <c r="D97" s="15"/>
      <c r="E97" s="15"/>
      <c r="F97" s="15"/>
      <c r="G97" s="15"/>
      <c r="H97" s="16"/>
      <c r="I97" s="16"/>
      <c r="J97" s="16"/>
      <c r="K97" s="16"/>
      <c r="L97" s="16"/>
      <c r="M97" s="16"/>
      <c r="N97" s="16"/>
      <c r="O97" s="16"/>
      <c r="P97" s="16"/>
      <c r="Q97" s="16"/>
      <c r="R97" s="16"/>
      <c r="S97" s="16"/>
      <c r="T97" s="16"/>
      <c r="U97" s="16"/>
      <c r="V97" s="16"/>
      <c r="W97" s="15"/>
      <c r="X97" s="15"/>
      <c r="Y97" s="15"/>
      <c r="Z97" s="15"/>
    </row>
    <row r="98" customHeight="1" spans="1:26">
      <c r="A98" s="17"/>
      <c r="B98" s="15"/>
      <c r="C98" s="15"/>
      <c r="D98" s="15"/>
      <c r="E98" s="15"/>
      <c r="F98" s="15"/>
      <c r="G98" s="15"/>
      <c r="H98" s="16"/>
      <c r="I98" s="16"/>
      <c r="J98" s="16"/>
      <c r="K98" s="16"/>
      <c r="L98" s="16"/>
      <c r="M98" s="16"/>
      <c r="N98" s="16"/>
      <c r="O98" s="16"/>
      <c r="P98" s="16"/>
      <c r="Q98" s="16"/>
      <c r="R98" s="16"/>
      <c r="S98" s="16"/>
      <c r="T98" s="16"/>
      <c r="U98" s="16"/>
      <c r="V98" s="16"/>
      <c r="W98" s="15"/>
      <c r="X98" s="15"/>
      <c r="Y98" s="15"/>
      <c r="Z98" s="15"/>
    </row>
    <row r="99" customHeight="1" spans="1:26">
      <c r="A99" s="17"/>
      <c r="B99" s="15"/>
      <c r="C99" s="15"/>
      <c r="D99" s="15"/>
      <c r="E99" s="15"/>
      <c r="F99" s="15"/>
      <c r="G99" s="15"/>
      <c r="H99" s="16"/>
      <c r="I99" s="16"/>
      <c r="J99" s="16"/>
      <c r="K99" s="16"/>
      <c r="L99" s="16"/>
      <c r="M99" s="16"/>
      <c r="N99" s="16"/>
      <c r="O99" s="16"/>
      <c r="P99" s="16"/>
      <c r="Q99" s="16"/>
      <c r="R99" s="16"/>
      <c r="S99" s="16"/>
      <c r="T99" s="16"/>
      <c r="U99" s="16"/>
      <c r="V99" s="16"/>
      <c r="W99" s="15"/>
      <c r="X99" s="15"/>
      <c r="Y99" s="15"/>
      <c r="Z99" s="15"/>
    </row>
    <row r="100" customHeight="1" spans="1:26">
      <c r="A100" s="17"/>
      <c r="B100" s="15"/>
      <c r="C100" s="15"/>
      <c r="D100" s="15"/>
      <c r="E100" s="15"/>
      <c r="F100" s="15"/>
      <c r="G100" s="15"/>
      <c r="H100" s="16"/>
      <c r="I100" s="16"/>
      <c r="J100" s="16"/>
      <c r="K100" s="16"/>
      <c r="L100" s="16"/>
      <c r="M100" s="16"/>
      <c r="N100" s="16"/>
      <c r="O100" s="16"/>
      <c r="P100" s="16"/>
      <c r="Q100" s="16"/>
      <c r="R100" s="16"/>
      <c r="S100" s="16"/>
      <c r="T100" s="16"/>
      <c r="U100" s="16"/>
      <c r="V100" s="16"/>
      <c r="W100" s="15"/>
      <c r="X100" s="15"/>
      <c r="Y100" s="15"/>
      <c r="Z100" s="15"/>
    </row>
    <row r="101" customHeight="1" spans="1:26">
      <c r="A101" s="17"/>
      <c r="B101" s="15"/>
      <c r="C101" s="15"/>
      <c r="D101" s="15"/>
      <c r="E101" s="15"/>
      <c r="F101" s="15"/>
      <c r="G101" s="15"/>
      <c r="H101" s="16"/>
      <c r="I101" s="16"/>
      <c r="J101" s="16"/>
      <c r="K101" s="16"/>
      <c r="L101" s="16"/>
      <c r="M101" s="16"/>
      <c r="N101" s="16"/>
      <c r="O101" s="16"/>
      <c r="P101" s="16"/>
      <c r="Q101" s="16"/>
      <c r="R101" s="16"/>
      <c r="S101" s="16"/>
      <c r="T101" s="16"/>
      <c r="U101" s="16"/>
      <c r="V101" s="16"/>
      <c r="W101" s="15"/>
      <c r="X101" s="15"/>
      <c r="Y101" s="15"/>
      <c r="Z101" s="15"/>
    </row>
    <row r="102" customHeight="1" spans="1:26">
      <c r="A102" s="17"/>
      <c r="B102" s="15"/>
      <c r="C102" s="15"/>
      <c r="D102" s="15"/>
      <c r="E102" s="15"/>
      <c r="F102" s="15"/>
      <c r="G102" s="15"/>
      <c r="H102" s="16"/>
      <c r="I102" s="16"/>
      <c r="J102" s="16"/>
      <c r="K102" s="16"/>
      <c r="L102" s="16"/>
      <c r="M102" s="16"/>
      <c r="N102" s="16"/>
      <c r="O102" s="16"/>
      <c r="P102" s="16"/>
      <c r="Q102" s="16"/>
      <c r="R102" s="16"/>
      <c r="S102" s="16"/>
      <c r="T102" s="16"/>
      <c r="U102" s="16"/>
      <c r="V102" s="16"/>
      <c r="W102" s="15"/>
      <c r="X102" s="15"/>
      <c r="Y102" s="15"/>
      <c r="Z102" s="15"/>
    </row>
    <row r="103" customHeight="1" spans="1:26">
      <c r="A103" s="17"/>
      <c r="B103" s="15"/>
      <c r="C103" s="15"/>
      <c r="D103" s="15"/>
      <c r="E103" s="15"/>
      <c r="F103" s="15"/>
      <c r="G103" s="15"/>
      <c r="H103" s="16"/>
      <c r="I103" s="16"/>
      <c r="J103" s="16"/>
      <c r="K103" s="16"/>
      <c r="L103" s="16"/>
      <c r="M103" s="16"/>
      <c r="N103" s="16"/>
      <c r="O103" s="16"/>
      <c r="P103" s="16"/>
      <c r="Q103" s="16"/>
      <c r="R103" s="16"/>
      <c r="S103" s="16"/>
      <c r="T103" s="16"/>
      <c r="U103" s="16"/>
      <c r="V103" s="16"/>
      <c r="W103" s="15"/>
      <c r="X103" s="15"/>
      <c r="Y103" s="15"/>
      <c r="Z103" s="15"/>
    </row>
    <row r="104" customHeight="1" spans="1:26">
      <c r="A104" s="17"/>
      <c r="B104" s="15"/>
      <c r="C104" s="15"/>
      <c r="D104" s="15"/>
      <c r="E104" s="15"/>
      <c r="F104" s="15"/>
      <c r="G104" s="15"/>
      <c r="H104" s="16"/>
      <c r="I104" s="16"/>
      <c r="J104" s="16"/>
      <c r="K104" s="16"/>
      <c r="L104" s="16"/>
      <c r="M104" s="16"/>
      <c r="N104" s="16"/>
      <c r="O104" s="16"/>
      <c r="P104" s="16"/>
      <c r="Q104" s="16"/>
      <c r="R104" s="16"/>
      <c r="S104" s="16"/>
      <c r="T104" s="16"/>
      <c r="U104" s="16"/>
      <c r="V104" s="16"/>
      <c r="W104" s="15"/>
      <c r="X104" s="15"/>
      <c r="Y104" s="15"/>
      <c r="Z104" s="15"/>
    </row>
    <row r="105" customHeight="1" spans="1:26">
      <c r="A105" s="17"/>
      <c r="B105" s="15"/>
      <c r="C105" s="15"/>
      <c r="D105" s="15"/>
      <c r="E105" s="15"/>
      <c r="F105" s="15"/>
      <c r="G105" s="15"/>
      <c r="H105" s="16"/>
      <c r="I105" s="16"/>
      <c r="J105" s="16"/>
      <c r="K105" s="16"/>
      <c r="L105" s="16"/>
      <c r="M105" s="16"/>
      <c r="N105" s="16"/>
      <c r="O105" s="16"/>
      <c r="P105" s="16"/>
      <c r="Q105" s="16"/>
      <c r="R105" s="16"/>
      <c r="S105" s="16"/>
      <c r="T105" s="16"/>
      <c r="U105" s="16"/>
      <c r="V105" s="16"/>
      <c r="W105" s="15"/>
      <c r="X105" s="15"/>
      <c r="Y105" s="15"/>
      <c r="Z105" s="15"/>
    </row>
    <row r="106" customHeight="1" spans="1:26">
      <c r="A106" s="17"/>
      <c r="B106" s="15"/>
      <c r="C106" s="15"/>
      <c r="D106" s="15"/>
      <c r="E106" s="15"/>
      <c r="F106" s="15"/>
      <c r="G106" s="15"/>
      <c r="H106" s="16"/>
      <c r="I106" s="16"/>
      <c r="J106" s="16"/>
      <c r="K106" s="16"/>
      <c r="L106" s="16"/>
      <c r="M106" s="16"/>
      <c r="N106" s="16"/>
      <c r="O106" s="16"/>
      <c r="P106" s="16"/>
      <c r="Q106" s="16"/>
      <c r="R106" s="16"/>
      <c r="S106" s="16"/>
      <c r="T106" s="16"/>
      <c r="U106" s="16"/>
      <c r="V106" s="16"/>
      <c r="W106" s="15"/>
      <c r="X106" s="15"/>
      <c r="Y106" s="15"/>
      <c r="Z106" s="15"/>
    </row>
    <row r="107" customHeight="1" spans="1:26">
      <c r="A107" s="17"/>
      <c r="B107" s="15"/>
      <c r="C107" s="15"/>
      <c r="D107" s="15"/>
      <c r="E107" s="15"/>
      <c r="F107" s="15"/>
      <c r="G107" s="15"/>
      <c r="H107" s="16"/>
      <c r="I107" s="16"/>
      <c r="J107" s="16"/>
      <c r="K107" s="16"/>
      <c r="L107" s="16"/>
      <c r="M107" s="16"/>
      <c r="N107" s="16"/>
      <c r="O107" s="16"/>
      <c r="P107" s="16"/>
      <c r="Q107" s="16"/>
      <c r="R107" s="16"/>
      <c r="S107" s="16"/>
      <c r="T107" s="16"/>
      <c r="U107" s="16"/>
      <c r="V107" s="16"/>
      <c r="W107" s="15"/>
      <c r="X107" s="15"/>
      <c r="Y107" s="15"/>
      <c r="Z107" s="15"/>
    </row>
    <row r="108" customHeight="1" spans="1:26">
      <c r="A108" s="17"/>
      <c r="B108" s="15"/>
      <c r="C108" s="15"/>
      <c r="D108" s="15"/>
      <c r="E108" s="15"/>
      <c r="F108" s="15"/>
      <c r="G108" s="15"/>
      <c r="H108" s="16"/>
      <c r="I108" s="16"/>
      <c r="J108" s="16"/>
      <c r="K108" s="16"/>
      <c r="L108" s="16"/>
      <c r="M108" s="16"/>
      <c r="N108" s="16"/>
      <c r="O108" s="16"/>
      <c r="P108" s="16"/>
      <c r="Q108" s="16"/>
      <c r="R108" s="16"/>
      <c r="S108" s="16"/>
      <c r="T108" s="16"/>
      <c r="U108" s="16"/>
      <c r="V108" s="16"/>
      <c r="W108" s="15"/>
      <c r="X108" s="15"/>
      <c r="Y108" s="15"/>
      <c r="Z108" s="15"/>
    </row>
    <row r="109" customHeight="1" spans="1:26">
      <c r="A109" s="17"/>
      <c r="B109" s="15"/>
      <c r="C109" s="15"/>
      <c r="D109" s="15"/>
      <c r="E109" s="15"/>
      <c r="F109" s="15"/>
      <c r="G109" s="15"/>
      <c r="H109" s="16"/>
      <c r="I109" s="16"/>
      <c r="J109" s="16"/>
      <c r="K109" s="16"/>
      <c r="L109" s="16"/>
      <c r="M109" s="16"/>
      <c r="N109" s="16"/>
      <c r="O109" s="16"/>
      <c r="P109" s="16"/>
      <c r="Q109" s="16"/>
      <c r="R109" s="16"/>
      <c r="S109" s="16"/>
      <c r="T109" s="16"/>
      <c r="U109" s="16"/>
      <c r="V109" s="16"/>
      <c r="W109" s="15"/>
      <c r="X109" s="15"/>
      <c r="Y109" s="15"/>
      <c r="Z109" s="15"/>
    </row>
    <row r="110" customHeight="1" spans="1:26">
      <c r="A110" s="17"/>
      <c r="B110" s="15"/>
      <c r="C110" s="15"/>
      <c r="D110" s="15"/>
      <c r="E110" s="15"/>
      <c r="F110" s="15"/>
      <c r="G110" s="15"/>
      <c r="H110" s="16"/>
      <c r="I110" s="16"/>
      <c r="J110" s="16"/>
      <c r="K110" s="16"/>
      <c r="L110" s="16"/>
      <c r="M110" s="16"/>
      <c r="N110" s="16"/>
      <c r="O110" s="16"/>
      <c r="P110" s="16"/>
      <c r="Q110" s="16"/>
      <c r="R110" s="16"/>
      <c r="S110" s="16"/>
      <c r="T110" s="16"/>
      <c r="U110" s="16"/>
      <c r="V110" s="16"/>
      <c r="W110" s="15"/>
      <c r="X110" s="15"/>
      <c r="Y110" s="15"/>
      <c r="Z110" s="15"/>
    </row>
    <row r="111" customHeight="1" spans="1:26">
      <c r="A111" s="17"/>
      <c r="B111" s="15"/>
      <c r="C111" s="15"/>
      <c r="D111" s="15"/>
      <c r="E111" s="15"/>
      <c r="F111" s="15"/>
      <c r="G111" s="15"/>
      <c r="H111" s="16"/>
      <c r="I111" s="16"/>
      <c r="J111" s="16"/>
      <c r="K111" s="16"/>
      <c r="L111" s="16"/>
      <c r="M111" s="16"/>
      <c r="N111" s="16"/>
      <c r="O111" s="16"/>
      <c r="P111" s="16"/>
      <c r="Q111" s="16"/>
      <c r="R111" s="16"/>
      <c r="S111" s="16"/>
      <c r="T111" s="16"/>
      <c r="U111" s="16"/>
      <c r="V111" s="16"/>
      <c r="W111" s="15"/>
      <c r="X111" s="15"/>
      <c r="Y111" s="15"/>
      <c r="Z111" s="15"/>
    </row>
    <row r="112" customHeight="1" spans="1:26">
      <c r="A112" s="17"/>
      <c r="B112" s="15"/>
      <c r="C112" s="15"/>
      <c r="D112" s="15"/>
      <c r="E112" s="15"/>
      <c r="F112" s="15"/>
      <c r="G112" s="15"/>
      <c r="H112" s="16"/>
      <c r="I112" s="16"/>
      <c r="J112" s="16"/>
      <c r="K112" s="16"/>
      <c r="L112" s="16"/>
      <c r="M112" s="16"/>
      <c r="N112" s="16"/>
      <c r="O112" s="16"/>
      <c r="P112" s="16"/>
      <c r="Q112" s="16"/>
      <c r="R112" s="16"/>
      <c r="S112" s="16"/>
      <c r="T112" s="16"/>
      <c r="U112" s="16"/>
      <c r="V112" s="16"/>
      <c r="W112" s="15"/>
      <c r="X112" s="15"/>
      <c r="Y112" s="15"/>
      <c r="Z112" s="15"/>
    </row>
    <row r="113" customHeight="1" spans="1:26">
      <c r="A113" s="17"/>
      <c r="B113" s="15"/>
      <c r="C113" s="15"/>
      <c r="D113" s="15"/>
      <c r="E113" s="15"/>
      <c r="F113" s="15"/>
      <c r="G113" s="15"/>
      <c r="H113" s="16"/>
      <c r="I113" s="16"/>
      <c r="J113" s="16"/>
      <c r="K113" s="16"/>
      <c r="L113" s="16"/>
      <c r="M113" s="16"/>
      <c r="N113" s="16"/>
      <c r="O113" s="16"/>
      <c r="P113" s="16"/>
      <c r="Q113" s="16"/>
      <c r="R113" s="16"/>
      <c r="S113" s="16"/>
      <c r="T113" s="16"/>
      <c r="U113" s="16"/>
      <c r="V113" s="16"/>
      <c r="W113" s="15"/>
      <c r="X113" s="15"/>
      <c r="Y113" s="15"/>
      <c r="Z113" s="15"/>
    </row>
    <row r="114" customHeight="1" spans="1:26">
      <c r="A114" s="17"/>
      <c r="B114" s="15"/>
      <c r="C114" s="15"/>
      <c r="D114" s="15"/>
      <c r="E114" s="15"/>
      <c r="F114" s="15"/>
      <c r="G114" s="15"/>
      <c r="H114" s="16"/>
      <c r="I114" s="16"/>
      <c r="J114" s="16"/>
      <c r="K114" s="16"/>
      <c r="L114" s="16"/>
      <c r="M114" s="16"/>
      <c r="N114" s="16"/>
      <c r="O114" s="16"/>
      <c r="P114" s="16"/>
      <c r="Q114" s="16"/>
      <c r="R114" s="16"/>
      <c r="S114" s="16"/>
      <c r="T114" s="16"/>
      <c r="U114" s="16"/>
      <c r="V114" s="16"/>
      <c r="W114" s="15"/>
      <c r="X114" s="15"/>
      <c r="Y114" s="15"/>
      <c r="Z114" s="15"/>
    </row>
    <row r="115" customHeight="1" spans="1:26">
      <c r="A115" s="17"/>
      <c r="B115" s="15"/>
      <c r="C115" s="15"/>
      <c r="D115" s="15"/>
      <c r="E115" s="15"/>
      <c r="F115" s="15"/>
      <c r="G115" s="15"/>
      <c r="H115" s="16"/>
      <c r="I115" s="16"/>
      <c r="J115" s="16"/>
      <c r="K115" s="16"/>
      <c r="L115" s="16"/>
      <c r="M115" s="16"/>
      <c r="N115" s="16"/>
      <c r="O115" s="16"/>
      <c r="P115" s="16"/>
      <c r="Q115" s="16"/>
      <c r="R115" s="16"/>
      <c r="S115" s="16"/>
      <c r="T115" s="16"/>
      <c r="U115" s="16"/>
      <c r="V115" s="16"/>
      <c r="W115" s="15"/>
      <c r="X115" s="15"/>
      <c r="Y115" s="15"/>
      <c r="Z115" s="15"/>
    </row>
    <row r="116" customHeight="1" spans="1:26">
      <c r="A116" s="17"/>
      <c r="B116" s="15"/>
      <c r="C116" s="15"/>
      <c r="D116" s="15"/>
      <c r="E116" s="15"/>
      <c r="F116" s="15"/>
      <c r="G116" s="15"/>
      <c r="H116" s="16"/>
      <c r="I116" s="16"/>
      <c r="J116" s="16"/>
      <c r="K116" s="16"/>
      <c r="L116" s="16"/>
      <c r="M116" s="16"/>
      <c r="N116" s="16"/>
      <c r="O116" s="16"/>
      <c r="P116" s="16"/>
      <c r="Q116" s="16"/>
      <c r="R116" s="16"/>
      <c r="S116" s="16"/>
      <c r="T116" s="16"/>
      <c r="U116" s="16"/>
      <c r="V116" s="16"/>
      <c r="W116" s="15"/>
      <c r="X116" s="15"/>
      <c r="Y116" s="15"/>
      <c r="Z116" s="15"/>
    </row>
    <row r="117" customHeight="1" spans="1:26">
      <c r="A117" s="17"/>
      <c r="B117" s="15"/>
      <c r="C117" s="15"/>
      <c r="D117" s="15"/>
      <c r="E117" s="15"/>
      <c r="F117" s="15"/>
      <c r="G117" s="15"/>
      <c r="H117" s="16"/>
      <c r="I117" s="16"/>
      <c r="J117" s="16"/>
      <c r="K117" s="16"/>
      <c r="L117" s="16"/>
      <c r="M117" s="16"/>
      <c r="N117" s="16"/>
      <c r="O117" s="16"/>
      <c r="P117" s="16"/>
      <c r="Q117" s="16"/>
      <c r="R117" s="16"/>
      <c r="S117" s="16"/>
      <c r="T117" s="16"/>
      <c r="U117" s="16"/>
      <c r="V117" s="16"/>
      <c r="W117" s="15"/>
      <c r="X117" s="15"/>
      <c r="Y117" s="15"/>
      <c r="Z117" s="15"/>
    </row>
    <row r="118" customHeight="1" spans="1:26">
      <c r="A118" s="17"/>
      <c r="B118" s="15"/>
      <c r="C118" s="15"/>
      <c r="D118" s="15"/>
      <c r="E118" s="15"/>
      <c r="F118" s="15"/>
      <c r="G118" s="15"/>
      <c r="H118" s="16"/>
      <c r="I118" s="16"/>
      <c r="J118" s="16"/>
      <c r="K118" s="16"/>
      <c r="L118" s="16"/>
      <c r="M118" s="16"/>
      <c r="N118" s="16"/>
      <c r="O118" s="16"/>
      <c r="P118" s="16"/>
      <c r="Q118" s="16"/>
      <c r="R118" s="16"/>
      <c r="S118" s="16"/>
      <c r="T118" s="16"/>
      <c r="U118" s="16"/>
      <c r="V118" s="16"/>
      <c r="W118" s="15"/>
      <c r="X118" s="15"/>
      <c r="Y118" s="15"/>
      <c r="Z118" s="15"/>
    </row>
    <row r="119" customHeight="1" spans="1:26">
      <c r="A119" s="17"/>
      <c r="B119" s="15"/>
      <c r="C119" s="15"/>
      <c r="D119" s="15"/>
      <c r="E119" s="15"/>
      <c r="F119" s="15"/>
      <c r="G119" s="15"/>
      <c r="H119" s="16"/>
      <c r="I119" s="16"/>
      <c r="J119" s="16"/>
      <c r="K119" s="16"/>
      <c r="L119" s="16"/>
      <c r="M119" s="16"/>
      <c r="N119" s="16"/>
      <c r="O119" s="16"/>
      <c r="P119" s="16"/>
      <c r="Q119" s="16"/>
      <c r="R119" s="16"/>
      <c r="S119" s="16"/>
      <c r="T119" s="16"/>
      <c r="U119" s="16"/>
      <c r="V119" s="16"/>
      <c r="W119" s="15"/>
      <c r="X119" s="15"/>
      <c r="Y119" s="15"/>
      <c r="Z119" s="15"/>
    </row>
    <row r="120" customHeight="1" spans="1:26">
      <c r="A120" s="17"/>
      <c r="B120" s="15"/>
      <c r="C120" s="15"/>
      <c r="D120" s="15"/>
      <c r="E120" s="15"/>
      <c r="F120" s="15"/>
      <c r="G120" s="15"/>
      <c r="H120" s="16"/>
      <c r="I120" s="16"/>
      <c r="J120" s="16"/>
      <c r="K120" s="16"/>
      <c r="L120" s="16"/>
      <c r="M120" s="16"/>
      <c r="N120" s="16"/>
      <c r="O120" s="16"/>
      <c r="P120" s="16"/>
      <c r="Q120" s="16"/>
      <c r="R120" s="16"/>
      <c r="S120" s="16"/>
      <c r="T120" s="16"/>
      <c r="U120" s="16"/>
      <c r="V120" s="16"/>
      <c r="W120" s="15"/>
      <c r="X120" s="15"/>
      <c r="Y120" s="15"/>
      <c r="Z120" s="15"/>
    </row>
    <row r="121" customHeight="1" spans="1:26">
      <c r="A121" s="17"/>
      <c r="B121" s="15"/>
      <c r="C121" s="15"/>
      <c r="D121" s="15"/>
      <c r="E121" s="15"/>
      <c r="F121" s="15"/>
      <c r="G121" s="15"/>
      <c r="H121" s="16"/>
      <c r="I121" s="16"/>
      <c r="J121" s="16"/>
      <c r="K121" s="16"/>
      <c r="L121" s="16"/>
      <c r="M121" s="16"/>
      <c r="N121" s="16"/>
      <c r="O121" s="16"/>
      <c r="P121" s="16"/>
      <c r="Q121" s="16"/>
      <c r="R121" s="16"/>
      <c r="S121" s="16"/>
      <c r="T121" s="16"/>
      <c r="U121" s="16"/>
      <c r="V121" s="16"/>
      <c r="W121" s="15"/>
      <c r="X121" s="15"/>
      <c r="Y121" s="15"/>
      <c r="Z121" s="15"/>
    </row>
    <row r="122" customHeight="1" spans="1:26">
      <c r="A122" s="17"/>
      <c r="B122" s="15"/>
      <c r="C122" s="15"/>
      <c r="D122" s="15"/>
      <c r="E122" s="15"/>
      <c r="F122" s="15"/>
      <c r="G122" s="15"/>
      <c r="H122" s="16"/>
      <c r="I122" s="16"/>
      <c r="J122" s="16"/>
      <c r="K122" s="16"/>
      <c r="L122" s="16"/>
      <c r="M122" s="16"/>
      <c r="N122" s="16"/>
      <c r="O122" s="16"/>
      <c r="P122" s="16"/>
      <c r="Q122" s="16"/>
      <c r="R122" s="16"/>
      <c r="S122" s="16"/>
      <c r="T122" s="16"/>
      <c r="U122" s="16"/>
      <c r="V122" s="16"/>
      <c r="W122" s="15"/>
      <c r="X122" s="15"/>
      <c r="Y122" s="15"/>
      <c r="Z122" s="15"/>
    </row>
    <row r="123" customHeight="1" spans="1:26">
      <c r="A123" s="17"/>
      <c r="B123" s="15"/>
      <c r="C123" s="15"/>
      <c r="D123" s="15"/>
      <c r="E123" s="15"/>
      <c r="F123" s="15"/>
      <c r="G123" s="15"/>
      <c r="H123" s="16"/>
      <c r="I123" s="16"/>
      <c r="J123" s="16"/>
      <c r="K123" s="16"/>
      <c r="L123" s="16"/>
      <c r="M123" s="16"/>
      <c r="N123" s="16"/>
      <c r="O123" s="16"/>
      <c r="P123" s="16"/>
      <c r="Q123" s="16"/>
      <c r="R123" s="16"/>
      <c r="S123" s="16"/>
      <c r="T123" s="16"/>
      <c r="U123" s="16"/>
      <c r="V123" s="16"/>
      <c r="W123" s="15"/>
      <c r="X123" s="15"/>
      <c r="Y123" s="15"/>
      <c r="Z123" s="15"/>
    </row>
    <row r="124" customHeight="1" spans="1:26">
      <c r="A124" s="17"/>
      <c r="B124" s="15"/>
      <c r="C124" s="15"/>
      <c r="D124" s="15"/>
      <c r="E124" s="15"/>
      <c r="F124" s="15"/>
      <c r="G124" s="15"/>
      <c r="H124" s="16"/>
      <c r="I124" s="16"/>
      <c r="J124" s="16"/>
      <c r="K124" s="16"/>
      <c r="L124" s="16"/>
      <c r="M124" s="16"/>
      <c r="N124" s="16"/>
      <c r="O124" s="16"/>
      <c r="P124" s="16"/>
      <c r="Q124" s="16"/>
      <c r="R124" s="16"/>
      <c r="S124" s="16"/>
      <c r="T124" s="16"/>
      <c r="U124" s="16"/>
      <c r="V124" s="16"/>
      <c r="W124" s="15"/>
      <c r="X124" s="15"/>
      <c r="Y124" s="15"/>
      <c r="Z124" s="15"/>
    </row>
    <row r="125" customHeight="1" spans="1:26">
      <c r="A125" s="17"/>
      <c r="B125" s="15"/>
      <c r="C125" s="15"/>
      <c r="D125" s="15"/>
      <c r="E125" s="15"/>
      <c r="F125" s="15"/>
      <c r="G125" s="15"/>
      <c r="H125" s="16"/>
      <c r="I125" s="16"/>
      <c r="J125" s="16"/>
      <c r="K125" s="16"/>
      <c r="L125" s="16"/>
      <c r="M125" s="16"/>
      <c r="N125" s="16"/>
      <c r="O125" s="16"/>
      <c r="P125" s="16"/>
      <c r="Q125" s="16"/>
      <c r="R125" s="16"/>
      <c r="S125" s="16"/>
      <c r="T125" s="16"/>
      <c r="U125" s="16"/>
      <c r="V125" s="16"/>
      <c r="W125" s="15"/>
      <c r="X125" s="15"/>
      <c r="Y125" s="15"/>
      <c r="Z125" s="15"/>
    </row>
    <row r="126" customHeight="1" spans="1:26">
      <c r="A126" s="17"/>
      <c r="B126" s="15"/>
      <c r="C126" s="15"/>
      <c r="D126" s="15"/>
      <c r="E126" s="15"/>
      <c r="F126" s="15"/>
      <c r="G126" s="15"/>
      <c r="H126" s="16"/>
      <c r="I126" s="16"/>
      <c r="J126" s="16"/>
      <c r="K126" s="16"/>
      <c r="L126" s="16"/>
      <c r="M126" s="16"/>
      <c r="N126" s="16"/>
      <c r="O126" s="16"/>
      <c r="P126" s="16"/>
      <c r="Q126" s="16"/>
      <c r="R126" s="16"/>
      <c r="S126" s="16"/>
      <c r="T126" s="16"/>
      <c r="U126" s="16"/>
      <c r="V126" s="16"/>
      <c r="W126" s="15"/>
      <c r="X126" s="15"/>
      <c r="Y126" s="15"/>
      <c r="Z126" s="15"/>
    </row>
    <row r="127" customHeight="1" spans="1:26">
      <c r="A127" s="17"/>
      <c r="B127" s="15"/>
      <c r="C127" s="15"/>
      <c r="D127" s="15"/>
      <c r="E127" s="15"/>
      <c r="F127" s="15"/>
      <c r="G127" s="15"/>
      <c r="H127" s="16"/>
      <c r="I127" s="16"/>
      <c r="J127" s="16"/>
      <c r="K127" s="16"/>
      <c r="L127" s="16"/>
      <c r="M127" s="16"/>
      <c r="N127" s="16"/>
      <c r="O127" s="16"/>
      <c r="P127" s="16"/>
      <c r="Q127" s="16"/>
      <c r="R127" s="16"/>
      <c r="S127" s="16"/>
      <c r="T127" s="16"/>
      <c r="U127" s="16"/>
      <c r="V127" s="16"/>
      <c r="W127" s="15"/>
      <c r="X127" s="15"/>
      <c r="Y127" s="15"/>
      <c r="Z127" s="15"/>
    </row>
    <row r="128" customHeight="1" spans="1:26">
      <c r="A128" s="17"/>
      <c r="B128" s="15"/>
      <c r="C128" s="15"/>
      <c r="D128" s="15"/>
      <c r="E128" s="15"/>
      <c r="F128" s="15"/>
      <c r="G128" s="15"/>
      <c r="H128" s="16"/>
      <c r="I128" s="16"/>
      <c r="J128" s="16"/>
      <c r="K128" s="16"/>
      <c r="L128" s="16"/>
      <c r="M128" s="16"/>
      <c r="N128" s="16"/>
      <c r="O128" s="16"/>
      <c r="P128" s="16"/>
      <c r="Q128" s="16"/>
      <c r="R128" s="16"/>
      <c r="S128" s="16"/>
      <c r="T128" s="16"/>
      <c r="U128" s="16"/>
      <c r="V128" s="16"/>
      <c r="W128" s="15"/>
      <c r="X128" s="15"/>
      <c r="Y128" s="15"/>
      <c r="Z128" s="15"/>
    </row>
    <row r="129" customHeight="1" spans="1:26">
      <c r="A129" s="17"/>
      <c r="B129" s="15"/>
      <c r="C129" s="15"/>
      <c r="D129" s="15"/>
      <c r="E129" s="15"/>
      <c r="F129" s="15"/>
      <c r="G129" s="15"/>
      <c r="H129" s="16"/>
      <c r="I129" s="16"/>
      <c r="J129" s="16"/>
      <c r="K129" s="16"/>
      <c r="L129" s="16"/>
      <c r="M129" s="16"/>
      <c r="N129" s="16"/>
      <c r="O129" s="16"/>
      <c r="P129" s="16"/>
      <c r="Q129" s="16"/>
      <c r="R129" s="16"/>
      <c r="S129" s="16"/>
      <c r="T129" s="16"/>
      <c r="U129" s="16"/>
      <c r="V129" s="16"/>
      <c r="W129" s="15"/>
      <c r="X129" s="15"/>
      <c r="Y129" s="15"/>
      <c r="Z129" s="15"/>
    </row>
    <row r="130" customHeight="1" spans="1:26">
      <c r="A130" s="17"/>
      <c r="B130" s="15"/>
      <c r="C130" s="15"/>
      <c r="D130" s="15"/>
      <c r="E130" s="15"/>
      <c r="F130" s="15"/>
      <c r="G130" s="15"/>
      <c r="H130" s="16"/>
      <c r="I130" s="16"/>
      <c r="J130" s="16"/>
      <c r="K130" s="16"/>
      <c r="L130" s="16"/>
      <c r="M130" s="16"/>
      <c r="N130" s="16"/>
      <c r="O130" s="16"/>
      <c r="P130" s="16"/>
      <c r="Q130" s="16"/>
      <c r="R130" s="16"/>
      <c r="S130" s="16"/>
      <c r="T130" s="16"/>
      <c r="U130" s="16"/>
      <c r="V130" s="16"/>
      <c r="W130" s="15"/>
      <c r="X130" s="15"/>
      <c r="Y130" s="15"/>
      <c r="Z130" s="15"/>
    </row>
    <row r="131" customHeight="1" spans="1:26">
      <c r="A131" s="17"/>
      <c r="B131" s="15"/>
      <c r="C131" s="15"/>
      <c r="D131" s="15"/>
      <c r="E131" s="15"/>
      <c r="F131" s="15"/>
      <c r="G131" s="15"/>
      <c r="H131" s="16"/>
      <c r="I131" s="16"/>
      <c r="J131" s="16"/>
      <c r="K131" s="16"/>
      <c r="L131" s="16"/>
      <c r="M131" s="16"/>
      <c r="N131" s="16"/>
      <c r="O131" s="16"/>
      <c r="P131" s="16"/>
      <c r="Q131" s="16"/>
      <c r="R131" s="16"/>
      <c r="S131" s="16"/>
      <c r="T131" s="16"/>
      <c r="U131" s="16"/>
      <c r="V131" s="16"/>
      <c r="W131" s="15"/>
      <c r="X131" s="15"/>
      <c r="Y131" s="15"/>
      <c r="Z131" s="15"/>
    </row>
    <row r="132" customHeight="1" spans="1:26">
      <c r="A132" s="17"/>
      <c r="B132" s="15"/>
      <c r="C132" s="15"/>
      <c r="D132" s="15"/>
      <c r="E132" s="15"/>
      <c r="F132" s="15"/>
      <c r="G132" s="15"/>
      <c r="H132" s="16"/>
      <c r="I132" s="16"/>
      <c r="J132" s="16"/>
      <c r="K132" s="16"/>
      <c r="L132" s="16"/>
      <c r="M132" s="16"/>
      <c r="N132" s="16"/>
      <c r="O132" s="16"/>
      <c r="P132" s="16"/>
      <c r="Q132" s="16"/>
      <c r="R132" s="16"/>
      <c r="S132" s="16"/>
      <c r="T132" s="16"/>
      <c r="U132" s="16"/>
      <c r="V132" s="16"/>
      <c r="W132" s="15"/>
      <c r="X132" s="15"/>
      <c r="Y132" s="15"/>
      <c r="Z132" s="15"/>
    </row>
    <row r="133" customHeight="1" spans="1:26">
      <c r="A133" s="17"/>
      <c r="B133" s="15"/>
      <c r="C133" s="15"/>
      <c r="D133" s="15"/>
      <c r="E133" s="15"/>
      <c r="F133" s="15"/>
      <c r="G133" s="15"/>
      <c r="H133" s="16"/>
      <c r="I133" s="16"/>
      <c r="J133" s="16"/>
      <c r="K133" s="16"/>
      <c r="L133" s="16"/>
      <c r="M133" s="16"/>
      <c r="N133" s="16"/>
      <c r="O133" s="16"/>
      <c r="P133" s="16"/>
      <c r="Q133" s="16"/>
      <c r="R133" s="16"/>
      <c r="S133" s="16"/>
      <c r="T133" s="16"/>
      <c r="U133" s="16"/>
      <c r="V133" s="16"/>
      <c r="W133" s="15"/>
      <c r="X133" s="15"/>
      <c r="Y133" s="15"/>
      <c r="Z133" s="15"/>
    </row>
    <row r="134" customHeight="1" spans="1:26">
      <c r="A134" s="17"/>
      <c r="B134" s="15"/>
      <c r="C134" s="15"/>
      <c r="D134" s="15"/>
      <c r="E134" s="15"/>
      <c r="F134" s="15"/>
      <c r="G134" s="15"/>
      <c r="H134" s="16"/>
      <c r="I134" s="16"/>
      <c r="J134" s="16"/>
      <c r="K134" s="16"/>
      <c r="L134" s="16"/>
      <c r="M134" s="16"/>
      <c r="N134" s="16"/>
      <c r="O134" s="16"/>
      <c r="P134" s="16"/>
      <c r="Q134" s="16"/>
      <c r="R134" s="16"/>
      <c r="S134" s="16"/>
      <c r="T134" s="16"/>
      <c r="U134" s="16"/>
      <c r="V134" s="16"/>
      <c r="W134" s="15"/>
      <c r="X134" s="15"/>
      <c r="Y134" s="15"/>
      <c r="Z134" s="15"/>
    </row>
    <row r="135" customHeight="1" spans="1:26">
      <c r="A135" s="17"/>
      <c r="B135" s="15"/>
      <c r="C135" s="15"/>
      <c r="D135" s="15"/>
      <c r="E135" s="15"/>
      <c r="F135" s="15"/>
      <c r="G135" s="15"/>
      <c r="H135" s="16"/>
      <c r="I135" s="16"/>
      <c r="J135" s="16"/>
      <c r="K135" s="16"/>
      <c r="L135" s="16"/>
      <c r="M135" s="16"/>
      <c r="N135" s="16"/>
      <c r="O135" s="16"/>
      <c r="P135" s="16"/>
      <c r="Q135" s="16"/>
      <c r="R135" s="16"/>
      <c r="S135" s="16"/>
      <c r="T135" s="16"/>
      <c r="U135" s="16"/>
      <c r="V135" s="16"/>
      <c r="W135" s="15"/>
      <c r="X135" s="15"/>
      <c r="Y135" s="15"/>
      <c r="Z135" s="15"/>
    </row>
    <row r="136" customHeight="1" spans="1:26">
      <c r="A136" s="17"/>
      <c r="B136" s="15"/>
      <c r="C136" s="15"/>
      <c r="D136" s="15"/>
      <c r="E136" s="15"/>
      <c r="F136" s="15"/>
      <c r="G136" s="15"/>
      <c r="H136" s="16"/>
      <c r="I136" s="16"/>
      <c r="J136" s="16"/>
      <c r="K136" s="16"/>
      <c r="L136" s="16"/>
      <c r="M136" s="16"/>
      <c r="N136" s="16"/>
      <c r="O136" s="16"/>
      <c r="P136" s="16"/>
      <c r="Q136" s="16"/>
      <c r="R136" s="16"/>
      <c r="S136" s="16"/>
      <c r="T136" s="16"/>
      <c r="U136" s="16"/>
      <c r="V136" s="16"/>
      <c r="W136" s="15"/>
      <c r="X136" s="15"/>
      <c r="Y136" s="15"/>
      <c r="Z136" s="15"/>
    </row>
    <row r="137" customHeight="1" spans="1:26">
      <c r="A137" s="17"/>
      <c r="B137" s="15"/>
      <c r="C137" s="15"/>
      <c r="D137" s="15"/>
      <c r="E137" s="15"/>
      <c r="F137" s="15"/>
      <c r="G137" s="15"/>
      <c r="H137" s="16"/>
      <c r="I137" s="16"/>
      <c r="J137" s="16"/>
      <c r="K137" s="16"/>
      <c r="L137" s="16"/>
      <c r="M137" s="16"/>
      <c r="N137" s="16"/>
      <c r="O137" s="16"/>
      <c r="P137" s="16"/>
      <c r="Q137" s="16"/>
      <c r="R137" s="16"/>
      <c r="S137" s="16"/>
      <c r="T137" s="16"/>
      <c r="U137" s="16"/>
      <c r="V137" s="16"/>
      <c r="W137" s="15"/>
      <c r="X137" s="15"/>
      <c r="Y137" s="15"/>
      <c r="Z137" s="15"/>
    </row>
    <row r="138" customHeight="1" spans="1:26">
      <c r="A138" s="17"/>
      <c r="B138" s="15"/>
      <c r="C138" s="15"/>
      <c r="D138" s="15"/>
      <c r="E138" s="15"/>
      <c r="F138" s="15"/>
      <c r="G138" s="15"/>
      <c r="H138" s="16"/>
      <c r="I138" s="16"/>
      <c r="J138" s="16"/>
      <c r="K138" s="16"/>
      <c r="L138" s="16"/>
      <c r="M138" s="16"/>
      <c r="N138" s="16"/>
      <c r="O138" s="16"/>
      <c r="P138" s="16"/>
      <c r="Q138" s="16"/>
      <c r="R138" s="16"/>
      <c r="S138" s="16"/>
      <c r="T138" s="16"/>
      <c r="U138" s="16"/>
      <c r="V138" s="16"/>
      <c r="W138" s="15"/>
      <c r="X138" s="15"/>
      <c r="Y138" s="15"/>
      <c r="Z138" s="15"/>
    </row>
    <row r="139" customHeight="1" spans="1:26">
      <c r="A139" s="17"/>
      <c r="B139" s="15"/>
      <c r="C139" s="15"/>
      <c r="D139" s="15"/>
      <c r="E139" s="15"/>
      <c r="F139" s="15"/>
      <c r="G139" s="15"/>
      <c r="H139" s="16"/>
      <c r="I139" s="16"/>
      <c r="J139" s="16"/>
      <c r="K139" s="16"/>
      <c r="L139" s="16"/>
      <c r="M139" s="16"/>
      <c r="N139" s="16"/>
      <c r="O139" s="16"/>
      <c r="P139" s="16"/>
      <c r="Q139" s="16"/>
      <c r="R139" s="16"/>
      <c r="S139" s="16"/>
      <c r="T139" s="16"/>
      <c r="U139" s="16"/>
      <c r="V139" s="16"/>
      <c r="W139" s="15"/>
      <c r="X139" s="15"/>
      <c r="Y139" s="15"/>
      <c r="Z139" s="15"/>
    </row>
    <row r="140" customHeight="1" spans="1:26">
      <c r="A140" s="17"/>
      <c r="B140" s="15"/>
      <c r="C140" s="15"/>
      <c r="D140" s="15"/>
      <c r="E140" s="15"/>
      <c r="F140" s="15"/>
      <c r="G140" s="15"/>
      <c r="H140" s="16"/>
      <c r="I140" s="16"/>
      <c r="J140" s="16"/>
      <c r="K140" s="16"/>
      <c r="L140" s="16"/>
      <c r="M140" s="16"/>
      <c r="N140" s="16"/>
      <c r="O140" s="16"/>
      <c r="P140" s="16"/>
      <c r="Q140" s="16"/>
      <c r="R140" s="16"/>
      <c r="S140" s="16"/>
      <c r="T140" s="16"/>
      <c r="U140" s="16"/>
      <c r="V140" s="16"/>
      <c r="W140" s="15"/>
      <c r="X140" s="15"/>
      <c r="Y140" s="15"/>
      <c r="Z140" s="15"/>
    </row>
    <row r="141" customHeight="1" spans="1:26">
      <c r="A141" s="17"/>
      <c r="B141" s="15"/>
      <c r="C141" s="15"/>
      <c r="D141" s="15"/>
      <c r="E141" s="15"/>
      <c r="F141" s="15"/>
      <c r="G141" s="15"/>
      <c r="H141" s="16"/>
      <c r="I141" s="16"/>
      <c r="J141" s="16"/>
      <c r="K141" s="16"/>
      <c r="L141" s="16"/>
      <c r="M141" s="16"/>
      <c r="N141" s="16"/>
      <c r="O141" s="16"/>
      <c r="P141" s="16"/>
      <c r="Q141" s="16"/>
      <c r="R141" s="16"/>
      <c r="S141" s="16"/>
      <c r="T141" s="16"/>
      <c r="U141" s="16"/>
      <c r="V141" s="16"/>
      <c r="W141" s="15"/>
      <c r="X141" s="15"/>
      <c r="Y141" s="15"/>
      <c r="Z141" s="15"/>
    </row>
    <row r="142" customHeight="1" spans="1:26">
      <c r="A142" s="17"/>
      <c r="B142" s="15"/>
      <c r="C142" s="15"/>
      <c r="D142" s="15"/>
      <c r="E142" s="15"/>
      <c r="F142" s="15"/>
      <c r="G142" s="15"/>
      <c r="H142" s="16"/>
      <c r="I142" s="16"/>
      <c r="J142" s="16"/>
      <c r="K142" s="16"/>
      <c r="L142" s="16"/>
      <c r="M142" s="16"/>
      <c r="N142" s="16"/>
      <c r="O142" s="16"/>
      <c r="P142" s="16"/>
      <c r="Q142" s="16"/>
      <c r="R142" s="16"/>
      <c r="S142" s="16"/>
      <c r="T142" s="16"/>
      <c r="U142" s="16"/>
      <c r="V142" s="16"/>
      <c r="W142" s="15"/>
      <c r="X142" s="15"/>
      <c r="Y142" s="15"/>
      <c r="Z142" s="15"/>
    </row>
    <row r="143" customHeight="1" spans="1:26">
      <c r="A143" s="17"/>
      <c r="B143" s="15"/>
      <c r="C143" s="15"/>
      <c r="D143" s="15"/>
      <c r="E143" s="15"/>
      <c r="F143" s="15"/>
      <c r="G143" s="15"/>
      <c r="H143" s="16"/>
      <c r="I143" s="16"/>
      <c r="J143" s="16"/>
      <c r="K143" s="16"/>
      <c r="L143" s="16"/>
      <c r="M143" s="16"/>
      <c r="N143" s="16"/>
      <c r="O143" s="16"/>
      <c r="P143" s="16"/>
      <c r="Q143" s="16"/>
      <c r="R143" s="16"/>
      <c r="S143" s="16"/>
      <c r="T143" s="16"/>
      <c r="U143" s="16"/>
      <c r="V143" s="16"/>
      <c r="W143" s="15"/>
      <c r="X143" s="15"/>
      <c r="Y143" s="15"/>
      <c r="Z143" s="15"/>
    </row>
    <row r="144" customHeight="1" spans="1:26">
      <c r="A144" s="17"/>
      <c r="B144" s="15"/>
      <c r="C144" s="15"/>
      <c r="D144" s="15"/>
      <c r="E144" s="15"/>
      <c r="F144" s="15"/>
      <c r="G144" s="15"/>
      <c r="H144" s="16"/>
      <c r="I144" s="16"/>
      <c r="J144" s="16"/>
      <c r="K144" s="16"/>
      <c r="L144" s="16"/>
      <c r="M144" s="16"/>
      <c r="N144" s="16"/>
      <c r="O144" s="16"/>
      <c r="P144" s="16"/>
      <c r="Q144" s="16"/>
      <c r="R144" s="16"/>
      <c r="S144" s="16"/>
      <c r="T144" s="16"/>
      <c r="U144" s="16"/>
      <c r="V144" s="16"/>
      <c r="W144" s="15"/>
      <c r="X144" s="15"/>
      <c r="Y144" s="15"/>
      <c r="Z144" s="15"/>
    </row>
    <row r="145" customHeight="1" spans="1:26">
      <c r="A145" s="17"/>
      <c r="B145" s="15"/>
      <c r="C145" s="15"/>
      <c r="D145" s="15"/>
      <c r="E145" s="15"/>
      <c r="F145" s="15"/>
      <c r="G145" s="15"/>
      <c r="H145" s="16"/>
      <c r="I145" s="16"/>
      <c r="J145" s="16"/>
      <c r="K145" s="16"/>
      <c r="L145" s="16"/>
      <c r="M145" s="16"/>
      <c r="N145" s="16"/>
      <c r="O145" s="16"/>
      <c r="P145" s="16"/>
      <c r="Q145" s="16"/>
      <c r="R145" s="16"/>
      <c r="S145" s="16"/>
      <c r="T145" s="16"/>
      <c r="U145" s="16"/>
      <c r="V145" s="16"/>
      <c r="W145" s="15"/>
      <c r="X145" s="15"/>
      <c r="Y145" s="15"/>
      <c r="Z145" s="15"/>
    </row>
    <row r="146" customHeight="1" spans="1:26">
      <c r="A146" s="17"/>
      <c r="B146" s="15"/>
      <c r="C146" s="15"/>
      <c r="D146" s="15"/>
      <c r="E146" s="15"/>
      <c r="F146" s="15"/>
      <c r="G146" s="15"/>
      <c r="H146" s="16"/>
      <c r="I146" s="16"/>
      <c r="J146" s="16"/>
      <c r="K146" s="16"/>
      <c r="L146" s="16"/>
      <c r="M146" s="16"/>
      <c r="N146" s="16"/>
      <c r="O146" s="16"/>
      <c r="P146" s="16"/>
      <c r="Q146" s="16"/>
      <c r="R146" s="16"/>
      <c r="S146" s="16"/>
      <c r="T146" s="16"/>
      <c r="U146" s="16"/>
      <c r="V146" s="16"/>
      <c r="W146" s="15"/>
      <c r="X146" s="15"/>
      <c r="Y146" s="15"/>
      <c r="Z146" s="15"/>
    </row>
    <row r="147" customHeight="1" spans="1:26">
      <c r="A147" s="17"/>
      <c r="B147" s="15"/>
      <c r="C147" s="15"/>
      <c r="D147" s="15"/>
      <c r="E147" s="15"/>
      <c r="F147" s="15"/>
      <c r="G147" s="15"/>
      <c r="H147" s="16"/>
      <c r="I147" s="16"/>
      <c r="J147" s="16"/>
      <c r="K147" s="16"/>
      <c r="L147" s="16"/>
      <c r="M147" s="16"/>
      <c r="N147" s="16"/>
      <c r="O147" s="16"/>
      <c r="P147" s="16"/>
      <c r="Q147" s="16"/>
      <c r="R147" s="16"/>
      <c r="S147" s="16"/>
      <c r="T147" s="16"/>
      <c r="U147" s="16"/>
      <c r="V147" s="16"/>
      <c r="W147" s="15"/>
      <c r="X147" s="15"/>
      <c r="Y147" s="15"/>
      <c r="Z147" s="15"/>
    </row>
    <row r="148" customHeight="1" spans="1:26">
      <c r="A148" s="17"/>
      <c r="B148" s="15"/>
      <c r="C148" s="15"/>
      <c r="D148" s="15"/>
      <c r="E148" s="15"/>
      <c r="F148" s="15"/>
      <c r="G148" s="15"/>
      <c r="H148" s="16"/>
      <c r="I148" s="16"/>
      <c r="J148" s="16"/>
      <c r="K148" s="16"/>
      <c r="L148" s="16"/>
      <c r="M148" s="16"/>
      <c r="N148" s="16"/>
      <c r="O148" s="16"/>
      <c r="P148" s="16"/>
      <c r="Q148" s="16"/>
      <c r="R148" s="16"/>
      <c r="S148" s="16"/>
      <c r="T148" s="16"/>
      <c r="U148" s="16"/>
      <c r="V148" s="16"/>
      <c r="W148" s="15"/>
      <c r="X148" s="15"/>
      <c r="Y148" s="15"/>
      <c r="Z148" s="15"/>
    </row>
    <row r="149" customHeight="1" spans="1:26">
      <c r="A149" s="17"/>
      <c r="B149" s="15"/>
      <c r="C149" s="15"/>
      <c r="D149" s="15"/>
      <c r="E149" s="15"/>
      <c r="F149" s="15"/>
      <c r="G149" s="15"/>
      <c r="H149" s="16"/>
      <c r="I149" s="16"/>
      <c r="J149" s="16"/>
      <c r="K149" s="16"/>
      <c r="L149" s="16"/>
      <c r="M149" s="16"/>
      <c r="N149" s="16"/>
      <c r="O149" s="16"/>
      <c r="P149" s="16"/>
      <c r="Q149" s="16"/>
      <c r="R149" s="16"/>
      <c r="S149" s="16"/>
      <c r="T149" s="16"/>
      <c r="U149" s="16"/>
      <c r="V149" s="16"/>
      <c r="W149" s="15"/>
      <c r="X149" s="15"/>
      <c r="Y149" s="15"/>
      <c r="Z149" s="15"/>
    </row>
    <row r="150" customHeight="1" spans="1:26">
      <c r="A150" s="17"/>
      <c r="B150" s="15"/>
      <c r="C150" s="15"/>
      <c r="D150" s="15"/>
      <c r="E150" s="15"/>
      <c r="F150" s="15"/>
      <c r="G150" s="15"/>
      <c r="H150" s="16"/>
      <c r="I150" s="16"/>
      <c r="J150" s="16"/>
      <c r="K150" s="16"/>
      <c r="L150" s="16"/>
      <c r="M150" s="16"/>
      <c r="N150" s="16"/>
      <c r="O150" s="16"/>
      <c r="P150" s="16"/>
      <c r="Q150" s="16"/>
      <c r="R150" s="16"/>
      <c r="S150" s="16"/>
      <c r="T150" s="16"/>
      <c r="U150" s="16"/>
      <c r="V150" s="16"/>
      <c r="W150" s="15"/>
      <c r="X150" s="15"/>
      <c r="Y150" s="15"/>
      <c r="Z150" s="15"/>
    </row>
    <row r="151" customHeight="1" spans="1:26">
      <c r="A151" s="17"/>
      <c r="B151" s="15"/>
      <c r="C151" s="15"/>
      <c r="D151" s="15"/>
      <c r="E151" s="15"/>
      <c r="F151" s="15"/>
      <c r="G151" s="15"/>
      <c r="H151" s="16"/>
      <c r="I151" s="16"/>
      <c r="J151" s="16"/>
      <c r="K151" s="16"/>
      <c r="L151" s="16"/>
      <c r="M151" s="16"/>
      <c r="N151" s="16"/>
      <c r="O151" s="16"/>
      <c r="P151" s="16"/>
      <c r="Q151" s="16"/>
      <c r="R151" s="16"/>
      <c r="S151" s="16"/>
      <c r="T151" s="16"/>
      <c r="U151" s="16"/>
      <c r="V151" s="16"/>
      <c r="W151" s="15"/>
      <c r="X151" s="15"/>
      <c r="Y151" s="15"/>
      <c r="Z151" s="15"/>
    </row>
    <row r="152" customHeight="1" spans="1:26">
      <c r="A152" s="17"/>
      <c r="B152" s="15"/>
      <c r="C152" s="15"/>
      <c r="D152" s="15"/>
      <c r="E152" s="15"/>
      <c r="F152" s="15"/>
      <c r="G152" s="15"/>
      <c r="H152" s="16"/>
      <c r="I152" s="16"/>
      <c r="J152" s="16"/>
      <c r="K152" s="16"/>
      <c r="L152" s="16"/>
      <c r="M152" s="16"/>
      <c r="N152" s="16"/>
      <c r="O152" s="16"/>
      <c r="P152" s="16"/>
      <c r="Q152" s="16"/>
      <c r="R152" s="16"/>
      <c r="S152" s="16"/>
      <c r="T152" s="16"/>
      <c r="U152" s="16"/>
      <c r="V152" s="16"/>
      <c r="W152" s="15"/>
      <c r="X152" s="15"/>
      <c r="Y152" s="15"/>
      <c r="Z152" s="15"/>
    </row>
    <row r="153" customHeight="1" spans="1:26">
      <c r="A153" s="17"/>
      <c r="B153" s="15"/>
      <c r="C153" s="15"/>
      <c r="D153" s="15"/>
      <c r="E153" s="15"/>
      <c r="F153" s="15"/>
      <c r="G153" s="15"/>
      <c r="H153" s="16"/>
      <c r="I153" s="16"/>
      <c r="J153" s="16"/>
      <c r="K153" s="16"/>
      <c r="L153" s="16"/>
      <c r="M153" s="16"/>
      <c r="N153" s="16"/>
      <c r="O153" s="16"/>
      <c r="P153" s="16"/>
      <c r="Q153" s="16"/>
      <c r="R153" s="16"/>
      <c r="S153" s="16"/>
      <c r="T153" s="16"/>
      <c r="U153" s="16"/>
      <c r="V153" s="16"/>
      <c r="W153" s="15"/>
      <c r="X153" s="15"/>
      <c r="Y153" s="15"/>
      <c r="Z153" s="15"/>
    </row>
    <row r="154" customHeight="1" spans="1:26">
      <c r="A154" s="17"/>
      <c r="B154" s="15"/>
      <c r="C154" s="15"/>
      <c r="D154" s="15"/>
      <c r="E154" s="15"/>
      <c r="F154" s="15"/>
      <c r="G154" s="15"/>
      <c r="H154" s="16"/>
      <c r="I154" s="16"/>
      <c r="J154" s="16"/>
      <c r="K154" s="16"/>
      <c r="L154" s="16"/>
      <c r="M154" s="16"/>
      <c r="N154" s="16"/>
      <c r="O154" s="16"/>
      <c r="P154" s="16"/>
      <c r="Q154" s="16"/>
      <c r="R154" s="16"/>
      <c r="S154" s="16"/>
      <c r="T154" s="16"/>
      <c r="U154" s="16"/>
      <c r="V154" s="16"/>
      <c r="W154" s="15"/>
      <c r="X154" s="15"/>
      <c r="Y154" s="15"/>
      <c r="Z154" s="15"/>
    </row>
    <row r="155" customHeight="1" spans="1:26">
      <c r="A155" s="17"/>
      <c r="B155" s="15"/>
      <c r="C155" s="15"/>
      <c r="D155" s="15"/>
      <c r="E155" s="15"/>
      <c r="F155" s="15"/>
      <c r="G155" s="15"/>
      <c r="H155" s="16"/>
      <c r="I155" s="16"/>
      <c r="J155" s="16"/>
      <c r="K155" s="16"/>
      <c r="L155" s="16"/>
      <c r="M155" s="16"/>
      <c r="N155" s="16"/>
      <c r="O155" s="16"/>
      <c r="P155" s="16"/>
      <c r="Q155" s="16"/>
      <c r="R155" s="16"/>
      <c r="S155" s="16"/>
      <c r="T155" s="16"/>
      <c r="U155" s="16"/>
      <c r="V155" s="16"/>
      <c r="W155" s="15"/>
      <c r="X155" s="15"/>
      <c r="Y155" s="15"/>
      <c r="Z155" s="15"/>
    </row>
    <row r="156" customHeight="1" spans="1:26">
      <c r="A156" s="17"/>
      <c r="B156" s="15"/>
      <c r="C156" s="15"/>
      <c r="D156" s="15"/>
      <c r="E156" s="15"/>
      <c r="F156" s="15"/>
      <c r="G156" s="15"/>
      <c r="H156" s="16"/>
      <c r="I156" s="16"/>
      <c r="J156" s="16"/>
      <c r="K156" s="16"/>
      <c r="L156" s="16"/>
      <c r="M156" s="16"/>
      <c r="N156" s="16"/>
      <c r="O156" s="16"/>
      <c r="P156" s="16"/>
      <c r="Q156" s="16"/>
      <c r="R156" s="16"/>
      <c r="S156" s="16"/>
      <c r="T156" s="16"/>
      <c r="U156" s="16"/>
      <c r="V156" s="16"/>
      <c r="W156" s="15"/>
      <c r="X156" s="15"/>
      <c r="Y156" s="15"/>
      <c r="Z156" s="15"/>
    </row>
    <row r="157" customHeight="1" spans="1:26">
      <c r="A157" s="17"/>
      <c r="B157" s="15"/>
      <c r="C157" s="15"/>
      <c r="D157" s="15"/>
      <c r="E157" s="15"/>
      <c r="F157" s="15"/>
      <c r="G157" s="15"/>
      <c r="H157" s="16"/>
      <c r="I157" s="16"/>
      <c r="J157" s="16"/>
      <c r="K157" s="16"/>
      <c r="L157" s="16"/>
      <c r="M157" s="16"/>
      <c r="N157" s="16"/>
      <c r="O157" s="16"/>
      <c r="P157" s="16"/>
      <c r="Q157" s="16"/>
      <c r="R157" s="16"/>
      <c r="S157" s="16"/>
      <c r="T157" s="16"/>
      <c r="U157" s="16"/>
      <c r="V157" s="16"/>
      <c r="W157" s="15"/>
      <c r="X157" s="15"/>
      <c r="Y157" s="15"/>
      <c r="Z157" s="15"/>
    </row>
    <row r="158" customHeight="1" spans="1:26">
      <c r="A158" s="17"/>
      <c r="B158" s="15"/>
      <c r="C158" s="15"/>
      <c r="D158" s="15"/>
      <c r="E158" s="15"/>
      <c r="F158" s="15"/>
      <c r="G158" s="15"/>
      <c r="H158" s="16"/>
      <c r="I158" s="16"/>
      <c r="J158" s="16"/>
      <c r="K158" s="16"/>
      <c r="L158" s="16"/>
      <c r="M158" s="16"/>
      <c r="N158" s="16"/>
      <c r="O158" s="16"/>
      <c r="P158" s="16"/>
      <c r="Q158" s="16"/>
      <c r="R158" s="16"/>
      <c r="S158" s="16"/>
      <c r="T158" s="16"/>
      <c r="U158" s="16"/>
      <c r="V158" s="16"/>
      <c r="W158" s="15"/>
      <c r="X158" s="15"/>
      <c r="Y158" s="15"/>
      <c r="Z158" s="15"/>
    </row>
    <row r="159" customHeight="1" spans="1:26">
      <c r="A159" s="17"/>
      <c r="B159" s="15"/>
      <c r="C159" s="15"/>
      <c r="D159" s="15"/>
      <c r="E159" s="15"/>
      <c r="F159" s="15"/>
      <c r="G159" s="15"/>
      <c r="H159" s="16"/>
      <c r="I159" s="16"/>
      <c r="J159" s="16"/>
      <c r="K159" s="16"/>
      <c r="L159" s="16"/>
      <c r="M159" s="16"/>
      <c r="N159" s="16"/>
      <c r="O159" s="16"/>
      <c r="P159" s="16"/>
      <c r="Q159" s="16"/>
      <c r="R159" s="16"/>
      <c r="S159" s="16"/>
      <c r="T159" s="16"/>
      <c r="U159" s="16"/>
      <c r="V159" s="16"/>
      <c r="W159" s="15"/>
      <c r="X159" s="15"/>
      <c r="Y159" s="15"/>
      <c r="Z159" s="15"/>
    </row>
    <row r="160" customHeight="1" spans="1:26">
      <c r="A160" s="17"/>
      <c r="B160" s="15"/>
      <c r="C160" s="15"/>
      <c r="D160" s="15"/>
      <c r="E160" s="15"/>
      <c r="F160" s="15"/>
      <c r="G160" s="15"/>
      <c r="H160" s="16"/>
      <c r="I160" s="16"/>
      <c r="J160" s="16"/>
      <c r="K160" s="16"/>
      <c r="L160" s="16"/>
      <c r="M160" s="16"/>
      <c r="N160" s="16"/>
      <c r="O160" s="16"/>
      <c r="P160" s="16"/>
      <c r="Q160" s="16"/>
      <c r="R160" s="16"/>
      <c r="S160" s="16"/>
      <c r="T160" s="16"/>
      <c r="U160" s="16"/>
      <c r="V160" s="16"/>
      <c r="W160" s="15"/>
      <c r="X160" s="15"/>
      <c r="Y160" s="15"/>
      <c r="Z160" s="15"/>
    </row>
    <row r="161" customHeight="1" spans="1:26">
      <c r="A161" s="17"/>
      <c r="B161" s="15"/>
      <c r="C161" s="15"/>
      <c r="D161" s="15"/>
      <c r="E161" s="15"/>
      <c r="F161" s="15"/>
      <c r="G161" s="15"/>
      <c r="H161" s="16"/>
      <c r="I161" s="16"/>
      <c r="J161" s="16"/>
      <c r="K161" s="16"/>
      <c r="L161" s="16"/>
      <c r="M161" s="16"/>
      <c r="N161" s="16"/>
      <c r="O161" s="16"/>
      <c r="P161" s="16"/>
      <c r="Q161" s="16"/>
      <c r="R161" s="16"/>
      <c r="S161" s="16"/>
      <c r="T161" s="16"/>
      <c r="U161" s="16"/>
      <c r="V161" s="16"/>
      <c r="W161" s="15"/>
      <c r="X161" s="15"/>
      <c r="Y161" s="15"/>
      <c r="Z161" s="15"/>
    </row>
    <row r="162" customHeight="1" spans="1:26">
      <c r="A162" s="17"/>
      <c r="B162" s="15"/>
      <c r="C162" s="15"/>
      <c r="D162" s="15"/>
      <c r="E162" s="15"/>
      <c r="F162" s="15"/>
      <c r="G162" s="15"/>
      <c r="H162" s="16"/>
      <c r="I162" s="16"/>
      <c r="J162" s="16"/>
      <c r="K162" s="16"/>
      <c r="L162" s="16"/>
      <c r="M162" s="16"/>
      <c r="N162" s="16"/>
      <c r="O162" s="16"/>
      <c r="P162" s="16"/>
      <c r="Q162" s="16"/>
      <c r="R162" s="16"/>
      <c r="S162" s="16"/>
      <c r="T162" s="16"/>
      <c r="U162" s="16"/>
      <c r="V162" s="16"/>
      <c r="W162" s="15"/>
      <c r="X162" s="15"/>
      <c r="Y162" s="15"/>
      <c r="Z162" s="15"/>
    </row>
    <row r="163" customHeight="1" spans="1:26">
      <c r="A163" s="17"/>
      <c r="B163" s="15"/>
      <c r="C163" s="15"/>
      <c r="D163" s="15"/>
      <c r="E163" s="15"/>
      <c r="F163" s="15"/>
      <c r="G163" s="15"/>
      <c r="H163" s="16"/>
      <c r="I163" s="16"/>
      <c r="J163" s="16"/>
      <c r="K163" s="16"/>
      <c r="L163" s="16"/>
      <c r="M163" s="16"/>
      <c r="N163" s="16"/>
      <c r="O163" s="16"/>
      <c r="P163" s="16"/>
      <c r="Q163" s="16"/>
      <c r="R163" s="16"/>
      <c r="S163" s="16"/>
      <c r="T163" s="16"/>
      <c r="U163" s="16"/>
      <c r="V163" s="16"/>
      <c r="W163" s="15"/>
      <c r="X163" s="15"/>
      <c r="Y163" s="15"/>
      <c r="Z163" s="15"/>
    </row>
    <row r="164" customHeight="1" spans="1:26">
      <c r="A164" s="17"/>
      <c r="B164" s="15"/>
      <c r="C164" s="15"/>
      <c r="D164" s="15"/>
      <c r="E164" s="15"/>
      <c r="F164" s="15"/>
      <c r="G164" s="15"/>
      <c r="H164" s="16"/>
      <c r="I164" s="16"/>
      <c r="J164" s="16"/>
      <c r="K164" s="16"/>
      <c r="L164" s="16"/>
      <c r="M164" s="16"/>
      <c r="N164" s="16"/>
      <c r="O164" s="16"/>
      <c r="P164" s="16"/>
      <c r="Q164" s="16"/>
      <c r="R164" s="16"/>
      <c r="S164" s="16"/>
      <c r="T164" s="16"/>
      <c r="U164" s="16"/>
      <c r="V164" s="16"/>
      <c r="W164" s="15"/>
      <c r="X164" s="15"/>
      <c r="Y164" s="15"/>
      <c r="Z164" s="15"/>
    </row>
    <row r="165" customHeight="1" spans="1:26">
      <c r="A165" s="17"/>
      <c r="B165" s="15"/>
      <c r="C165" s="15"/>
      <c r="D165" s="15"/>
      <c r="E165" s="15"/>
      <c r="F165" s="15"/>
      <c r="G165" s="15"/>
      <c r="H165" s="16"/>
      <c r="I165" s="16"/>
      <c r="J165" s="16"/>
      <c r="K165" s="16"/>
      <c r="L165" s="16"/>
      <c r="M165" s="16"/>
      <c r="N165" s="16"/>
      <c r="O165" s="16"/>
      <c r="P165" s="16"/>
      <c r="Q165" s="16"/>
      <c r="R165" s="16"/>
      <c r="S165" s="16"/>
      <c r="T165" s="16"/>
      <c r="U165" s="16"/>
      <c r="V165" s="16"/>
      <c r="W165" s="15"/>
      <c r="X165" s="15"/>
      <c r="Y165" s="15"/>
      <c r="Z165" s="15"/>
    </row>
    <row r="166" customHeight="1" spans="1:26">
      <c r="A166" s="17"/>
      <c r="B166" s="15"/>
      <c r="C166" s="15"/>
      <c r="D166" s="15"/>
      <c r="E166" s="15"/>
      <c r="F166" s="15"/>
      <c r="G166" s="15"/>
      <c r="H166" s="16"/>
      <c r="I166" s="16"/>
      <c r="J166" s="16"/>
      <c r="K166" s="16"/>
      <c r="L166" s="16"/>
      <c r="M166" s="16"/>
      <c r="N166" s="16"/>
      <c r="O166" s="16"/>
      <c r="P166" s="16"/>
      <c r="Q166" s="16"/>
      <c r="R166" s="16"/>
      <c r="S166" s="16"/>
      <c r="T166" s="16"/>
      <c r="U166" s="16"/>
      <c r="V166" s="16"/>
      <c r="W166" s="15"/>
      <c r="X166" s="15"/>
      <c r="Y166" s="15"/>
      <c r="Z166" s="15"/>
    </row>
    <row r="167" customHeight="1" spans="1:26">
      <c r="A167" s="17"/>
      <c r="B167" s="15"/>
      <c r="C167" s="15"/>
      <c r="D167" s="15"/>
      <c r="E167" s="15"/>
      <c r="F167" s="15"/>
      <c r="G167" s="15"/>
      <c r="H167" s="16"/>
      <c r="I167" s="16"/>
      <c r="J167" s="16"/>
      <c r="K167" s="16"/>
      <c r="L167" s="16"/>
      <c r="M167" s="16"/>
      <c r="N167" s="16"/>
      <c r="O167" s="16"/>
      <c r="P167" s="16"/>
      <c r="Q167" s="16"/>
      <c r="R167" s="16"/>
      <c r="S167" s="16"/>
      <c r="T167" s="16"/>
      <c r="U167" s="16"/>
      <c r="V167" s="16"/>
      <c r="W167" s="15"/>
      <c r="X167" s="15"/>
      <c r="Y167" s="15"/>
      <c r="Z167" s="15"/>
    </row>
    <row r="168" customHeight="1" spans="1:26">
      <c r="A168" s="17"/>
      <c r="B168" s="15"/>
      <c r="C168" s="15"/>
      <c r="D168" s="15"/>
      <c r="E168" s="15"/>
      <c r="F168" s="15"/>
      <c r="G168" s="15"/>
      <c r="H168" s="16"/>
      <c r="I168" s="16"/>
      <c r="J168" s="16"/>
      <c r="K168" s="16"/>
      <c r="L168" s="16"/>
      <c r="M168" s="16"/>
      <c r="N168" s="16"/>
      <c r="O168" s="16"/>
      <c r="P168" s="16"/>
      <c r="Q168" s="16"/>
      <c r="R168" s="16"/>
      <c r="S168" s="16"/>
      <c r="T168" s="16"/>
      <c r="U168" s="16"/>
      <c r="V168" s="16"/>
      <c r="W168" s="15"/>
      <c r="X168" s="15"/>
      <c r="Y168" s="15"/>
      <c r="Z168" s="15"/>
    </row>
    <row r="169" customHeight="1" spans="1:26">
      <c r="A169" s="17"/>
      <c r="B169" s="15"/>
      <c r="C169" s="15"/>
      <c r="D169" s="15"/>
      <c r="E169" s="15"/>
      <c r="F169" s="15"/>
      <c r="G169" s="15"/>
      <c r="H169" s="16"/>
      <c r="I169" s="16"/>
      <c r="J169" s="16"/>
      <c r="K169" s="16"/>
      <c r="L169" s="16"/>
      <c r="M169" s="16"/>
      <c r="N169" s="16"/>
      <c r="O169" s="16"/>
      <c r="P169" s="16"/>
      <c r="Q169" s="16"/>
      <c r="R169" s="16"/>
      <c r="S169" s="16"/>
      <c r="T169" s="16"/>
      <c r="U169" s="16"/>
      <c r="V169" s="16"/>
      <c r="W169" s="15"/>
      <c r="X169" s="15"/>
      <c r="Y169" s="15"/>
      <c r="Z169" s="15"/>
    </row>
    <row r="170" customHeight="1" spans="1:26">
      <c r="A170" s="17"/>
      <c r="B170" s="15"/>
      <c r="C170" s="15"/>
      <c r="D170" s="15"/>
      <c r="E170" s="15"/>
      <c r="F170" s="15"/>
      <c r="G170" s="15"/>
      <c r="H170" s="16"/>
      <c r="I170" s="16"/>
      <c r="J170" s="16"/>
      <c r="K170" s="16"/>
      <c r="L170" s="16"/>
      <c r="M170" s="16"/>
      <c r="N170" s="16"/>
      <c r="O170" s="16"/>
      <c r="P170" s="16"/>
      <c r="Q170" s="16"/>
      <c r="R170" s="16"/>
      <c r="S170" s="16"/>
      <c r="T170" s="16"/>
      <c r="U170" s="16"/>
      <c r="V170" s="16"/>
      <c r="W170" s="15"/>
      <c r="X170" s="15"/>
      <c r="Y170" s="15"/>
      <c r="Z170" s="15"/>
    </row>
    <row r="171" customHeight="1" spans="1:26">
      <c r="A171" s="17"/>
      <c r="B171" s="15"/>
      <c r="C171" s="15"/>
      <c r="D171" s="15"/>
      <c r="E171" s="15"/>
      <c r="F171" s="15"/>
      <c r="G171" s="15"/>
      <c r="H171" s="16"/>
      <c r="I171" s="16"/>
      <c r="J171" s="16"/>
      <c r="K171" s="16"/>
      <c r="L171" s="16"/>
      <c r="M171" s="16"/>
      <c r="N171" s="16"/>
      <c r="O171" s="16"/>
      <c r="P171" s="16"/>
      <c r="Q171" s="16"/>
      <c r="R171" s="16"/>
      <c r="S171" s="16"/>
      <c r="T171" s="16"/>
      <c r="U171" s="16"/>
      <c r="V171" s="16"/>
      <c r="W171" s="15"/>
      <c r="X171" s="15"/>
      <c r="Y171" s="15"/>
      <c r="Z171" s="15"/>
    </row>
    <row r="172" customHeight="1" spans="1:26">
      <c r="A172" s="17"/>
      <c r="B172" s="15"/>
      <c r="C172" s="15"/>
      <c r="D172" s="15"/>
      <c r="E172" s="15"/>
      <c r="F172" s="15"/>
      <c r="G172" s="15"/>
      <c r="H172" s="16"/>
      <c r="I172" s="16"/>
      <c r="J172" s="16"/>
      <c r="K172" s="16"/>
      <c r="L172" s="16"/>
      <c r="M172" s="16"/>
      <c r="N172" s="16"/>
      <c r="O172" s="16"/>
      <c r="P172" s="16"/>
      <c r="Q172" s="16"/>
      <c r="R172" s="16"/>
      <c r="S172" s="16"/>
      <c r="T172" s="16"/>
      <c r="U172" s="16"/>
      <c r="V172" s="16"/>
      <c r="W172" s="15"/>
      <c r="X172" s="15"/>
      <c r="Y172" s="15"/>
      <c r="Z172" s="15"/>
    </row>
    <row r="173" customHeight="1" spans="1:26">
      <c r="A173" s="17"/>
      <c r="B173" s="15"/>
      <c r="C173" s="15"/>
      <c r="D173" s="15"/>
      <c r="E173" s="15"/>
      <c r="F173" s="15"/>
      <c r="G173" s="15"/>
      <c r="H173" s="16"/>
      <c r="I173" s="16"/>
      <c r="J173" s="16"/>
      <c r="K173" s="16"/>
      <c r="L173" s="16"/>
      <c r="M173" s="16"/>
      <c r="N173" s="16"/>
      <c r="O173" s="16"/>
      <c r="P173" s="16"/>
      <c r="Q173" s="16"/>
      <c r="R173" s="16"/>
      <c r="S173" s="16"/>
      <c r="T173" s="16"/>
      <c r="U173" s="16"/>
      <c r="V173" s="16"/>
      <c r="W173" s="15"/>
      <c r="X173" s="15"/>
      <c r="Y173" s="15"/>
      <c r="Z173" s="15"/>
    </row>
    <row r="174" customHeight="1" spans="1:26">
      <c r="A174" s="17"/>
      <c r="B174" s="15"/>
      <c r="C174" s="15"/>
      <c r="D174" s="15"/>
      <c r="E174" s="15"/>
      <c r="F174" s="15"/>
      <c r="G174" s="15"/>
      <c r="H174" s="16"/>
      <c r="I174" s="16"/>
      <c r="J174" s="16"/>
      <c r="K174" s="16"/>
      <c r="L174" s="16"/>
      <c r="M174" s="16"/>
      <c r="N174" s="16"/>
      <c r="O174" s="16"/>
      <c r="P174" s="16"/>
      <c r="Q174" s="16"/>
      <c r="R174" s="16"/>
      <c r="S174" s="16"/>
      <c r="T174" s="16"/>
      <c r="U174" s="16"/>
      <c r="V174" s="16"/>
      <c r="W174" s="15"/>
      <c r="X174" s="15"/>
      <c r="Y174" s="15"/>
      <c r="Z174" s="15"/>
    </row>
    <row r="175" customHeight="1" spans="1:26">
      <c r="A175" s="17"/>
      <c r="B175" s="15"/>
      <c r="C175" s="15"/>
      <c r="D175" s="15"/>
      <c r="E175" s="15"/>
      <c r="F175" s="15"/>
      <c r="G175" s="15"/>
      <c r="H175" s="16"/>
      <c r="I175" s="16"/>
      <c r="J175" s="16"/>
      <c r="K175" s="16"/>
      <c r="L175" s="16"/>
      <c r="M175" s="16"/>
      <c r="N175" s="16"/>
      <c r="O175" s="16"/>
      <c r="P175" s="16"/>
      <c r="Q175" s="16"/>
      <c r="R175" s="16"/>
      <c r="S175" s="16"/>
      <c r="T175" s="16"/>
      <c r="U175" s="16"/>
      <c r="V175" s="16"/>
      <c r="W175" s="15"/>
      <c r="X175" s="15"/>
      <c r="Y175" s="15"/>
      <c r="Z175" s="15"/>
    </row>
    <row r="176" customHeight="1" spans="1:26">
      <c r="A176" s="17"/>
      <c r="B176" s="15"/>
      <c r="C176" s="15"/>
      <c r="D176" s="15"/>
      <c r="E176" s="15"/>
      <c r="F176" s="15"/>
      <c r="G176" s="15"/>
      <c r="H176" s="16"/>
      <c r="I176" s="16"/>
      <c r="J176" s="16"/>
      <c r="K176" s="16"/>
      <c r="L176" s="16"/>
      <c r="M176" s="16"/>
      <c r="N176" s="16"/>
      <c r="O176" s="16"/>
      <c r="P176" s="16"/>
      <c r="Q176" s="16"/>
      <c r="R176" s="16"/>
      <c r="S176" s="16"/>
      <c r="T176" s="16"/>
      <c r="U176" s="16"/>
      <c r="V176" s="16"/>
      <c r="W176" s="15"/>
      <c r="X176" s="15"/>
      <c r="Y176" s="15"/>
      <c r="Z176" s="15"/>
    </row>
    <row r="177" customHeight="1" spans="1:26">
      <c r="A177" s="17"/>
      <c r="B177" s="15"/>
      <c r="C177" s="15"/>
      <c r="D177" s="15"/>
      <c r="E177" s="15"/>
      <c r="F177" s="15"/>
      <c r="G177" s="15"/>
      <c r="H177" s="16"/>
      <c r="I177" s="16"/>
      <c r="J177" s="16"/>
      <c r="K177" s="16"/>
      <c r="L177" s="16"/>
      <c r="M177" s="16"/>
      <c r="N177" s="16"/>
      <c r="O177" s="16"/>
      <c r="P177" s="16"/>
      <c r="Q177" s="16"/>
      <c r="R177" s="16"/>
      <c r="S177" s="16"/>
      <c r="T177" s="16"/>
      <c r="U177" s="16"/>
      <c r="V177" s="16"/>
      <c r="W177" s="15"/>
      <c r="X177" s="15"/>
      <c r="Y177" s="15"/>
      <c r="Z177" s="15"/>
    </row>
    <row r="178" customHeight="1" spans="1:26">
      <c r="A178" s="17"/>
      <c r="B178" s="15"/>
      <c r="C178" s="15"/>
      <c r="D178" s="15"/>
      <c r="E178" s="15"/>
      <c r="F178" s="15"/>
      <c r="G178" s="15"/>
      <c r="H178" s="16"/>
      <c r="I178" s="16"/>
      <c r="J178" s="16"/>
      <c r="K178" s="16"/>
      <c r="L178" s="16"/>
      <c r="M178" s="16"/>
      <c r="N178" s="16"/>
      <c r="O178" s="16"/>
      <c r="P178" s="16"/>
      <c r="Q178" s="16"/>
      <c r="R178" s="16"/>
      <c r="S178" s="16"/>
      <c r="T178" s="16"/>
      <c r="U178" s="16"/>
      <c r="V178" s="16"/>
      <c r="W178" s="15"/>
      <c r="X178" s="15"/>
      <c r="Y178" s="15"/>
      <c r="Z178" s="15"/>
    </row>
    <row r="179" customHeight="1" spans="1:26">
      <c r="A179" s="17"/>
      <c r="B179" s="15"/>
      <c r="C179" s="15"/>
      <c r="D179" s="15"/>
      <c r="E179" s="15"/>
      <c r="F179" s="15"/>
      <c r="G179" s="15"/>
      <c r="H179" s="16"/>
      <c r="I179" s="16"/>
      <c r="J179" s="16"/>
      <c r="K179" s="16"/>
      <c r="L179" s="16"/>
      <c r="M179" s="16"/>
      <c r="N179" s="16"/>
      <c r="O179" s="16"/>
      <c r="P179" s="16"/>
      <c r="Q179" s="16"/>
      <c r="R179" s="16"/>
      <c r="S179" s="16"/>
      <c r="T179" s="16"/>
      <c r="U179" s="16"/>
      <c r="V179" s="16"/>
      <c r="W179" s="15"/>
      <c r="X179" s="15"/>
      <c r="Y179" s="15"/>
      <c r="Z179" s="15"/>
    </row>
    <row r="180" customHeight="1" spans="1:26">
      <c r="A180" s="17"/>
      <c r="B180" s="15"/>
      <c r="C180" s="15"/>
      <c r="D180" s="15"/>
      <c r="E180" s="15"/>
      <c r="F180" s="15"/>
      <c r="G180" s="15"/>
      <c r="H180" s="16"/>
      <c r="I180" s="16"/>
      <c r="J180" s="16"/>
      <c r="K180" s="16"/>
      <c r="L180" s="16"/>
      <c r="M180" s="16"/>
      <c r="N180" s="16"/>
      <c r="O180" s="16"/>
      <c r="P180" s="16"/>
      <c r="Q180" s="16"/>
      <c r="R180" s="16"/>
      <c r="S180" s="16"/>
      <c r="T180" s="16"/>
      <c r="U180" s="16"/>
      <c r="V180" s="16"/>
      <c r="W180" s="15"/>
      <c r="X180" s="15"/>
      <c r="Y180" s="15"/>
      <c r="Z180" s="15"/>
    </row>
    <row r="181" customHeight="1" spans="1:26">
      <c r="A181" s="17"/>
      <c r="B181" s="15"/>
      <c r="C181" s="15"/>
      <c r="D181" s="15"/>
      <c r="E181" s="15"/>
      <c r="F181" s="15"/>
      <c r="G181" s="15"/>
      <c r="H181" s="16"/>
      <c r="I181" s="16"/>
      <c r="J181" s="16"/>
      <c r="K181" s="16"/>
      <c r="L181" s="16"/>
      <c r="M181" s="16"/>
      <c r="N181" s="16"/>
      <c r="O181" s="16"/>
      <c r="P181" s="16"/>
      <c r="Q181" s="16"/>
      <c r="R181" s="16"/>
      <c r="S181" s="16"/>
      <c r="T181" s="16"/>
      <c r="U181" s="16"/>
      <c r="V181" s="16"/>
      <c r="W181" s="15"/>
      <c r="X181" s="15"/>
      <c r="Y181" s="15"/>
      <c r="Z181" s="15"/>
    </row>
    <row r="182" customHeight="1" spans="1:26">
      <c r="A182" s="17"/>
      <c r="B182" s="15"/>
      <c r="C182" s="15"/>
      <c r="D182" s="15"/>
      <c r="E182" s="15"/>
      <c r="F182" s="15"/>
      <c r="G182" s="15"/>
      <c r="H182" s="16"/>
      <c r="I182" s="16"/>
      <c r="J182" s="16"/>
      <c r="K182" s="16"/>
      <c r="L182" s="16"/>
      <c r="M182" s="16"/>
      <c r="N182" s="16"/>
      <c r="O182" s="16"/>
      <c r="P182" s="16"/>
      <c r="Q182" s="16"/>
      <c r="R182" s="16"/>
      <c r="S182" s="16"/>
      <c r="T182" s="16"/>
      <c r="U182" s="16"/>
      <c r="V182" s="16"/>
      <c r="W182" s="15"/>
      <c r="X182" s="15"/>
      <c r="Y182" s="15"/>
      <c r="Z182" s="15"/>
    </row>
    <row r="183" customHeight="1" spans="1:26">
      <c r="A183" s="17"/>
      <c r="B183" s="15"/>
      <c r="C183" s="15"/>
      <c r="D183" s="15"/>
      <c r="E183" s="15"/>
      <c r="F183" s="15"/>
      <c r="G183" s="15"/>
      <c r="H183" s="16"/>
      <c r="I183" s="16"/>
      <c r="J183" s="16"/>
      <c r="K183" s="16"/>
      <c r="L183" s="16"/>
      <c r="M183" s="16"/>
      <c r="N183" s="16"/>
      <c r="O183" s="16"/>
      <c r="P183" s="16"/>
      <c r="Q183" s="16"/>
      <c r="R183" s="16"/>
      <c r="S183" s="16"/>
      <c r="T183" s="16"/>
      <c r="U183" s="16"/>
      <c r="V183" s="16"/>
      <c r="W183" s="15"/>
      <c r="X183" s="15"/>
      <c r="Y183" s="15"/>
      <c r="Z183" s="15"/>
    </row>
    <row r="184" customHeight="1" spans="1:26">
      <c r="A184" s="17"/>
      <c r="B184" s="15"/>
      <c r="C184" s="15"/>
      <c r="D184" s="15"/>
      <c r="E184" s="15"/>
      <c r="F184" s="15"/>
      <c r="G184" s="15"/>
      <c r="H184" s="16"/>
      <c r="I184" s="16"/>
      <c r="J184" s="16"/>
      <c r="K184" s="16"/>
      <c r="L184" s="16"/>
      <c r="M184" s="16"/>
      <c r="N184" s="16"/>
      <c r="O184" s="16"/>
      <c r="P184" s="16"/>
      <c r="Q184" s="16"/>
      <c r="R184" s="16"/>
      <c r="S184" s="16"/>
      <c r="T184" s="16"/>
      <c r="U184" s="16"/>
      <c r="V184" s="16"/>
      <c r="W184" s="15"/>
      <c r="X184" s="15"/>
      <c r="Y184" s="15"/>
      <c r="Z184" s="15"/>
    </row>
    <row r="185" customHeight="1" spans="1:26">
      <c r="A185" s="17"/>
      <c r="B185" s="15"/>
      <c r="C185" s="15"/>
      <c r="D185" s="15"/>
      <c r="E185" s="15"/>
      <c r="F185" s="15"/>
      <c r="G185" s="15"/>
      <c r="H185" s="16"/>
      <c r="I185" s="16"/>
      <c r="J185" s="16"/>
      <c r="K185" s="16"/>
      <c r="L185" s="16"/>
      <c r="M185" s="16"/>
      <c r="N185" s="16"/>
      <c r="O185" s="16"/>
      <c r="P185" s="16"/>
      <c r="Q185" s="16"/>
      <c r="R185" s="16"/>
      <c r="S185" s="16"/>
      <c r="T185" s="16"/>
      <c r="U185" s="16"/>
      <c r="V185" s="16"/>
      <c r="W185" s="15"/>
      <c r="X185" s="15"/>
      <c r="Y185" s="15"/>
      <c r="Z185" s="15"/>
    </row>
    <row r="186" customHeight="1" spans="1:26">
      <c r="A186" s="17"/>
      <c r="B186" s="15"/>
      <c r="C186" s="15"/>
      <c r="D186" s="15"/>
      <c r="E186" s="15"/>
      <c r="F186" s="15"/>
      <c r="G186" s="15"/>
      <c r="H186" s="16"/>
      <c r="I186" s="16"/>
      <c r="J186" s="16"/>
      <c r="K186" s="16"/>
      <c r="L186" s="16"/>
      <c r="M186" s="16"/>
      <c r="N186" s="16"/>
      <c r="O186" s="16"/>
      <c r="P186" s="16"/>
      <c r="Q186" s="16"/>
      <c r="R186" s="16"/>
      <c r="S186" s="16"/>
      <c r="T186" s="16"/>
      <c r="U186" s="16"/>
      <c r="V186" s="16"/>
      <c r="W186" s="15"/>
      <c r="X186" s="15"/>
      <c r="Y186" s="15"/>
      <c r="Z186" s="15"/>
    </row>
    <row r="187" customHeight="1" spans="1:26">
      <c r="A187" s="17"/>
      <c r="B187" s="15"/>
      <c r="C187" s="15"/>
      <c r="D187" s="15"/>
      <c r="E187" s="15"/>
      <c r="F187" s="15"/>
      <c r="G187" s="15"/>
      <c r="H187" s="16"/>
      <c r="I187" s="16"/>
      <c r="J187" s="16"/>
      <c r="K187" s="16"/>
      <c r="L187" s="16"/>
      <c r="M187" s="16"/>
      <c r="N187" s="16"/>
      <c r="O187" s="16"/>
      <c r="P187" s="16"/>
      <c r="Q187" s="16"/>
      <c r="R187" s="16"/>
      <c r="S187" s="16"/>
      <c r="T187" s="16"/>
      <c r="U187" s="16"/>
      <c r="V187" s="16"/>
      <c r="W187" s="15"/>
      <c r="X187" s="15"/>
      <c r="Y187" s="15"/>
      <c r="Z187" s="15"/>
    </row>
    <row r="188" customHeight="1" spans="1:26">
      <c r="A188" s="17"/>
      <c r="B188" s="15"/>
      <c r="C188" s="15"/>
      <c r="D188" s="15"/>
      <c r="E188" s="15"/>
      <c r="F188" s="15"/>
      <c r="G188" s="15"/>
      <c r="H188" s="16"/>
      <c r="I188" s="16"/>
      <c r="J188" s="16"/>
      <c r="K188" s="16"/>
      <c r="L188" s="16"/>
      <c r="M188" s="16"/>
      <c r="N188" s="16"/>
      <c r="O188" s="16"/>
      <c r="P188" s="16"/>
      <c r="Q188" s="16"/>
      <c r="R188" s="16"/>
      <c r="S188" s="16"/>
      <c r="T188" s="16"/>
      <c r="U188" s="16"/>
      <c r="V188" s="16"/>
      <c r="W188" s="15"/>
      <c r="X188" s="15"/>
      <c r="Y188" s="15"/>
      <c r="Z188" s="15"/>
    </row>
    <row r="189" customHeight="1" spans="1:26">
      <c r="A189" s="17"/>
      <c r="B189" s="15"/>
      <c r="C189" s="15"/>
      <c r="D189" s="15"/>
      <c r="E189" s="15"/>
      <c r="F189" s="15"/>
      <c r="G189" s="15"/>
      <c r="H189" s="16"/>
      <c r="I189" s="16"/>
      <c r="J189" s="16"/>
      <c r="K189" s="16"/>
      <c r="L189" s="16"/>
      <c r="M189" s="16"/>
      <c r="N189" s="16"/>
      <c r="O189" s="16"/>
      <c r="P189" s="16"/>
      <c r="Q189" s="16"/>
      <c r="R189" s="16"/>
      <c r="S189" s="16"/>
      <c r="T189" s="16"/>
      <c r="U189" s="16"/>
      <c r="V189" s="16"/>
      <c r="W189" s="15"/>
      <c r="X189" s="15"/>
      <c r="Y189" s="15"/>
      <c r="Z189" s="15"/>
    </row>
    <row r="190" customHeight="1" spans="1:26">
      <c r="A190" s="17"/>
      <c r="B190" s="15"/>
      <c r="C190" s="15"/>
      <c r="D190" s="15"/>
      <c r="E190" s="15"/>
      <c r="F190" s="15"/>
      <c r="G190" s="15"/>
      <c r="H190" s="16"/>
      <c r="I190" s="16"/>
      <c r="J190" s="16"/>
      <c r="K190" s="16"/>
      <c r="L190" s="16"/>
      <c r="M190" s="16"/>
      <c r="N190" s="16"/>
      <c r="O190" s="16"/>
      <c r="P190" s="16"/>
      <c r="Q190" s="16"/>
      <c r="R190" s="16"/>
      <c r="S190" s="16"/>
      <c r="T190" s="16"/>
      <c r="U190" s="16"/>
      <c r="V190" s="16"/>
      <c r="W190" s="15"/>
      <c r="X190" s="15"/>
      <c r="Y190" s="15"/>
      <c r="Z190" s="15"/>
    </row>
    <row r="191" customHeight="1" spans="1:26">
      <c r="A191" s="17"/>
      <c r="B191" s="15"/>
      <c r="C191" s="15"/>
      <c r="D191" s="15"/>
      <c r="E191" s="15"/>
      <c r="F191" s="15"/>
      <c r="G191" s="15"/>
      <c r="H191" s="16"/>
      <c r="I191" s="16"/>
      <c r="J191" s="16"/>
      <c r="K191" s="16"/>
      <c r="L191" s="16"/>
      <c r="M191" s="16"/>
      <c r="N191" s="16"/>
      <c r="O191" s="16"/>
      <c r="P191" s="16"/>
      <c r="Q191" s="16"/>
      <c r="R191" s="16"/>
      <c r="S191" s="16"/>
      <c r="T191" s="16"/>
      <c r="U191" s="16"/>
      <c r="V191" s="16"/>
      <c r="W191" s="15"/>
      <c r="X191" s="15"/>
      <c r="Y191" s="15"/>
      <c r="Z191" s="15"/>
    </row>
    <row r="192" customHeight="1" spans="1:26">
      <c r="A192" s="17"/>
      <c r="B192" s="15"/>
      <c r="C192" s="15"/>
      <c r="D192" s="15"/>
      <c r="E192" s="15"/>
      <c r="F192" s="15"/>
      <c r="G192" s="15"/>
      <c r="H192" s="16"/>
      <c r="I192" s="16"/>
      <c r="J192" s="16"/>
      <c r="K192" s="16"/>
      <c r="L192" s="16"/>
      <c r="M192" s="16"/>
      <c r="N192" s="16"/>
      <c r="O192" s="16"/>
      <c r="P192" s="16"/>
      <c r="Q192" s="16"/>
      <c r="R192" s="16"/>
      <c r="S192" s="16"/>
      <c r="T192" s="16"/>
      <c r="U192" s="16"/>
      <c r="V192" s="16"/>
      <c r="W192" s="15"/>
      <c r="X192" s="15"/>
      <c r="Y192" s="15"/>
      <c r="Z192" s="15"/>
    </row>
    <row r="193" customHeight="1" spans="1:26">
      <c r="A193" s="17"/>
      <c r="B193" s="15"/>
      <c r="C193" s="15"/>
      <c r="D193" s="15"/>
      <c r="E193" s="15"/>
      <c r="F193" s="15"/>
      <c r="G193" s="15"/>
      <c r="H193" s="16"/>
      <c r="I193" s="16"/>
      <c r="J193" s="16"/>
      <c r="K193" s="16"/>
      <c r="L193" s="16"/>
      <c r="M193" s="16"/>
      <c r="N193" s="16"/>
      <c r="O193" s="16"/>
      <c r="P193" s="16"/>
      <c r="Q193" s="16"/>
      <c r="R193" s="16"/>
      <c r="S193" s="16"/>
      <c r="T193" s="16"/>
      <c r="U193" s="16"/>
      <c r="V193" s="16"/>
      <c r="W193" s="15"/>
      <c r="X193" s="15"/>
      <c r="Y193" s="15"/>
      <c r="Z193" s="15"/>
    </row>
    <row r="194" customHeight="1" spans="1:26">
      <c r="A194" s="17"/>
      <c r="B194" s="15"/>
      <c r="C194" s="15"/>
      <c r="D194" s="15"/>
      <c r="E194" s="15"/>
      <c r="F194" s="15"/>
      <c r="G194" s="15"/>
      <c r="H194" s="16"/>
      <c r="I194" s="16"/>
      <c r="J194" s="16"/>
      <c r="K194" s="16"/>
      <c r="L194" s="16"/>
      <c r="M194" s="16"/>
      <c r="N194" s="16"/>
      <c r="O194" s="16"/>
      <c r="P194" s="16"/>
      <c r="Q194" s="16"/>
      <c r="R194" s="16"/>
      <c r="S194" s="16"/>
      <c r="T194" s="16"/>
      <c r="U194" s="16"/>
      <c r="V194" s="16"/>
      <c r="W194" s="15"/>
      <c r="X194" s="15"/>
      <c r="Y194" s="15"/>
      <c r="Z194" s="15"/>
    </row>
    <row r="195" customHeight="1" spans="1:26">
      <c r="A195" s="17"/>
      <c r="B195" s="15"/>
      <c r="C195" s="15"/>
      <c r="D195" s="15"/>
      <c r="E195" s="15"/>
      <c r="F195" s="15"/>
      <c r="G195" s="15"/>
      <c r="H195" s="16"/>
      <c r="I195" s="16"/>
      <c r="J195" s="16"/>
      <c r="K195" s="16"/>
      <c r="L195" s="16"/>
      <c r="M195" s="16"/>
      <c r="N195" s="16"/>
      <c r="O195" s="16"/>
      <c r="P195" s="16"/>
      <c r="Q195" s="16"/>
      <c r="R195" s="16"/>
      <c r="S195" s="16"/>
      <c r="T195" s="16"/>
      <c r="U195" s="16"/>
      <c r="V195" s="16"/>
      <c r="W195" s="15"/>
      <c r="X195" s="15"/>
      <c r="Y195" s="15"/>
      <c r="Z195" s="15"/>
    </row>
    <row r="196" customHeight="1" spans="1:26">
      <c r="A196" s="17"/>
      <c r="B196" s="15"/>
      <c r="C196" s="15"/>
      <c r="D196" s="15"/>
      <c r="E196" s="15"/>
      <c r="F196" s="15"/>
      <c r="G196" s="15"/>
      <c r="H196" s="16"/>
      <c r="I196" s="16"/>
      <c r="J196" s="16"/>
      <c r="K196" s="16"/>
      <c r="L196" s="16"/>
      <c r="M196" s="16"/>
      <c r="N196" s="16"/>
      <c r="O196" s="16"/>
      <c r="P196" s="16"/>
      <c r="Q196" s="16"/>
      <c r="R196" s="16"/>
      <c r="S196" s="16"/>
      <c r="T196" s="16"/>
      <c r="U196" s="16"/>
      <c r="V196" s="16"/>
      <c r="W196" s="15"/>
      <c r="X196" s="15"/>
      <c r="Y196" s="15"/>
      <c r="Z196" s="15"/>
    </row>
    <row r="197" customHeight="1" spans="1:26">
      <c r="A197" s="17"/>
      <c r="B197" s="15"/>
      <c r="C197" s="15"/>
      <c r="D197" s="15"/>
      <c r="E197" s="15"/>
      <c r="F197" s="15"/>
      <c r="G197" s="15"/>
      <c r="H197" s="16"/>
      <c r="I197" s="16"/>
      <c r="J197" s="16"/>
      <c r="K197" s="16"/>
      <c r="L197" s="16"/>
      <c r="M197" s="16"/>
      <c r="N197" s="16"/>
      <c r="O197" s="16"/>
      <c r="P197" s="16"/>
      <c r="Q197" s="16"/>
      <c r="R197" s="16"/>
      <c r="S197" s="16"/>
      <c r="T197" s="16"/>
      <c r="U197" s="16"/>
      <c r="V197" s="16"/>
      <c r="W197" s="15"/>
      <c r="X197" s="15"/>
      <c r="Y197" s="15"/>
      <c r="Z197" s="15"/>
    </row>
    <row r="198" customHeight="1" spans="1:26">
      <c r="A198" s="17"/>
      <c r="B198" s="15"/>
      <c r="C198" s="15"/>
      <c r="D198" s="15"/>
      <c r="E198" s="15"/>
      <c r="F198" s="15"/>
      <c r="G198" s="15"/>
      <c r="H198" s="16"/>
      <c r="I198" s="16"/>
      <c r="J198" s="16"/>
      <c r="K198" s="16"/>
      <c r="L198" s="16"/>
      <c r="M198" s="16"/>
      <c r="N198" s="16"/>
      <c r="O198" s="16"/>
      <c r="P198" s="16"/>
      <c r="Q198" s="16"/>
      <c r="R198" s="16"/>
      <c r="S198" s="16"/>
      <c r="T198" s="16"/>
      <c r="U198" s="16"/>
      <c r="V198" s="16"/>
      <c r="W198" s="15"/>
      <c r="X198" s="15"/>
      <c r="Y198" s="15"/>
      <c r="Z198" s="15"/>
    </row>
    <row r="199" customHeight="1" spans="1:26">
      <c r="A199" s="17"/>
      <c r="B199" s="15"/>
      <c r="C199" s="15"/>
      <c r="D199" s="15"/>
      <c r="E199" s="15"/>
      <c r="F199" s="15"/>
      <c r="G199" s="15"/>
      <c r="H199" s="16"/>
      <c r="I199" s="16"/>
      <c r="J199" s="16"/>
      <c r="K199" s="16"/>
      <c r="L199" s="16"/>
      <c r="M199" s="16"/>
      <c r="N199" s="16"/>
      <c r="O199" s="16"/>
      <c r="P199" s="16"/>
      <c r="Q199" s="16"/>
      <c r="R199" s="16"/>
      <c r="S199" s="16"/>
      <c r="T199" s="16"/>
      <c r="U199" s="16"/>
      <c r="V199" s="16"/>
      <c r="W199" s="15"/>
      <c r="X199" s="15"/>
      <c r="Y199" s="15"/>
      <c r="Z199" s="15"/>
    </row>
    <row r="200" customHeight="1" spans="1:26">
      <c r="A200" s="17"/>
      <c r="B200" s="15"/>
      <c r="C200" s="15"/>
      <c r="D200" s="15"/>
      <c r="E200" s="15"/>
      <c r="F200" s="15"/>
      <c r="G200" s="15"/>
      <c r="H200" s="16"/>
      <c r="I200" s="16"/>
      <c r="J200" s="16"/>
      <c r="K200" s="16"/>
      <c r="L200" s="16"/>
      <c r="M200" s="16"/>
      <c r="N200" s="16"/>
      <c r="O200" s="16"/>
      <c r="P200" s="16"/>
      <c r="Q200" s="16"/>
      <c r="R200" s="16"/>
      <c r="S200" s="16"/>
      <c r="T200" s="16"/>
      <c r="U200" s="16"/>
      <c r="V200" s="16"/>
      <c r="W200" s="15"/>
      <c r="X200" s="15"/>
      <c r="Y200" s="15"/>
      <c r="Z200" s="15"/>
    </row>
    <row r="201" customHeight="1" spans="1:26">
      <c r="A201" s="17"/>
      <c r="B201" s="15"/>
      <c r="C201" s="15"/>
      <c r="D201" s="15"/>
      <c r="E201" s="15"/>
      <c r="F201" s="15"/>
      <c r="G201" s="15"/>
      <c r="H201" s="16"/>
      <c r="I201" s="16"/>
      <c r="J201" s="16"/>
      <c r="K201" s="16"/>
      <c r="L201" s="16"/>
      <c r="M201" s="16"/>
      <c r="N201" s="16"/>
      <c r="O201" s="16"/>
      <c r="P201" s="16"/>
      <c r="Q201" s="16"/>
      <c r="R201" s="16"/>
      <c r="S201" s="16"/>
      <c r="T201" s="16"/>
      <c r="U201" s="16"/>
      <c r="V201" s="16"/>
      <c r="W201" s="15"/>
      <c r="X201" s="15"/>
      <c r="Y201" s="15"/>
      <c r="Z201" s="15"/>
    </row>
    <row r="202" customHeight="1" spans="1:26">
      <c r="A202" s="17"/>
      <c r="B202" s="15"/>
      <c r="C202" s="15"/>
      <c r="D202" s="15"/>
      <c r="E202" s="15"/>
      <c r="F202" s="15"/>
      <c r="G202" s="15"/>
      <c r="H202" s="16"/>
      <c r="I202" s="16"/>
      <c r="J202" s="16"/>
      <c r="K202" s="16"/>
      <c r="L202" s="16"/>
      <c r="M202" s="16"/>
      <c r="N202" s="16"/>
      <c r="O202" s="16"/>
      <c r="P202" s="16"/>
      <c r="Q202" s="16"/>
      <c r="R202" s="16"/>
      <c r="S202" s="16"/>
      <c r="T202" s="16"/>
      <c r="U202" s="16"/>
      <c r="V202" s="16"/>
      <c r="W202" s="15"/>
      <c r="X202" s="15"/>
      <c r="Y202" s="15"/>
      <c r="Z202" s="15"/>
    </row>
    <row r="203" customHeight="1" spans="1:26">
      <c r="A203" s="17"/>
      <c r="B203" s="15"/>
      <c r="C203" s="15"/>
      <c r="D203" s="15"/>
      <c r="E203" s="15"/>
      <c r="F203" s="15"/>
      <c r="G203" s="15"/>
      <c r="H203" s="16"/>
      <c r="I203" s="16"/>
      <c r="J203" s="16"/>
      <c r="K203" s="16"/>
      <c r="L203" s="16"/>
      <c r="M203" s="16"/>
      <c r="N203" s="16"/>
      <c r="O203" s="16"/>
      <c r="P203" s="16"/>
      <c r="Q203" s="16"/>
      <c r="R203" s="16"/>
      <c r="S203" s="16"/>
      <c r="T203" s="16"/>
      <c r="U203" s="16"/>
      <c r="V203" s="16"/>
      <c r="W203" s="15"/>
      <c r="X203" s="15"/>
      <c r="Y203" s="15"/>
      <c r="Z203" s="15"/>
    </row>
    <row r="204" customHeight="1" spans="1:26">
      <c r="A204" s="17"/>
      <c r="B204" s="15"/>
      <c r="C204" s="15"/>
      <c r="D204" s="15"/>
      <c r="E204" s="15"/>
      <c r="F204" s="15"/>
      <c r="G204" s="15"/>
      <c r="H204" s="16"/>
      <c r="I204" s="16"/>
      <c r="J204" s="16"/>
      <c r="K204" s="16"/>
      <c r="L204" s="16"/>
      <c r="M204" s="16"/>
      <c r="N204" s="16"/>
      <c r="O204" s="16"/>
      <c r="P204" s="16"/>
      <c r="Q204" s="16"/>
      <c r="R204" s="16"/>
      <c r="S204" s="16"/>
      <c r="T204" s="16"/>
      <c r="U204" s="16"/>
      <c r="V204" s="16"/>
      <c r="W204" s="15"/>
      <c r="X204" s="15"/>
      <c r="Y204" s="15"/>
      <c r="Z204" s="15"/>
    </row>
    <row r="205" customHeight="1" spans="1:26">
      <c r="A205" s="17"/>
      <c r="B205" s="15"/>
      <c r="C205" s="15"/>
      <c r="D205" s="15"/>
      <c r="E205" s="15"/>
      <c r="F205" s="15"/>
      <c r="G205" s="15"/>
      <c r="H205" s="16"/>
      <c r="I205" s="16"/>
      <c r="J205" s="16"/>
      <c r="K205" s="16"/>
      <c r="L205" s="16"/>
      <c r="M205" s="16"/>
      <c r="N205" s="16"/>
      <c r="O205" s="16"/>
      <c r="P205" s="16"/>
      <c r="Q205" s="16"/>
      <c r="R205" s="16"/>
      <c r="S205" s="16"/>
      <c r="T205" s="16"/>
      <c r="U205" s="16"/>
      <c r="V205" s="16"/>
      <c r="W205" s="15"/>
      <c r="X205" s="15"/>
      <c r="Y205" s="15"/>
      <c r="Z205" s="15"/>
    </row>
    <row r="206" customHeight="1" spans="1:26">
      <c r="A206" s="17"/>
      <c r="B206" s="15"/>
      <c r="C206" s="15"/>
      <c r="D206" s="15"/>
      <c r="E206" s="15"/>
      <c r="F206" s="15"/>
      <c r="G206" s="15"/>
      <c r="H206" s="16"/>
      <c r="I206" s="16"/>
      <c r="J206" s="16"/>
      <c r="K206" s="16"/>
      <c r="L206" s="16"/>
      <c r="M206" s="16"/>
      <c r="N206" s="16"/>
      <c r="O206" s="16"/>
      <c r="P206" s="16"/>
      <c r="Q206" s="16"/>
      <c r="R206" s="16"/>
      <c r="S206" s="16"/>
      <c r="T206" s="16"/>
      <c r="U206" s="16"/>
      <c r="V206" s="16"/>
      <c r="W206" s="15"/>
      <c r="X206" s="15"/>
      <c r="Y206" s="15"/>
      <c r="Z206" s="15"/>
    </row>
    <row r="207" customHeight="1" spans="1:26">
      <c r="A207" s="17"/>
      <c r="B207" s="15"/>
      <c r="C207" s="15"/>
      <c r="D207" s="15"/>
      <c r="E207" s="15"/>
      <c r="F207" s="15"/>
      <c r="G207" s="15"/>
      <c r="H207" s="16"/>
      <c r="I207" s="16"/>
      <c r="J207" s="16"/>
      <c r="K207" s="16"/>
      <c r="L207" s="16"/>
      <c r="M207" s="16"/>
      <c r="N207" s="16"/>
      <c r="O207" s="16"/>
      <c r="P207" s="16"/>
      <c r="Q207" s="16"/>
      <c r="R207" s="16"/>
      <c r="S207" s="16"/>
      <c r="T207" s="16"/>
      <c r="U207" s="16"/>
      <c r="V207" s="16"/>
      <c r="W207" s="15"/>
      <c r="X207" s="15"/>
      <c r="Y207" s="15"/>
      <c r="Z207" s="15"/>
    </row>
    <row r="208" customHeight="1" spans="1:26">
      <c r="A208" s="17"/>
      <c r="B208" s="15"/>
      <c r="C208" s="15"/>
      <c r="D208" s="15"/>
      <c r="E208" s="15"/>
      <c r="F208" s="15"/>
      <c r="G208" s="15"/>
      <c r="H208" s="16"/>
      <c r="I208" s="16"/>
      <c r="J208" s="16"/>
      <c r="K208" s="16"/>
      <c r="L208" s="16"/>
      <c r="M208" s="16"/>
      <c r="N208" s="16"/>
      <c r="O208" s="16"/>
      <c r="P208" s="16"/>
      <c r="Q208" s="16"/>
      <c r="R208" s="16"/>
      <c r="S208" s="16"/>
      <c r="T208" s="16"/>
      <c r="U208" s="16"/>
      <c r="V208" s="16"/>
      <c r="W208" s="15"/>
      <c r="X208" s="15"/>
      <c r="Y208" s="15"/>
      <c r="Z208" s="15"/>
    </row>
    <row r="209" customHeight="1" spans="1:26">
      <c r="A209" s="17"/>
      <c r="B209" s="15"/>
      <c r="C209" s="15"/>
      <c r="D209" s="15"/>
      <c r="E209" s="15"/>
      <c r="F209" s="15"/>
      <c r="G209" s="15"/>
      <c r="H209" s="16"/>
      <c r="I209" s="16"/>
      <c r="J209" s="16"/>
      <c r="K209" s="16"/>
      <c r="L209" s="16"/>
      <c r="M209" s="16"/>
      <c r="N209" s="16"/>
      <c r="O209" s="16"/>
      <c r="P209" s="16"/>
      <c r="Q209" s="16"/>
      <c r="R209" s="16"/>
      <c r="S209" s="16"/>
      <c r="T209" s="16"/>
      <c r="U209" s="16"/>
      <c r="V209" s="16"/>
      <c r="W209" s="15"/>
      <c r="X209" s="15"/>
      <c r="Y209" s="15"/>
      <c r="Z209" s="15"/>
    </row>
    <row r="210" customHeight="1" spans="1:26">
      <c r="A210" s="17"/>
      <c r="B210" s="15"/>
      <c r="C210" s="15"/>
      <c r="D210" s="15"/>
      <c r="E210" s="15"/>
      <c r="F210" s="15"/>
      <c r="G210" s="15"/>
      <c r="H210" s="16"/>
      <c r="I210" s="16"/>
      <c r="J210" s="16"/>
      <c r="K210" s="16"/>
      <c r="L210" s="16"/>
      <c r="M210" s="16"/>
      <c r="N210" s="16"/>
      <c r="O210" s="16"/>
      <c r="P210" s="16"/>
      <c r="Q210" s="16"/>
      <c r="R210" s="16"/>
      <c r="S210" s="16"/>
      <c r="T210" s="16"/>
      <c r="U210" s="16"/>
      <c r="V210" s="16"/>
      <c r="W210" s="15"/>
      <c r="X210" s="15"/>
      <c r="Y210" s="15"/>
      <c r="Z210" s="15"/>
    </row>
    <row r="211" customHeight="1" spans="1:26">
      <c r="A211" s="17"/>
      <c r="B211" s="15"/>
      <c r="C211" s="15"/>
      <c r="D211" s="15"/>
      <c r="E211" s="15"/>
      <c r="F211" s="15"/>
      <c r="G211" s="15"/>
      <c r="H211" s="16"/>
      <c r="I211" s="16"/>
      <c r="J211" s="16"/>
      <c r="K211" s="16"/>
      <c r="L211" s="16"/>
      <c r="M211" s="16"/>
      <c r="N211" s="16"/>
      <c r="O211" s="16"/>
      <c r="P211" s="16"/>
      <c r="Q211" s="16"/>
      <c r="R211" s="16"/>
      <c r="S211" s="16"/>
      <c r="T211" s="16"/>
      <c r="U211" s="16"/>
      <c r="V211" s="16"/>
      <c r="W211" s="15"/>
      <c r="X211" s="15"/>
      <c r="Y211" s="15"/>
      <c r="Z211" s="15"/>
    </row>
    <row r="212" customHeight="1" spans="1:26">
      <c r="A212" s="17"/>
      <c r="B212" s="15"/>
      <c r="C212" s="15"/>
      <c r="D212" s="15"/>
      <c r="E212" s="15"/>
      <c r="F212" s="15"/>
      <c r="G212" s="15"/>
      <c r="H212" s="16"/>
      <c r="I212" s="16"/>
      <c r="J212" s="16"/>
      <c r="K212" s="16"/>
      <c r="L212" s="16"/>
      <c r="M212" s="16"/>
      <c r="N212" s="16"/>
      <c r="O212" s="16"/>
      <c r="P212" s="16"/>
      <c r="Q212" s="16"/>
      <c r="R212" s="16"/>
      <c r="S212" s="16"/>
      <c r="T212" s="16"/>
      <c r="U212" s="16"/>
      <c r="V212" s="16"/>
      <c r="W212" s="15"/>
      <c r="X212" s="15"/>
      <c r="Y212" s="15"/>
      <c r="Z212" s="15"/>
    </row>
    <row r="213" customHeight="1" spans="1:26">
      <c r="A213" s="17"/>
      <c r="B213" s="15"/>
      <c r="C213" s="15"/>
      <c r="D213" s="15"/>
      <c r="E213" s="15"/>
      <c r="F213" s="15"/>
      <c r="G213" s="15"/>
      <c r="H213" s="16"/>
      <c r="I213" s="16"/>
      <c r="J213" s="16"/>
      <c r="K213" s="16"/>
      <c r="L213" s="16"/>
      <c r="M213" s="16"/>
      <c r="N213" s="16"/>
      <c r="O213" s="16"/>
      <c r="P213" s="16"/>
      <c r="Q213" s="16"/>
      <c r="R213" s="16"/>
      <c r="S213" s="16"/>
      <c r="T213" s="16"/>
      <c r="U213" s="16"/>
      <c r="V213" s="16"/>
      <c r="W213" s="15"/>
      <c r="X213" s="15"/>
      <c r="Y213" s="15"/>
      <c r="Z213" s="15"/>
    </row>
    <row r="214" customHeight="1" spans="1:26">
      <c r="A214" s="17"/>
      <c r="B214" s="15"/>
      <c r="C214" s="15"/>
      <c r="D214" s="15"/>
      <c r="E214" s="15"/>
      <c r="F214" s="15"/>
      <c r="G214" s="15"/>
      <c r="H214" s="16"/>
      <c r="I214" s="16"/>
      <c r="J214" s="16"/>
      <c r="K214" s="16"/>
      <c r="L214" s="16"/>
      <c r="M214" s="16"/>
      <c r="N214" s="16"/>
      <c r="O214" s="16"/>
      <c r="P214" s="16"/>
      <c r="Q214" s="16"/>
      <c r="R214" s="16"/>
      <c r="S214" s="16"/>
      <c r="T214" s="16"/>
      <c r="U214" s="16"/>
      <c r="V214" s="16"/>
      <c r="W214" s="15"/>
      <c r="X214" s="15"/>
      <c r="Y214" s="15"/>
      <c r="Z214" s="15"/>
    </row>
    <row r="215" customHeight="1" spans="1:26">
      <c r="A215" s="17"/>
      <c r="B215" s="15"/>
      <c r="C215" s="15"/>
      <c r="D215" s="15"/>
      <c r="E215" s="15"/>
      <c r="F215" s="15"/>
      <c r="G215" s="15"/>
      <c r="H215" s="16"/>
      <c r="I215" s="16"/>
      <c r="J215" s="16"/>
      <c r="K215" s="16"/>
      <c r="L215" s="16"/>
      <c r="M215" s="16"/>
      <c r="N215" s="16"/>
      <c r="O215" s="16"/>
      <c r="P215" s="16"/>
      <c r="Q215" s="16"/>
      <c r="R215" s="16"/>
      <c r="S215" s="16"/>
      <c r="T215" s="16"/>
      <c r="U215" s="16"/>
      <c r="V215" s="16"/>
      <c r="W215" s="15"/>
      <c r="X215" s="15"/>
      <c r="Y215" s="15"/>
      <c r="Z215" s="15"/>
    </row>
    <row r="216" customHeight="1" spans="1:26">
      <c r="A216" s="17"/>
      <c r="B216" s="15"/>
      <c r="C216" s="15"/>
      <c r="D216" s="15"/>
      <c r="E216" s="15"/>
      <c r="F216" s="15"/>
      <c r="G216" s="15"/>
      <c r="H216" s="16"/>
      <c r="I216" s="16"/>
      <c r="J216" s="16"/>
      <c r="K216" s="16"/>
      <c r="L216" s="16"/>
      <c r="M216" s="16"/>
      <c r="N216" s="16"/>
      <c r="O216" s="16"/>
      <c r="P216" s="16"/>
      <c r="Q216" s="16"/>
      <c r="R216" s="16"/>
      <c r="S216" s="16"/>
      <c r="T216" s="16"/>
      <c r="U216" s="16"/>
      <c r="V216" s="16"/>
      <c r="W216" s="15"/>
      <c r="X216" s="15"/>
      <c r="Y216" s="15"/>
      <c r="Z216" s="15"/>
    </row>
    <row r="217" customHeight="1" spans="1:26">
      <c r="A217" s="17"/>
      <c r="B217" s="15"/>
      <c r="C217" s="15"/>
      <c r="D217" s="15"/>
      <c r="E217" s="15"/>
      <c r="F217" s="15"/>
      <c r="G217" s="15"/>
      <c r="H217" s="16"/>
      <c r="I217" s="16"/>
      <c r="J217" s="16"/>
      <c r="K217" s="16"/>
      <c r="L217" s="16"/>
      <c r="M217" s="16"/>
      <c r="N217" s="16"/>
      <c r="O217" s="16"/>
      <c r="P217" s="16"/>
      <c r="Q217" s="16"/>
      <c r="R217" s="16"/>
      <c r="S217" s="16"/>
      <c r="T217" s="16"/>
      <c r="U217" s="16"/>
      <c r="V217" s="16"/>
      <c r="W217" s="15"/>
      <c r="X217" s="15"/>
      <c r="Y217" s="15"/>
      <c r="Z217" s="15"/>
    </row>
    <row r="218" customHeight="1" spans="1:26">
      <c r="A218" s="17"/>
      <c r="B218" s="15"/>
      <c r="C218" s="15"/>
      <c r="D218" s="15"/>
      <c r="E218" s="15"/>
      <c r="F218" s="15"/>
      <c r="G218" s="15"/>
      <c r="H218" s="16"/>
      <c r="I218" s="16"/>
      <c r="J218" s="16"/>
      <c r="K218" s="16"/>
      <c r="L218" s="16"/>
      <c r="M218" s="16"/>
      <c r="N218" s="16"/>
      <c r="O218" s="16"/>
      <c r="P218" s="16"/>
      <c r="Q218" s="16"/>
      <c r="R218" s="16"/>
      <c r="S218" s="16"/>
      <c r="T218" s="16"/>
      <c r="U218" s="16"/>
      <c r="V218" s="16"/>
      <c r="W218" s="15"/>
      <c r="X218" s="15"/>
      <c r="Y218" s="15"/>
      <c r="Z218" s="15"/>
    </row>
    <row r="219" customHeight="1" spans="1:26">
      <c r="A219" s="17"/>
      <c r="B219" s="15"/>
      <c r="C219" s="15"/>
      <c r="D219" s="15"/>
      <c r="E219" s="15"/>
      <c r="F219" s="15"/>
      <c r="G219" s="15"/>
      <c r="H219" s="16"/>
      <c r="I219" s="16"/>
      <c r="J219" s="16"/>
      <c r="K219" s="16"/>
      <c r="L219" s="16"/>
      <c r="M219" s="16"/>
      <c r="N219" s="16"/>
      <c r="O219" s="16"/>
      <c r="P219" s="16"/>
      <c r="Q219" s="16"/>
      <c r="R219" s="16"/>
      <c r="S219" s="16"/>
      <c r="T219" s="16"/>
      <c r="U219" s="16"/>
      <c r="V219" s="16"/>
      <c r="W219" s="15"/>
      <c r="X219" s="15"/>
      <c r="Y219" s="15"/>
      <c r="Z219" s="15"/>
    </row>
    <row r="220" customHeight="1" spans="1:26">
      <c r="A220" s="17"/>
      <c r="B220" s="15"/>
      <c r="C220" s="15"/>
      <c r="D220" s="15"/>
      <c r="E220" s="15"/>
      <c r="F220" s="15"/>
      <c r="G220" s="15"/>
      <c r="H220" s="16"/>
      <c r="I220" s="16"/>
      <c r="J220" s="16"/>
      <c r="K220" s="16"/>
      <c r="L220" s="16"/>
      <c r="M220" s="16"/>
      <c r="N220" s="16"/>
      <c r="O220" s="16"/>
      <c r="P220" s="16"/>
      <c r="Q220" s="16"/>
      <c r="R220" s="16"/>
      <c r="S220" s="16"/>
      <c r="T220" s="16"/>
      <c r="U220" s="16"/>
      <c r="V220" s="16"/>
      <c r="W220" s="15"/>
      <c r="X220" s="15"/>
      <c r="Y220" s="15"/>
      <c r="Z220" s="15"/>
    </row>
    <row r="221" customHeight="1" spans="1:26">
      <c r="A221" s="17"/>
      <c r="B221" s="15"/>
      <c r="C221" s="15"/>
      <c r="D221" s="15"/>
      <c r="E221" s="15"/>
      <c r="F221" s="15"/>
      <c r="G221" s="15"/>
      <c r="H221" s="16"/>
      <c r="I221" s="16"/>
      <c r="J221" s="16"/>
      <c r="K221" s="16"/>
      <c r="L221" s="16"/>
      <c r="M221" s="16"/>
      <c r="N221" s="16"/>
      <c r="O221" s="16"/>
      <c r="P221" s="16"/>
      <c r="Q221" s="16"/>
      <c r="R221" s="16"/>
      <c r="S221" s="16"/>
      <c r="T221" s="16"/>
      <c r="U221" s="16"/>
      <c r="V221" s="16"/>
      <c r="W221" s="15"/>
      <c r="X221" s="15"/>
      <c r="Y221" s="15"/>
      <c r="Z221" s="15"/>
    </row>
    <row r="222" customHeight="1" spans="1:26">
      <c r="A222" s="17"/>
      <c r="B222" s="15"/>
      <c r="C222" s="15"/>
      <c r="D222" s="15"/>
      <c r="E222" s="15"/>
      <c r="F222" s="15"/>
      <c r="G222" s="15"/>
      <c r="H222" s="16"/>
      <c r="I222" s="16"/>
      <c r="J222" s="16"/>
      <c r="K222" s="16"/>
      <c r="L222" s="16"/>
      <c r="M222" s="16"/>
      <c r="N222" s="16"/>
      <c r="O222" s="16"/>
      <c r="P222" s="16"/>
      <c r="Q222" s="16"/>
      <c r="R222" s="16"/>
      <c r="S222" s="16"/>
      <c r="T222" s="16"/>
      <c r="U222" s="16"/>
      <c r="V222" s="16"/>
      <c r="W222" s="15"/>
      <c r="X222" s="15"/>
      <c r="Y222" s="15"/>
      <c r="Z222" s="15"/>
    </row>
    <row r="223" customHeight="1" spans="1:26">
      <c r="A223" s="17"/>
      <c r="B223" s="15"/>
      <c r="C223" s="15"/>
      <c r="D223" s="15"/>
      <c r="E223" s="15"/>
      <c r="F223" s="15"/>
      <c r="G223" s="15"/>
      <c r="H223" s="16"/>
      <c r="I223" s="16"/>
      <c r="J223" s="16"/>
      <c r="K223" s="16"/>
      <c r="L223" s="16"/>
      <c r="M223" s="16"/>
      <c r="N223" s="16"/>
      <c r="O223" s="16"/>
      <c r="P223" s="16"/>
      <c r="Q223" s="16"/>
      <c r="R223" s="16"/>
      <c r="S223" s="16"/>
      <c r="T223" s="16"/>
      <c r="U223" s="16"/>
      <c r="V223" s="16"/>
      <c r="W223" s="15"/>
      <c r="X223" s="15"/>
      <c r="Y223" s="15"/>
      <c r="Z223" s="15"/>
    </row>
    <row r="224" customHeight="1" spans="1:26">
      <c r="A224" s="17"/>
      <c r="B224" s="15"/>
      <c r="C224" s="15"/>
      <c r="D224" s="15"/>
      <c r="E224" s="15"/>
      <c r="F224" s="15"/>
      <c r="G224" s="15"/>
      <c r="H224" s="16"/>
      <c r="I224" s="16"/>
      <c r="J224" s="16"/>
      <c r="K224" s="16"/>
      <c r="L224" s="16"/>
      <c r="M224" s="16"/>
      <c r="N224" s="16"/>
      <c r="O224" s="16"/>
      <c r="P224" s="16"/>
      <c r="Q224" s="16"/>
      <c r="R224" s="16"/>
      <c r="S224" s="16"/>
      <c r="T224" s="16"/>
      <c r="U224" s="16"/>
      <c r="V224" s="16"/>
      <c r="W224" s="15"/>
      <c r="X224" s="15"/>
      <c r="Y224" s="15"/>
      <c r="Z224" s="15"/>
    </row>
    <row r="225" customHeight="1" spans="1:26">
      <c r="A225" s="17"/>
      <c r="B225" s="15"/>
      <c r="C225" s="15"/>
      <c r="D225" s="15"/>
      <c r="E225" s="15"/>
      <c r="F225" s="15"/>
      <c r="G225" s="15"/>
      <c r="H225" s="16"/>
      <c r="I225" s="16"/>
      <c r="J225" s="16"/>
      <c r="K225" s="16"/>
      <c r="L225" s="16"/>
      <c r="M225" s="16"/>
      <c r="N225" s="16"/>
      <c r="O225" s="16"/>
      <c r="P225" s="16"/>
      <c r="Q225" s="16"/>
      <c r="R225" s="16"/>
      <c r="S225" s="16"/>
      <c r="T225" s="16"/>
      <c r="U225" s="16"/>
      <c r="V225" s="16"/>
      <c r="W225" s="15"/>
      <c r="X225" s="15"/>
      <c r="Y225" s="15"/>
      <c r="Z225" s="15"/>
    </row>
    <row r="226" customHeight="1" spans="1:26">
      <c r="A226" s="17"/>
      <c r="B226" s="15"/>
      <c r="C226" s="15"/>
      <c r="D226" s="15"/>
      <c r="E226" s="15"/>
      <c r="F226" s="15"/>
      <c r="G226" s="15"/>
      <c r="H226" s="16"/>
      <c r="I226" s="16"/>
      <c r="J226" s="16"/>
      <c r="K226" s="16"/>
      <c r="L226" s="16"/>
      <c r="M226" s="16"/>
      <c r="N226" s="16"/>
      <c r="O226" s="16"/>
      <c r="P226" s="16"/>
      <c r="Q226" s="16"/>
      <c r="R226" s="16"/>
      <c r="S226" s="16"/>
      <c r="T226" s="16"/>
      <c r="U226" s="16"/>
      <c r="V226" s="16"/>
      <c r="W226" s="15"/>
      <c r="X226" s="15"/>
      <c r="Y226" s="15"/>
      <c r="Z226" s="15"/>
    </row>
    <row r="227" customHeight="1" spans="1:26">
      <c r="A227" s="17"/>
      <c r="B227" s="15"/>
      <c r="C227" s="15"/>
      <c r="D227" s="15"/>
      <c r="E227" s="15"/>
      <c r="F227" s="15"/>
      <c r="G227" s="15"/>
      <c r="H227" s="16"/>
      <c r="I227" s="16"/>
      <c r="J227" s="16"/>
      <c r="K227" s="16"/>
      <c r="L227" s="16"/>
      <c r="M227" s="16"/>
      <c r="N227" s="16"/>
      <c r="O227" s="16"/>
      <c r="P227" s="16"/>
      <c r="Q227" s="16"/>
      <c r="R227" s="16"/>
      <c r="S227" s="16"/>
      <c r="T227" s="16"/>
      <c r="U227" s="16"/>
      <c r="V227" s="16"/>
      <c r="W227" s="15"/>
      <c r="X227" s="15"/>
      <c r="Y227" s="15"/>
      <c r="Z227" s="15"/>
    </row>
    <row r="228" customHeight="1" spans="1:26">
      <c r="A228" s="17"/>
      <c r="B228" s="15"/>
      <c r="C228" s="15"/>
      <c r="D228" s="15"/>
      <c r="E228" s="15"/>
      <c r="F228" s="15"/>
      <c r="G228" s="15"/>
      <c r="H228" s="16"/>
      <c r="I228" s="16"/>
      <c r="J228" s="16"/>
      <c r="K228" s="16"/>
      <c r="L228" s="16"/>
      <c r="M228" s="16"/>
      <c r="N228" s="16"/>
      <c r="O228" s="16"/>
      <c r="P228" s="16"/>
      <c r="Q228" s="16"/>
      <c r="R228" s="16"/>
      <c r="S228" s="16"/>
      <c r="T228" s="16"/>
      <c r="U228" s="16"/>
      <c r="V228" s="16"/>
      <c r="W228" s="15"/>
      <c r="X228" s="15"/>
      <c r="Y228" s="15"/>
      <c r="Z228" s="15"/>
    </row>
    <row r="229" customHeight="1" spans="1:26">
      <c r="A229" s="17"/>
      <c r="B229" s="15"/>
      <c r="C229" s="15"/>
      <c r="D229" s="15"/>
      <c r="E229" s="15"/>
      <c r="F229" s="15"/>
      <c r="G229" s="15"/>
      <c r="H229" s="16"/>
      <c r="I229" s="16"/>
      <c r="J229" s="16"/>
      <c r="K229" s="16"/>
      <c r="L229" s="16"/>
      <c r="M229" s="16"/>
      <c r="N229" s="16"/>
      <c r="O229" s="16"/>
      <c r="P229" s="16"/>
      <c r="Q229" s="16"/>
      <c r="R229" s="16"/>
      <c r="S229" s="16"/>
      <c r="T229" s="16"/>
      <c r="U229" s="16"/>
      <c r="V229" s="16"/>
      <c r="W229" s="15"/>
      <c r="X229" s="15"/>
      <c r="Y229" s="15"/>
      <c r="Z229" s="15"/>
    </row>
    <row r="230" customHeight="1" spans="1:26">
      <c r="A230" s="17"/>
      <c r="B230" s="15"/>
      <c r="C230" s="15"/>
      <c r="D230" s="15"/>
      <c r="E230" s="15"/>
      <c r="F230" s="15"/>
      <c r="G230" s="15"/>
      <c r="H230" s="16"/>
      <c r="I230" s="16"/>
      <c r="J230" s="16"/>
      <c r="K230" s="16"/>
      <c r="L230" s="16"/>
      <c r="M230" s="16"/>
      <c r="N230" s="16"/>
      <c r="O230" s="16"/>
      <c r="P230" s="16"/>
      <c r="Q230" s="16"/>
      <c r="R230" s="16"/>
      <c r="S230" s="16"/>
      <c r="T230" s="16"/>
      <c r="U230" s="16"/>
      <c r="V230" s="16"/>
      <c r="W230" s="15"/>
      <c r="X230" s="15"/>
      <c r="Y230" s="15"/>
      <c r="Z230" s="15"/>
    </row>
    <row r="231" customHeight="1" spans="1:26">
      <c r="A231" s="17"/>
      <c r="B231" s="15"/>
      <c r="C231" s="15"/>
      <c r="D231" s="15"/>
      <c r="E231" s="15"/>
      <c r="F231" s="15"/>
      <c r="G231" s="15"/>
      <c r="H231" s="16"/>
      <c r="I231" s="16"/>
      <c r="J231" s="16"/>
      <c r="K231" s="16"/>
      <c r="L231" s="16"/>
      <c r="M231" s="16"/>
      <c r="N231" s="16"/>
      <c r="O231" s="16"/>
      <c r="P231" s="16"/>
      <c r="Q231" s="16"/>
      <c r="R231" s="16"/>
      <c r="S231" s="16"/>
      <c r="T231" s="16"/>
      <c r="U231" s="16"/>
      <c r="V231" s="16"/>
      <c r="W231" s="15"/>
      <c r="X231" s="15"/>
      <c r="Y231" s="15"/>
      <c r="Z231" s="15"/>
    </row>
    <row r="232" customHeight="1" spans="1:26">
      <c r="A232" s="17"/>
      <c r="B232" s="15"/>
      <c r="C232" s="15"/>
      <c r="D232" s="15"/>
      <c r="E232" s="15"/>
      <c r="F232" s="15"/>
      <c r="G232" s="15"/>
      <c r="H232" s="16"/>
      <c r="I232" s="16"/>
      <c r="J232" s="16"/>
      <c r="K232" s="16"/>
      <c r="L232" s="16"/>
      <c r="M232" s="16"/>
      <c r="N232" s="16"/>
      <c r="O232" s="16"/>
      <c r="P232" s="16"/>
      <c r="Q232" s="16"/>
      <c r="R232" s="16"/>
      <c r="S232" s="16"/>
      <c r="T232" s="16"/>
      <c r="U232" s="16"/>
      <c r="V232" s="16"/>
      <c r="W232" s="15"/>
      <c r="X232" s="15"/>
      <c r="Y232" s="15"/>
      <c r="Z232" s="15"/>
    </row>
    <row r="233" customHeight="1" spans="1:26">
      <c r="A233" s="17"/>
      <c r="B233" s="15"/>
      <c r="C233" s="15"/>
      <c r="D233" s="15"/>
      <c r="E233" s="15"/>
      <c r="F233" s="15"/>
      <c r="G233" s="15"/>
      <c r="H233" s="16"/>
      <c r="I233" s="16"/>
      <c r="J233" s="16"/>
      <c r="K233" s="16"/>
      <c r="L233" s="16"/>
      <c r="M233" s="16"/>
      <c r="N233" s="16"/>
      <c r="O233" s="16"/>
      <c r="P233" s="16"/>
      <c r="Q233" s="16"/>
      <c r="R233" s="16"/>
      <c r="S233" s="16"/>
      <c r="T233" s="16"/>
      <c r="U233" s="16"/>
      <c r="V233" s="16"/>
      <c r="W233" s="15"/>
      <c r="X233" s="15"/>
      <c r="Y233" s="15"/>
      <c r="Z233" s="15"/>
    </row>
    <row r="234" customHeight="1" spans="1:26">
      <c r="A234" s="17"/>
      <c r="B234" s="15"/>
      <c r="C234" s="15"/>
      <c r="D234" s="15"/>
      <c r="E234" s="15"/>
      <c r="F234" s="15"/>
      <c r="G234" s="15"/>
      <c r="H234" s="16"/>
      <c r="I234" s="16"/>
      <c r="J234" s="16"/>
      <c r="K234" s="16"/>
      <c r="L234" s="16"/>
      <c r="M234" s="16"/>
      <c r="N234" s="16"/>
      <c r="O234" s="16"/>
      <c r="P234" s="16"/>
      <c r="Q234" s="16"/>
      <c r="R234" s="16"/>
      <c r="S234" s="16"/>
      <c r="T234" s="16"/>
      <c r="U234" s="16"/>
      <c r="V234" s="16"/>
      <c r="W234" s="15"/>
      <c r="X234" s="15"/>
      <c r="Y234" s="15"/>
      <c r="Z234" s="15"/>
    </row>
    <row r="235" customHeight="1" spans="1:26">
      <c r="A235" s="17"/>
      <c r="B235" s="15"/>
      <c r="C235" s="15"/>
      <c r="D235" s="15"/>
      <c r="E235" s="15"/>
      <c r="F235" s="15"/>
      <c r="G235" s="15"/>
      <c r="H235" s="16"/>
      <c r="I235" s="16"/>
      <c r="J235" s="16"/>
      <c r="K235" s="16"/>
      <c r="L235" s="16"/>
      <c r="M235" s="16"/>
      <c r="N235" s="16"/>
      <c r="O235" s="16"/>
      <c r="P235" s="16"/>
      <c r="Q235" s="16"/>
      <c r="R235" s="16"/>
      <c r="S235" s="16"/>
      <c r="T235" s="16"/>
      <c r="U235" s="16"/>
      <c r="V235" s="16"/>
      <c r="W235" s="15"/>
      <c r="X235" s="15"/>
      <c r="Y235" s="15"/>
      <c r="Z235" s="15"/>
    </row>
    <row r="236" customHeight="1" spans="1:26">
      <c r="A236" s="17"/>
      <c r="B236" s="15"/>
      <c r="C236" s="15"/>
      <c r="D236" s="15"/>
      <c r="E236" s="15"/>
      <c r="F236" s="15"/>
      <c r="G236" s="15"/>
      <c r="H236" s="16"/>
      <c r="I236" s="16"/>
      <c r="J236" s="16"/>
      <c r="K236" s="16"/>
      <c r="L236" s="16"/>
      <c r="M236" s="16"/>
      <c r="N236" s="16"/>
      <c r="O236" s="16"/>
      <c r="P236" s="16"/>
      <c r="Q236" s="16"/>
      <c r="R236" s="16"/>
      <c r="S236" s="16"/>
      <c r="T236" s="16"/>
      <c r="U236" s="16"/>
      <c r="V236" s="16"/>
      <c r="W236" s="15"/>
      <c r="X236" s="15"/>
      <c r="Y236" s="15"/>
      <c r="Z236" s="15"/>
    </row>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24">
    <mergeCell ref="H2:I2"/>
    <mergeCell ref="J2:K2"/>
    <mergeCell ref="L2:M2"/>
    <mergeCell ref="H10:L10"/>
    <mergeCell ref="M10:Q10"/>
    <mergeCell ref="R10:V10"/>
    <mergeCell ref="H11:J11"/>
    <mergeCell ref="M11:O11"/>
    <mergeCell ref="R11:T11"/>
    <mergeCell ref="A10:A12"/>
    <mergeCell ref="B10:B12"/>
    <mergeCell ref="C10:C12"/>
    <mergeCell ref="D10:D12"/>
    <mergeCell ref="E10:E12"/>
    <mergeCell ref="F10:F12"/>
    <mergeCell ref="G10:G12"/>
    <mergeCell ref="K11:K12"/>
    <mergeCell ref="L11:L12"/>
    <mergeCell ref="N2:N3"/>
    <mergeCell ref="P11:P12"/>
    <mergeCell ref="Q11:Q12"/>
    <mergeCell ref="U11:U12"/>
    <mergeCell ref="V11:V12"/>
    <mergeCell ref="W10:W12"/>
  </mergeCells>
  <dataValidations count="1">
    <dataValidation type="list" allowBlank="1" showErrorMessage="1" sqref="H13:I36 R13:S36 M13:N36">
      <formula1>"Passed,Failed,Blocked,Not Run"</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showGridLines="0" workbookViewId="0">
      <selection activeCell="A1" sqref="A1"/>
    </sheetView>
  </sheetViews>
  <sheetFormatPr defaultColWidth="12.6296296296296" defaultRowHeight="15.75" customHeight="1"/>
  <cols>
    <col min="1" max="1" width="12.6296296296296" customWidth="1"/>
    <col min="2" max="2" width="24.5" customWidth="1"/>
    <col min="3" max="3" width="18.1296296296296" customWidth="1"/>
    <col min="4" max="5" width="25.1296296296296" customWidth="1"/>
    <col min="6" max="7" width="37.6296296296296" customWidth="1"/>
    <col min="8" max="9" width="18.5" customWidth="1"/>
    <col min="10" max="10" width="19.5" customWidth="1"/>
    <col min="11" max="11" width="23.75" customWidth="1"/>
    <col min="12" max="12" width="14.75" customWidth="1"/>
    <col min="13" max="14" width="18.5" customWidth="1"/>
    <col min="15" max="15" width="19.5" customWidth="1"/>
    <col min="16" max="16" width="27.75" customWidth="1"/>
    <col min="17" max="17" width="15.3796296296296" customWidth="1"/>
    <col min="18" max="19" width="18.5" customWidth="1"/>
    <col min="20" max="20" width="19.5" customWidth="1"/>
    <col min="21" max="21" width="26.3796296296296" customWidth="1"/>
    <col min="22" max="22" width="15" customWidth="1"/>
    <col min="23" max="23" width="27" customWidth="1"/>
    <col min="24" max="26" width="11.8796296296296" customWidth="1"/>
  </cols>
  <sheetData>
    <row r="1" customHeight="1" spans="1:26">
      <c r="A1" s="14" t="s">
        <v>86</v>
      </c>
      <c r="B1" s="15"/>
      <c r="C1" s="15"/>
      <c r="D1" s="15"/>
      <c r="E1" s="15"/>
      <c r="F1" s="15"/>
      <c r="G1" s="15"/>
      <c r="H1" s="16"/>
      <c r="I1" s="16"/>
      <c r="J1" s="16"/>
      <c r="K1" s="16"/>
      <c r="L1" s="16"/>
      <c r="M1" s="16"/>
      <c r="N1" s="16"/>
      <c r="O1" s="16"/>
      <c r="P1" s="16"/>
      <c r="Q1" s="16"/>
      <c r="R1" s="16"/>
      <c r="S1" s="16"/>
      <c r="T1" s="16"/>
      <c r="U1" s="16"/>
      <c r="V1" s="16"/>
      <c r="W1" s="15"/>
      <c r="X1" s="15"/>
      <c r="Y1" s="15"/>
      <c r="Z1" s="15"/>
    </row>
    <row r="2" customHeight="1" spans="1:26">
      <c r="A2" s="17"/>
      <c r="B2" s="15"/>
      <c r="C2" s="15"/>
      <c r="D2" s="15"/>
      <c r="E2" s="15"/>
      <c r="F2" s="15"/>
      <c r="G2" s="15"/>
      <c r="H2" s="18" t="s">
        <v>64</v>
      </c>
      <c r="I2" s="31"/>
      <c r="J2" s="18" t="s">
        <v>65</v>
      </c>
      <c r="K2" s="31"/>
      <c r="L2" s="18" t="s">
        <v>66</v>
      </c>
      <c r="M2" s="31"/>
      <c r="N2" s="23" t="s">
        <v>87</v>
      </c>
      <c r="O2" s="16"/>
      <c r="P2" s="16"/>
      <c r="Q2" s="16"/>
      <c r="R2" s="16"/>
      <c r="S2" s="16"/>
      <c r="T2" s="16"/>
      <c r="U2" s="16"/>
      <c r="V2" s="16"/>
      <c r="W2" s="15"/>
      <c r="X2" s="15"/>
      <c r="Y2" s="15"/>
      <c r="Z2" s="15"/>
    </row>
    <row r="3" customHeight="1" spans="1:26">
      <c r="A3" s="6" t="s">
        <v>26</v>
      </c>
      <c r="B3" s="6" t="s">
        <v>88</v>
      </c>
      <c r="C3" s="15"/>
      <c r="D3" s="6" t="s">
        <v>89</v>
      </c>
      <c r="E3" s="6" t="s">
        <v>90</v>
      </c>
      <c r="F3" s="15"/>
      <c r="G3" s="19"/>
      <c r="H3" s="6" t="s">
        <v>67</v>
      </c>
      <c r="I3" s="6" t="s">
        <v>92</v>
      </c>
      <c r="J3" s="6" t="s">
        <v>67</v>
      </c>
      <c r="K3" s="6" t="s">
        <v>92</v>
      </c>
      <c r="L3" s="6" t="s">
        <v>67</v>
      </c>
      <c r="M3" s="6" t="s">
        <v>92</v>
      </c>
      <c r="N3" s="25"/>
      <c r="O3" s="16"/>
      <c r="P3" s="16"/>
      <c r="Q3" s="16"/>
      <c r="R3" s="16"/>
      <c r="S3" s="16"/>
      <c r="T3" s="16"/>
      <c r="U3" s="16"/>
      <c r="V3" s="16"/>
      <c r="W3" s="15"/>
      <c r="X3" s="15"/>
      <c r="Y3" s="15"/>
      <c r="Z3" s="15"/>
    </row>
    <row r="4" customHeight="1" spans="1:26">
      <c r="A4" s="20" t="s">
        <v>13</v>
      </c>
      <c r="B4" s="21" t="s">
        <v>93</v>
      </c>
      <c r="C4" s="15"/>
      <c r="D4" s="20" t="s">
        <v>297</v>
      </c>
      <c r="E4" s="21" t="s">
        <v>298</v>
      </c>
      <c r="F4" s="15"/>
      <c r="G4" s="6" t="s">
        <v>96</v>
      </c>
      <c r="H4" s="22">
        <f t="shared" ref="H4:I4" si="0">COUNTIF(H13:H215,"PASSED")</f>
        <v>11</v>
      </c>
      <c r="I4" s="22">
        <f t="shared" si="0"/>
        <v>12</v>
      </c>
      <c r="J4" s="22">
        <f t="shared" ref="J4:K4" si="1">COUNTIF(M13:M215,"PASSED")</f>
        <v>12</v>
      </c>
      <c r="K4" s="22">
        <f t="shared" si="1"/>
        <v>11</v>
      </c>
      <c r="L4" s="22">
        <f t="shared" ref="L4:M4" si="2">COUNTIF(R13:R215,"PASSED")</f>
        <v>12</v>
      </c>
      <c r="M4" s="22">
        <f t="shared" si="2"/>
        <v>12</v>
      </c>
      <c r="N4" s="22">
        <f t="shared" ref="N4:N8" si="3">SUM(H4:M4)</f>
        <v>70</v>
      </c>
      <c r="O4" s="16"/>
      <c r="P4" s="16"/>
      <c r="Q4" s="16"/>
      <c r="R4" s="16"/>
      <c r="S4" s="16"/>
      <c r="T4" s="16"/>
      <c r="U4" s="16"/>
      <c r="V4" s="16"/>
      <c r="W4" s="15"/>
      <c r="X4" s="15"/>
      <c r="Y4" s="15"/>
      <c r="Z4" s="15"/>
    </row>
    <row r="5" customHeight="1" spans="1:26">
      <c r="A5" s="20"/>
      <c r="B5" s="20"/>
      <c r="C5" s="15"/>
      <c r="D5" s="20"/>
      <c r="E5" s="20"/>
      <c r="F5" s="15"/>
      <c r="G5" s="6" t="s">
        <v>97</v>
      </c>
      <c r="H5" s="22">
        <f t="shared" ref="H5:I5" si="4">COUNTIF(H13:H225,"FAILED")</f>
        <v>1</v>
      </c>
      <c r="I5" s="22">
        <f t="shared" si="4"/>
        <v>0</v>
      </c>
      <c r="J5" s="22">
        <f t="shared" ref="J5:K5" si="5">COUNTIF(M14:M216,"FAILED")</f>
        <v>0</v>
      </c>
      <c r="K5" s="22">
        <f t="shared" si="5"/>
        <v>1</v>
      </c>
      <c r="L5" s="22">
        <f t="shared" ref="L5:M5" si="6">COUNTIF(R14:R216,"FAILED")</f>
        <v>0</v>
      </c>
      <c r="M5" s="22">
        <f t="shared" si="6"/>
        <v>0</v>
      </c>
      <c r="N5" s="22">
        <f t="shared" si="3"/>
        <v>2</v>
      </c>
      <c r="O5" s="16"/>
      <c r="P5" s="16"/>
      <c r="Q5" s="16"/>
      <c r="R5" s="16"/>
      <c r="S5" s="16"/>
      <c r="T5" s="16"/>
      <c r="U5" s="16"/>
      <c r="V5" s="16"/>
      <c r="W5" s="15"/>
      <c r="X5" s="15"/>
      <c r="Y5" s="15"/>
      <c r="Z5" s="15"/>
    </row>
    <row r="6" customHeight="1" spans="1:26">
      <c r="A6" s="20"/>
      <c r="B6" s="20"/>
      <c r="C6" s="15"/>
      <c r="D6" s="20"/>
      <c r="E6" s="20"/>
      <c r="F6" s="15"/>
      <c r="G6" s="6" t="s">
        <v>98</v>
      </c>
      <c r="H6" s="22">
        <f t="shared" ref="H6:I6" si="7">COUNTIF(H13:H235,"BLOCKED")</f>
        <v>0</v>
      </c>
      <c r="I6" s="22">
        <f t="shared" si="7"/>
        <v>0</v>
      </c>
      <c r="J6" s="22">
        <f t="shared" ref="J6:K6" si="8">COUNTIF(M15:M217,"BLOCKED")</f>
        <v>0</v>
      </c>
      <c r="K6" s="22">
        <f t="shared" si="8"/>
        <v>0</v>
      </c>
      <c r="L6" s="22">
        <f t="shared" ref="L6:M6" si="9">COUNTIF(R15:R217,"BLOCKED")</f>
        <v>0</v>
      </c>
      <c r="M6" s="22">
        <f t="shared" si="9"/>
        <v>0</v>
      </c>
      <c r="N6" s="22">
        <f t="shared" si="3"/>
        <v>0</v>
      </c>
      <c r="O6" s="16"/>
      <c r="P6" s="16"/>
      <c r="Q6" s="16"/>
      <c r="R6" s="16"/>
      <c r="S6" s="16"/>
      <c r="T6" s="16"/>
      <c r="U6" s="16"/>
      <c r="V6" s="16"/>
      <c r="W6" s="15"/>
      <c r="X6" s="15"/>
      <c r="Y6" s="15"/>
      <c r="Z6" s="15"/>
    </row>
    <row r="7" customHeight="1" spans="1:26">
      <c r="A7" s="20"/>
      <c r="B7" s="20"/>
      <c r="C7" s="15"/>
      <c r="D7" s="20"/>
      <c r="E7" s="20"/>
      <c r="F7" s="15"/>
      <c r="G7" s="6" t="s">
        <v>99</v>
      </c>
      <c r="H7" s="22">
        <f t="shared" ref="H7:I7" si="10">COUNTIF(H13:H245,"NOT RUN")</f>
        <v>0</v>
      </c>
      <c r="I7" s="22">
        <f t="shared" si="10"/>
        <v>0</v>
      </c>
      <c r="J7" s="22">
        <f t="shared" ref="J7:K7" si="11">COUNTIF(M16:M218,"NOT RUN")</f>
        <v>0</v>
      </c>
      <c r="K7" s="22">
        <f t="shared" si="11"/>
        <v>0</v>
      </c>
      <c r="L7" s="22">
        <f t="shared" ref="L7:M7" si="12">COUNTIF(R16:R218,"NOT RUN")</f>
        <v>0</v>
      </c>
      <c r="M7" s="22">
        <f t="shared" si="12"/>
        <v>0</v>
      </c>
      <c r="N7" s="22">
        <f t="shared" si="3"/>
        <v>0</v>
      </c>
      <c r="O7" s="16"/>
      <c r="P7" s="16"/>
      <c r="Q7" s="16"/>
      <c r="R7" s="16"/>
      <c r="S7" s="16"/>
      <c r="T7" s="16"/>
      <c r="U7" s="16"/>
      <c r="V7" s="16"/>
      <c r="W7" s="15"/>
      <c r="X7" s="15"/>
      <c r="Y7" s="15"/>
      <c r="Z7" s="15"/>
    </row>
    <row r="8" customHeight="1" spans="1:26">
      <c r="A8" s="20"/>
      <c r="B8" s="20"/>
      <c r="C8" s="15"/>
      <c r="D8" s="20"/>
      <c r="E8" s="20"/>
      <c r="F8" s="15"/>
      <c r="G8" s="6" t="s">
        <v>100</v>
      </c>
      <c r="H8" s="22">
        <f t="shared" ref="H8:M8" si="13">COUNTA($G13:$G227)</f>
        <v>12</v>
      </c>
      <c r="I8" s="22">
        <f t="shared" si="13"/>
        <v>12</v>
      </c>
      <c r="J8" s="22">
        <f t="shared" si="13"/>
        <v>12</v>
      </c>
      <c r="K8" s="22">
        <f t="shared" si="13"/>
        <v>12</v>
      </c>
      <c r="L8" s="22">
        <f t="shared" si="13"/>
        <v>12</v>
      </c>
      <c r="M8" s="22">
        <f t="shared" si="13"/>
        <v>12</v>
      </c>
      <c r="N8" s="22">
        <f t="shared" si="3"/>
        <v>72</v>
      </c>
      <c r="O8" s="16"/>
      <c r="P8" s="16"/>
      <c r="Q8" s="16"/>
      <c r="R8" s="16"/>
      <c r="S8" s="16"/>
      <c r="T8" s="16"/>
      <c r="U8" s="16"/>
      <c r="V8" s="16"/>
      <c r="W8" s="15"/>
      <c r="X8" s="15"/>
      <c r="Y8" s="15"/>
      <c r="Z8" s="15"/>
    </row>
    <row r="9" customHeight="1" spans="1:26">
      <c r="A9" s="17"/>
      <c r="B9" s="15"/>
      <c r="C9" s="15"/>
      <c r="D9" s="15"/>
      <c r="E9" s="15"/>
      <c r="F9" s="15"/>
      <c r="G9" s="15"/>
      <c r="H9" s="16"/>
      <c r="I9" s="16"/>
      <c r="J9" s="16"/>
      <c r="K9" s="16"/>
      <c r="L9" s="16"/>
      <c r="M9" s="16"/>
      <c r="N9" s="16"/>
      <c r="O9" s="16"/>
      <c r="P9" s="16"/>
      <c r="Q9" s="16"/>
      <c r="R9" s="16"/>
      <c r="S9" s="16"/>
      <c r="T9" s="16"/>
      <c r="U9" s="16"/>
      <c r="V9" s="16"/>
      <c r="W9" s="15"/>
      <c r="X9" s="15"/>
      <c r="Y9" s="15"/>
      <c r="Z9" s="15"/>
    </row>
    <row r="10" customHeight="1" spans="1:26">
      <c r="A10" s="23" t="s">
        <v>22</v>
      </c>
      <c r="B10" s="23" t="s">
        <v>101</v>
      </c>
      <c r="C10" s="23" t="s">
        <v>102</v>
      </c>
      <c r="D10" s="23" t="s">
        <v>103</v>
      </c>
      <c r="E10" s="23" t="s">
        <v>104</v>
      </c>
      <c r="F10" s="23" t="s">
        <v>105</v>
      </c>
      <c r="G10" s="23" t="s">
        <v>106</v>
      </c>
      <c r="H10" s="18" t="s">
        <v>64</v>
      </c>
      <c r="I10" s="32"/>
      <c r="J10" s="32"/>
      <c r="K10" s="32"/>
      <c r="L10" s="31"/>
      <c r="M10" s="18" t="s">
        <v>65</v>
      </c>
      <c r="N10" s="32"/>
      <c r="O10" s="32"/>
      <c r="P10" s="32"/>
      <c r="Q10" s="31"/>
      <c r="R10" s="18" t="s">
        <v>66</v>
      </c>
      <c r="S10" s="32"/>
      <c r="T10" s="32"/>
      <c r="U10" s="32"/>
      <c r="V10" s="31"/>
      <c r="W10" s="23" t="s">
        <v>29</v>
      </c>
      <c r="X10" s="13"/>
      <c r="Y10" s="13"/>
      <c r="Z10" s="13"/>
    </row>
    <row r="11" customHeight="1" spans="1:26">
      <c r="A11" s="24"/>
      <c r="B11" s="24"/>
      <c r="C11" s="24"/>
      <c r="D11" s="24"/>
      <c r="E11" s="24"/>
      <c r="F11" s="24"/>
      <c r="G11" s="24"/>
      <c r="H11" s="18" t="s">
        <v>107</v>
      </c>
      <c r="I11" s="32"/>
      <c r="J11" s="31"/>
      <c r="K11" s="23" t="s">
        <v>108</v>
      </c>
      <c r="L11" s="23" t="s">
        <v>109</v>
      </c>
      <c r="M11" s="18" t="s">
        <v>107</v>
      </c>
      <c r="N11" s="32"/>
      <c r="O11" s="31"/>
      <c r="P11" s="23" t="s">
        <v>108</v>
      </c>
      <c r="Q11" s="23" t="s">
        <v>109</v>
      </c>
      <c r="R11" s="18" t="s">
        <v>107</v>
      </c>
      <c r="S11" s="32"/>
      <c r="T11" s="31"/>
      <c r="U11" s="23" t="s">
        <v>108</v>
      </c>
      <c r="V11" s="23" t="s">
        <v>109</v>
      </c>
      <c r="W11" s="24"/>
      <c r="X11" s="15"/>
      <c r="Y11" s="15"/>
      <c r="Z11" s="15"/>
    </row>
    <row r="12" customHeight="1" spans="1:26">
      <c r="A12" s="25"/>
      <c r="B12" s="25"/>
      <c r="C12" s="25"/>
      <c r="D12" s="25"/>
      <c r="E12" s="25"/>
      <c r="F12" s="25"/>
      <c r="G12" s="25"/>
      <c r="H12" s="6" t="s">
        <v>67</v>
      </c>
      <c r="I12" s="6" t="s">
        <v>68</v>
      </c>
      <c r="J12" s="6" t="s">
        <v>110</v>
      </c>
      <c r="K12" s="25"/>
      <c r="L12" s="25"/>
      <c r="M12" s="6" t="s">
        <v>91</v>
      </c>
      <c r="N12" s="6" t="s">
        <v>68</v>
      </c>
      <c r="O12" s="6" t="s">
        <v>110</v>
      </c>
      <c r="P12" s="25"/>
      <c r="Q12" s="25"/>
      <c r="R12" s="6" t="s">
        <v>67</v>
      </c>
      <c r="S12" s="6" t="s">
        <v>68</v>
      </c>
      <c r="T12" s="6" t="s">
        <v>110</v>
      </c>
      <c r="U12" s="25"/>
      <c r="V12" s="25"/>
      <c r="W12" s="25"/>
      <c r="X12" s="15"/>
      <c r="Y12" s="15"/>
      <c r="Z12" s="15"/>
    </row>
    <row r="13" ht="26.4" spans="1:26">
      <c r="A13" s="26" t="str">
        <f t="shared" ref="A13:A36" si="14">"ID-00"&amp;(ROW()-(ROW($A$12)))</f>
        <v>ID-001</v>
      </c>
      <c r="B13" s="10" t="s">
        <v>299</v>
      </c>
      <c r="C13" s="10" t="s">
        <v>191</v>
      </c>
      <c r="D13" s="28" t="s">
        <v>300</v>
      </c>
      <c r="E13" s="28" t="s">
        <v>193</v>
      </c>
      <c r="F13" s="28" t="s">
        <v>301</v>
      </c>
      <c r="G13" s="28" t="s">
        <v>302</v>
      </c>
      <c r="H13" s="8" t="s">
        <v>69</v>
      </c>
      <c r="I13" s="8" t="s">
        <v>69</v>
      </c>
      <c r="J13" s="8"/>
      <c r="K13" s="33" t="s">
        <v>41</v>
      </c>
      <c r="L13" s="8" t="s">
        <v>117</v>
      </c>
      <c r="M13" s="8" t="s">
        <v>69</v>
      </c>
      <c r="N13" s="8" t="s">
        <v>69</v>
      </c>
      <c r="O13" s="8"/>
      <c r="P13" s="33" t="s">
        <v>118</v>
      </c>
      <c r="Q13" s="8" t="s">
        <v>117</v>
      </c>
      <c r="R13" s="8" t="s">
        <v>69</v>
      </c>
      <c r="S13" s="8" t="s">
        <v>69</v>
      </c>
      <c r="T13" s="8"/>
      <c r="U13" s="33" t="s">
        <v>196</v>
      </c>
      <c r="V13" s="8" t="s">
        <v>117</v>
      </c>
      <c r="W13" s="30"/>
      <c r="X13" s="15"/>
      <c r="Y13" s="15"/>
      <c r="Z13" s="15"/>
    </row>
    <row r="14" ht="52.8" spans="1:26">
      <c r="A14" s="26" t="str">
        <f t="shared" si="14"/>
        <v>ID-002</v>
      </c>
      <c r="B14" s="10" t="s">
        <v>299</v>
      </c>
      <c r="C14" s="10" t="s">
        <v>241</v>
      </c>
      <c r="D14" s="28" t="s">
        <v>300</v>
      </c>
      <c r="E14" s="28" t="s">
        <v>303</v>
      </c>
      <c r="F14" s="28" t="s">
        <v>304</v>
      </c>
      <c r="G14" s="28" t="s">
        <v>305</v>
      </c>
      <c r="H14" s="8" t="s">
        <v>69</v>
      </c>
      <c r="I14" s="8" t="s">
        <v>69</v>
      </c>
      <c r="J14" s="8"/>
      <c r="K14" s="33" t="s">
        <v>41</v>
      </c>
      <c r="L14" s="8" t="s">
        <v>117</v>
      </c>
      <c r="M14" s="8" t="s">
        <v>69</v>
      </c>
      <c r="N14" s="8" t="s">
        <v>69</v>
      </c>
      <c r="O14" s="8"/>
      <c r="P14" s="8" t="s">
        <v>118</v>
      </c>
      <c r="Q14" s="8" t="s">
        <v>117</v>
      </c>
      <c r="R14" s="8" t="s">
        <v>69</v>
      </c>
      <c r="S14" s="8" t="s">
        <v>69</v>
      </c>
      <c r="T14" s="8"/>
      <c r="U14" s="36">
        <v>45849</v>
      </c>
      <c r="V14" s="8" t="s">
        <v>117</v>
      </c>
      <c r="W14" s="30"/>
      <c r="X14" s="15"/>
      <c r="Y14" s="15"/>
      <c r="Z14" s="15"/>
    </row>
    <row r="15" ht="39.6" spans="1:26">
      <c r="A15" s="26" t="str">
        <f t="shared" si="14"/>
        <v>ID-003</v>
      </c>
      <c r="B15" s="10" t="s">
        <v>299</v>
      </c>
      <c r="C15" s="10" t="s">
        <v>306</v>
      </c>
      <c r="D15" s="28" t="s">
        <v>300</v>
      </c>
      <c r="E15" s="28" t="s">
        <v>307</v>
      </c>
      <c r="F15" s="28" t="s">
        <v>308</v>
      </c>
      <c r="G15" s="28" t="s">
        <v>309</v>
      </c>
      <c r="H15" s="8" t="s">
        <v>70</v>
      </c>
      <c r="I15" s="8" t="s">
        <v>69</v>
      </c>
      <c r="J15" s="8" t="s">
        <v>310</v>
      </c>
      <c r="K15" s="33" t="s">
        <v>41</v>
      </c>
      <c r="L15" s="8" t="s">
        <v>117</v>
      </c>
      <c r="M15" s="8" t="s">
        <v>69</v>
      </c>
      <c r="N15" s="8" t="s">
        <v>69</v>
      </c>
      <c r="O15" s="8"/>
      <c r="P15" s="33" t="s">
        <v>118</v>
      </c>
      <c r="Q15" s="8" t="s">
        <v>117</v>
      </c>
      <c r="R15" s="8" t="s">
        <v>69</v>
      </c>
      <c r="S15" s="8" t="s">
        <v>69</v>
      </c>
      <c r="T15" s="8"/>
      <c r="U15" s="33" t="s">
        <v>196</v>
      </c>
      <c r="V15" s="8" t="s">
        <v>117</v>
      </c>
      <c r="W15" s="30"/>
      <c r="X15" s="15"/>
      <c r="Y15" s="15"/>
      <c r="Z15" s="15"/>
    </row>
    <row r="16" ht="26.4" spans="1:26">
      <c r="A16" s="26" t="str">
        <f t="shared" si="14"/>
        <v>ID-004</v>
      </c>
      <c r="B16" s="10" t="s">
        <v>311</v>
      </c>
      <c r="C16" s="10" t="s">
        <v>312</v>
      </c>
      <c r="D16" s="28" t="s">
        <v>300</v>
      </c>
      <c r="E16" s="28" t="s">
        <v>313</v>
      </c>
      <c r="F16" s="28" t="s">
        <v>314</v>
      </c>
      <c r="G16" s="28" t="s">
        <v>315</v>
      </c>
      <c r="H16" s="8" t="s">
        <v>69</v>
      </c>
      <c r="I16" s="8" t="s">
        <v>69</v>
      </c>
      <c r="J16" s="8"/>
      <c r="K16" s="33" t="s">
        <v>41</v>
      </c>
      <c r="L16" s="8" t="s">
        <v>117</v>
      </c>
      <c r="M16" s="8" t="s">
        <v>69</v>
      </c>
      <c r="N16" s="8" t="s">
        <v>69</v>
      </c>
      <c r="O16" s="8"/>
      <c r="P16" s="8" t="s">
        <v>118</v>
      </c>
      <c r="Q16" s="8" t="s">
        <v>117</v>
      </c>
      <c r="R16" s="8" t="s">
        <v>69</v>
      </c>
      <c r="S16" s="8" t="s">
        <v>69</v>
      </c>
      <c r="T16" s="8"/>
      <c r="U16" s="36">
        <v>45849</v>
      </c>
      <c r="V16" s="8" t="s">
        <v>117</v>
      </c>
      <c r="W16" s="30"/>
      <c r="X16" s="15"/>
      <c r="Y16" s="15"/>
      <c r="Z16" s="15"/>
    </row>
    <row r="17" ht="39.6" spans="1:26">
      <c r="A17" s="26" t="str">
        <f t="shared" si="14"/>
        <v>ID-005</v>
      </c>
      <c r="B17" s="10" t="s">
        <v>311</v>
      </c>
      <c r="C17" s="10" t="s">
        <v>316</v>
      </c>
      <c r="D17" s="28" t="s">
        <v>300</v>
      </c>
      <c r="E17" s="28" t="s">
        <v>317</v>
      </c>
      <c r="F17" s="28" t="s">
        <v>318</v>
      </c>
      <c r="G17" s="28" t="s">
        <v>319</v>
      </c>
      <c r="H17" s="8" t="s">
        <v>69</v>
      </c>
      <c r="I17" s="8" t="s">
        <v>69</v>
      </c>
      <c r="J17" s="8"/>
      <c r="K17" s="33" t="s">
        <v>41</v>
      </c>
      <c r="L17" s="8" t="s">
        <v>117</v>
      </c>
      <c r="M17" s="8" t="s">
        <v>69</v>
      </c>
      <c r="N17" s="8" t="s">
        <v>70</v>
      </c>
      <c r="O17" s="8" t="s">
        <v>320</v>
      </c>
      <c r="P17" s="33" t="s">
        <v>118</v>
      </c>
      <c r="Q17" s="8" t="s">
        <v>117</v>
      </c>
      <c r="R17" s="8" t="s">
        <v>69</v>
      </c>
      <c r="S17" s="8" t="s">
        <v>69</v>
      </c>
      <c r="T17" s="8"/>
      <c r="U17" s="33" t="s">
        <v>196</v>
      </c>
      <c r="V17" s="8" t="s">
        <v>117</v>
      </c>
      <c r="W17" s="30"/>
      <c r="X17" s="15"/>
      <c r="Y17" s="15"/>
      <c r="Z17" s="15"/>
    </row>
    <row r="18" ht="57.75" customHeight="1" spans="1:26">
      <c r="A18" s="26" t="str">
        <f t="shared" si="14"/>
        <v>ID-006</v>
      </c>
      <c r="B18" s="10" t="s">
        <v>311</v>
      </c>
      <c r="C18" s="44" t="s">
        <v>241</v>
      </c>
      <c r="D18" s="28" t="s">
        <v>300</v>
      </c>
      <c r="E18" s="45" t="s">
        <v>321</v>
      </c>
      <c r="F18" s="44" t="s">
        <v>322</v>
      </c>
      <c r="G18" s="44" t="s">
        <v>323</v>
      </c>
      <c r="H18" s="8" t="s">
        <v>69</v>
      </c>
      <c r="I18" s="8" t="s">
        <v>69</v>
      </c>
      <c r="J18" s="8"/>
      <c r="K18" s="33" t="s">
        <v>41</v>
      </c>
      <c r="L18" s="8" t="s">
        <v>117</v>
      </c>
      <c r="M18" s="8" t="s">
        <v>69</v>
      </c>
      <c r="N18" s="8" t="s">
        <v>69</v>
      </c>
      <c r="O18" s="8"/>
      <c r="P18" s="8" t="s">
        <v>118</v>
      </c>
      <c r="Q18" s="8" t="s">
        <v>117</v>
      </c>
      <c r="R18" s="8" t="s">
        <v>69</v>
      </c>
      <c r="S18" s="8" t="s">
        <v>69</v>
      </c>
      <c r="T18" s="8"/>
      <c r="U18" s="36">
        <v>45849</v>
      </c>
      <c r="V18" s="8" t="s">
        <v>117</v>
      </c>
      <c r="W18" s="30"/>
      <c r="X18" s="15"/>
      <c r="Y18" s="15"/>
      <c r="Z18" s="15"/>
    </row>
    <row r="19" ht="54" customHeight="1" spans="1:26">
      <c r="A19" s="26" t="str">
        <f t="shared" si="14"/>
        <v>ID-007</v>
      </c>
      <c r="B19" s="10" t="s">
        <v>311</v>
      </c>
      <c r="C19" s="44" t="s">
        <v>191</v>
      </c>
      <c r="D19" s="28" t="s">
        <v>300</v>
      </c>
      <c r="E19" s="28" t="s">
        <v>324</v>
      </c>
      <c r="F19" s="44" t="s">
        <v>325</v>
      </c>
      <c r="G19" s="45" t="s">
        <v>326</v>
      </c>
      <c r="H19" s="8" t="s">
        <v>69</v>
      </c>
      <c r="I19" s="8" t="s">
        <v>69</v>
      </c>
      <c r="J19" s="8"/>
      <c r="K19" s="33" t="s">
        <v>41</v>
      </c>
      <c r="L19" s="8" t="s">
        <v>117</v>
      </c>
      <c r="M19" s="8" t="s">
        <v>69</v>
      </c>
      <c r="N19" s="8" t="s">
        <v>69</v>
      </c>
      <c r="O19" s="8"/>
      <c r="P19" s="33" t="s">
        <v>118</v>
      </c>
      <c r="Q19" s="8" t="s">
        <v>117</v>
      </c>
      <c r="R19" s="8" t="s">
        <v>69</v>
      </c>
      <c r="S19" s="8" t="s">
        <v>69</v>
      </c>
      <c r="T19" s="8"/>
      <c r="U19" s="33" t="s">
        <v>196</v>
      </c>
      <c r="V19" s="8" t="s">
        <v>117</v>
      </c>
      <c r="W19" s="30"/>
      <c r="X19" s="15"/>
      <c r="Y19" s="15"/>
      <c r="Z19" s="15"/>
    </row>
    <row r="20" ht="63.75" customHeight="1" spans="1:26">
      <c r="A20" s="26" t="str">
        <f t="shared" si="14"/>
        <v>ID-008</v>
      </c>
      <c r="B20" s="10" t="s">
        <v>311</v>
      </c>
      <c r="C20" s="44" t="s">
        <v>327</v>
      </c>
      <c r="D20" s="28" t="s">
        <v>300</v>
      </c>
      <c r="E20" s="45" t="s">
        <v>328</v>
      </c>
      <c r="F20" s="44" t="s">
        <v>329</v>
      </c>
      <c r="G20" s="45" t="s">
        <v>330</v>
      </c>
      <c r="H20" s="8" t="s">
        <v>69</v>
      </c>
      <c r="I20" s="8" t="s">
        <v>69</v>
      </c>
      <c r="J20" s="8"/>
      <c r="K20" s="33" t="s">
        <v>149</v>
      </c>
      <c r="L20" s="8" t="s">
        <v>117</v>
      </c>
      <c r="M20" s="8" t="s">
        <v>69</v>
      </c>
      <c r="N20" s="8" t="s">
        <v>69</v>
      </c>
      <c r="O20" s="8"/>
      <c r="P20" s="8" t="s">
        <v>78</v>
      </c>
      <c r="Q20" s="8" t="s">
        <v>117</v>
      </c>
      <c r="R20" s="8" t="s">
        <v>69</v>
      </c>
      <c r="S20" s="8" t="s">
        <v>69</v>
      </c>
      <c r="T20" s="8"/>
      <c r="U20" s="37">
        <v>45941</v>
      </c>
      <c r="V20" s="8" t="s">
        <v>117</v>
      </c>
      <c r="W20" s="30"/>
      <c r="X20" s="15"/>
      <c r="Y20" s="15"/>
      <c r="Z20" s="15"/>
    </row>
    <row r="21" ht="57" customHeight="1" spans="1:26">
      <c r="A21" s="26" t="str">
        <f t="shared" si="14"/>
        <v>ID-009</v>
      </c>
      <c r="B21" s="10" t="s">
        <v>311</v>
      </c>
      <c r="C21" s="10" t="s">
        <v>331</v>
      </c>
      <c r="D21" s="28" t="s">
        <v>300</v>
      </c>
      <c r="E21" s="45" t="s">
        <v>332</v>
      </c>
      <c r="F21" s="28" t="s">
        <v>333</v>
      </c>
      <c r="G21" s="28" t="s">
        <v>334</v>
      </c>
      <c r="H21" s="8" t="s">
        <v>69</v>
      </c>
      <c r="I21" s="8" t="s">
        <v>69</v>
      </c>
      <c r="J21" s="8"/>
      <c r="K21" s="33" t="s">
        <v>149</v>
      </c>
      <c r="L21" s="8" t="s">
        <v>117</v>
      </c>
      <c r="M21" s="8" t="s">
        <v>69</v>
      </c>
      <c r="N21" s="8" t="s">
        <v>69</v>
      </c>
      <c r="O21" s="8"/>
      <c r="P21" s="8" t="s">
        <v>78</v>
      </c>
      <c r="Q21" s="8" t="s">
        <v>117</v>
      </c>
      <c r="R21" s="8" t="s">
        <v>69</v>
      </c>
      <c r="S21" s="8" t="s">
        <v>69</v>
      </c>
      <c r="T21" s="8"/>
      <c r="U21" s="36">
        <v>45941</v>
      </c>
      <c r="V21" s="8" t="s">
        <v>117</v>
      </c>
      <c r="W21" s="30"/>
      <c r="X21" s="15"/>
      <c r="Y21" s="15"/>
      <c r="Z21" s="15"/>
    </row>
    <row r="22" ht="40.5" customHeight="1" spans="1:26">
      <c r="A22" s="26" t="str">
        <f t="shared" si="14"/>
        <v>ID-0010</v>
      </c>
      <c r="B22" s="10" t="s">
        <v>311</v>
      </c>
      <c r="C22" s="44" t="s">
        <v>331</v>
      </c>
      <c r="D22" s="28" t="s">
        <v>300</v>
      </c>
      <c r="E22" s="45" t="s">
        <v>335</v>
      </c>
      <c r="F22" s="28" t="s">
        <v>336</v>
      </c>
      <c r="G22" s="45" t="s">
        <v>337</v>
      </c>
      <c r="H22" s="8" t="s">
        <v>69</v>
      </c>
      <c r="I22" s="8" t="s">
        <v>69</v>
      </c>
      <c r="J22" s="8"/>
      <c r="K22" s="33" t="s">
        <v>149</v>
      </c>
      <c r="L22" s="8" t="s">
        <v>117</v>
      </c>
      <c r="M22" s="8" t="s">
        <v>69</v>
      </c>
      <c r="N22" s="8" t="s">
        <v>69</v>
      </c>
      <c r="O22" s="8"/>
      <c r="P22" s="8" t="s">
        <v>78</v>
      </c>
      <c r="Q22" s="8" t="s">
        <v>117</v>
      </c>
      <c r="R22" s="8" t="s">
        <v>69</v>
      </c>
      <c r="S22" s="8" t="s">
        <v>69</v>
      </c>
      <c r="T22" s="8"/>
      <c r="U22" s="37">
        <v>45941</v>
      </c>
      <c r="V22" s="8" t="s">
        <v>117</v>
      </c>
      <c r="W22" s="30"/>
      <c r="X22" s="15"/>
      <c r="Y22" s="15"/>
      <c r="Z22" s="15"/>
    </row>
    <row r="23" ht="45" customHeight="1" spans="1:26">
      <c r="A23" s="26" t="str">
        <f t="shared" si="14"/>
        <v>ID-0011</v>
      </c>
      <c r="B23" s="10" t="s">
        <v>311</v>
      </c>
      <c r="C23" s="44" t="s">
        <v>331</v>
      </c>
      <c r="D23" s="28" t="s">
        <v>300</v>
      </c>
      <c r="E23" s="44" t="s">
        <v>338</v>
      </c>
      <c r="F23" s="28" t="s">
        <v>339</v>
      </c>
      <c r="G23" s="44" t="s">
        <v>340</v>
      </c>
      <c r="H23" s="8" t="s">
        <v>69</v>
      </c>
      <c r="I23" s="8" t="s">
        <v>69</v>
      </c>
      <c r="J23" s="8"/>
      <c r="K23" s="33" t="s">
        <v>149</v>
      </c>
      <c r="L23" s="8" t="s">
        <v>117</v>
      </c>
      <c r="M23" s="8" t="s">
        <v>69</v>
      </c>
      <c r="N23" s="8" t="s">
        <v>69</v>
      </c>
      <c r="O23" s="8"/>
      <c r="P23" s="8" t="s">
        <v>78</v>
      </c>
      <c r="Q23" s="8" t="s">
        <v>117</v>
      </c>
      <c r="R23" s="8" t="s">
        <v>69</v>
      </c>
      <c r="S23" s="8" t="s">
        <v>69</v>
      </c>
      <c r="T23" s="8"/>
      <c r="U23" s="37">
        <v>45941</v>
      </c>
      <c r="V23" s="8" t="s">
        <v>117</v>
      </c>
      <c r="W23" s="30"/>
      <c r="X23" s="15"/>
      <c r="Y23" s="15"/>
      <c r="Z23" s="15"/>
    </row>
    <row r="24" ht="26.4" spans="1:26">
      <c r="A24" s="26" t="str">
        <f t="shared" si="14"/>
        <v>ID-0012</v>
      </c>
      <c r="B24" s="10" t="s">
        <v>311</v>
      </c>
      <c r="C24" s="44" t="s">
        <v>331</v>
      </c>
      <c r="D24" s="28" t="s">
        <v>300</v>
      </c>
      <c r="E24" s="45" t="s">
        <v>341</v>
      </c>
      <c r="F24" s="44" t="s">
        <v>342</v>
      </c>
      <c r="G24" s="28" t="s">
        <v>343</v>
      </c>
      <c r="H24" s="8" t="s">
        <v>69</v>
      </c>
      <c r="I24" s="8" t="s">
        <v>69</v>
      </c>
      <c r="J24" s="8"/>
      <c r="K24" s="33" t="s">
        <v>149</v>
      </c>
      <c r="L24" s="8" t="s">
        <v>117</v>
      </c>
      <c r="M24" s="8" t="s">
        <v>69</v>
      </c>
      <c r="N24" s="8" t="s">
        <v>69</v>
      </c>
      <c r="O24" s="8"/>
      <c r="P24" s="8" t="s">
        <v>78</v>
      </c>
      <c r="Q24" s="8" t="s">
        <v>117</v>
      </c>
      <c r="R24" s="8" t="s">
        <v>69</v>
      </c>
      <c r="S24" s="8" t="s">
        <v>69</v>
      </c>
      <c r="T24" s="8"/>
      <c r="U24" s="36">
        <v>45941</v>
      </c>
      <c r="V24" s="8" t="s">
        <v>117</v>
      </c>
      <c r="W24" s="30"/>
      <c r="X24" s="15"/>
      <c r="Y24" s="15"/>
      <c r="Z24" s="15"/>
    </row>
    <row r="25" ht="13.2" spans="1:26">
      <c r="A25" s="26" t="str">
        <f t="shared" si="14"/>
        <v>ID-0013</v>
      </c>
      <c r="B25" s="10"/>
      <c r="D25" s="28"/>
      <c r="E25" s="46"/>
      <c r="F25" s="47"/>
      <c r="G25" s="28"/>
      <c r="H25" s="8"/>
      <c r="I25" s="8"/>
      <c r="J25" s="8"/>
      <c r="K25" s="8"/>
      <c r="L25" s="8"/>
      <c r="M25" s="8"/>
      <c r="N25" s="8"/>
      <c r="O25" s="8"/>
      <c r="P25" s="8"/>
      <c r="Q25" s="8"/>
      <c r="R25" s="8"/>
      <c r="S25" s="8"/>
      <c r="T25" s="8"/>
      <c r="U25" s="8"/>
      <c r="V25" s="8"/>
      <c r="W25" s="30"/>
      <c r="X25" s="15"/>
      <c r="Y25" s="15"/>
      <c r="Z25" s="15"/>
    </row>
    <row r="26" ht="13.2" spans="1:26">
      <c r="A26" s="26" t="str">
        <f t="shared" si="14"/>
        <v>ID-0014</v>
      </c>
      <c r="B26" s="30"/>
      <c r="C26" s="30"/>
      <c r="D26" s="38"/>
      <c r="E26" s="28"/>
      <c r="F26" s="28"/>
      <c r="G26" s="28"/>
      <c r="H26" s="8"/>
      <c r="I26" s="8"/>
      <c r="J26" s="8"/>
      <c r="K26" s="8"/>
      <c r="L26" s="8"/>
      <c r="M26" s="8"/>
      <c r="N26" s="8"/>
      <c r="O26" s="8"/>
      <c r="P26" s="8"/>
      <c r="Q26" s="8"/>
      <c r="R26" s="8"/>
      <c r="S26" s="8"/>
      <c r="T26" s="8"/>
      <c r="U26" s="8"/>
      <c r="V26" s="8"/>
      <c r="W26" s="30"/>
      <c r="X26" s="15"/>
      <c r="Y26" s="15"/>
      <c r="Z26" s="15"/>
    </row>
    <row r="27" customHeight="1" spans="1:26">
      <c r="A27" s="26" t="str">
        <f t="shared" si="14"/>
        <v>ID-0015</v>
      </c>
      <c r="B27" s="30"/>
      <c r="C27" s="30"/>
      <c r="D27" s="30"/>
      <c r="E27" s="30"/>
      <c r="F27" s="30"/>
      <c r="G27" s="30"/>
      <c r="H27" s="8"/>
      <c r="I27" s="8"/>
      <c r="J27" s="8"/>
      <c r="K27" s="8"/>
      <c r="L27" s="8"/>
      <c r="M27" s="8"/>
      <c r="N27" s="8"/>
      <c r="O27" s="8"/>
      <c r="P27" s="8"/>
      <c r="Q27" s="8"/>
      <c r="R27" s="8"/>
      <c r="S27" s="8"/>
      <c r="T27" s="8"/>
      <c r="U27" s="8"/>
      <c r="V27" s="8"/>
      <c r="W27" s="30"/>
      <c r="X27" s="15"/>
      <c r="Y27" s="15"/>
      <c r="Z27" s="15"/>
    </row>
    <row r="28" customHeight="1" spans="1:26">
      <c r="A28" s="26" t="str">
        <f t="shared" si="14"/>
        <v>ID-0016</v>
      </c>
      <c r="B28" s="30"/>
      <c r="C28" s="30"/>
      <c r="D28" s="30"/>
      <c r="E28" s="30"/>
      <c r="F28" s="30"/>
      <c r="G28" s="30"/>
      <c r="H28" s="8"/>
      <c r="I28" s="8"/>
      <c r="J28" s="8"/>
      <c r="K28" s="8"/>
      <c r="L28" s="8"/>
      <c r="M28" s="8"/>
      <c r="N28" s="8"/>
      <c r="O28" s="8"/>
      <c r="P28" s="8"/>
      <c r="Q28" s="8"/>
      <c r="R28" s="8"/>
      <c r="S28" s="8"/>
      <c r="T28" s="8"/>
      <c r="U28" s="8"/>
      <c r="V28" s="8"/>
      <c r="W28" s="30"/>
      <c r="X28" s="15"/>
      <c r="Y28" s="15"/>
      <c r="Z28" s="15"/>
    </row>
    <row r="29" customHeight="1" spans="1:26">
      <c r="A29" s="26" t="str">
        <f t="shared" si="14"/>
        <v>ID-0017</v>
      </c>
      <c r="B29" s="30"/>
      <c r="C29" s="30"/>
      <c r="D29" s="30"/>
      <c r="E29" s="30"/>
      <c r="F29" s="30"/>
      <c r="G29" s="30"/>
      <c r="H29" s="8"/>
      <c r="I29" s="8"/>
      <c r="J29" s="8"/>
      <c r="K29" s="8"/>
      <c r="L29" s="8"/>
      <c r="M29" s="8"/>
      <c r="N29" s="8"/>
      <c r="O29" s="8"/>
      <c r="P29" s="8"/>
      <c r="Q29" s="8"/>
      <c r="R29" s="8"/>
      <c r="S29" s="8"/>
      <c r="T29" s="8"/>
      <c r="U29" s="8"/>
      <c r="V29" s="8"/>
      <c r="W29" s="30"/>
      <c r="X29" s="15"/>
      <c r="Y29" s="15"/>
      <c r="Z29" s="15"/>
    </row>
    <row r="30" customHeight="1" spans="1:26">
      <c r="A30" s="26" t="str">
        <f t="shared" si="14"/>
        <v>ID-0018</v>
      </c>
      <c r="B30" s="30"/>
      <c r="C30" s="30"/>
      <c r="D30" s="30"/>
      <c r="E30" s="30"/>
      <c r="F30" s="30"/>
      <c r="G30" s="30"/>
      <c r="H30" s="8"/>
      <c r="I30" s="8"/>
      <c r="J30" s="8"/>
      <c r="K30" s="8"/>
      <c r="L30" s="8"/>
      <c r="M30" s="8"/>
      <c r="N30" s="8"/>
      <c r="O30" s="8"/>
      <c r="P30" s="8"/>
      <c r="Q30" s="8"/>
      <c r="R30" s="8"/>
      <c r="S30" s="8"/>
      <c r="T30" s="8"/>
      <c r="U30" s="8"/>
      <c r="V30" s="8"/>
      <c r="W30" s="30"/>
      <c r="X30" s="15"/>
      <c r="Y30" s="15"/>
      <c r="Z30" s="15"/>
    </row>
    <row r="31" customHeight="1" spans="1:26">
      <c r="A31" s="26" t="str">
        <f t="shared" si="14"/>
        <v>ID-0019</v>
      </c>
      <c r="B31" s="30"/>
      <c r="C31" s="30"/>
      <c r="D31" s="30"/>
      <c r="E31" s="30"/>
      <c r="F31" s="30"/>
      <c r="G31" s="30"/>
      <c r="H31" s="8"/>
      <c r="I31" s="8"/>
      <c r="J31" s="8"/>
      <c r="K31" s="8"/>
      <c r="L31" s="8"/>
      <c r="M31" s="8"/>
      <c r="N31" s="8"/>
      <c r="O31" s="8"/>
      <c r="P31" s="8"/>
      <c r="Q31" s="8"/>
      <c r="R31" s="8"/>
      <c r="S31" s="8"/>
      <c r="T31" s="8"/>
      <c r="U31" s="8"/>
      <c r="V31" s="8"/>
      <c r="W31" s="30"/>
      <c r="X31" s="15"/>
      <c r="Y31" s="15"/>
      <c r="Z31" s="15"/>
    </row>
    <row r="32" customHeight="1" spans="1:26">
      <c r="A32" s="26" t="str">
        <f t="shared" si="14"/>
        <v>ID-0020</v>
      </c>
      <c r="B32" s="30"/>
      <c r="C32" s="30"/>
      <c r="D32" s="30"/>
      <c r="E32" s="30"/>
      <c r="F32" s="30"/>
      <c r="G32" s="30"/>
      <c r="H32" s="8"/>
      <c r="I32" s="8"/>
      <c r="J32" s="8"/>
      <c r="K32" s="8"/>
      <c r="L32" s="8"/>
      <c r="M32" s="8"/>
      <c r="N32" s="8"/>
      <c r="O32" s="8"/>
      <c r="P32" s="8"/>
      <c r="Q32" s="8"/>
      <c r="R32" s="8"/>
      <c r="S32" s="8"/>
      <c r="T32" s="8"/>
      <c r="U32" s="8"/>
      <c r="V32" s="8"/>
      <c r="W32" s="30"/>
      <c r="X32" s="15"/>
      <c r="Y32" s="15"/>
      <c r="Z32" s="15"/>
    </row>
    <row r="33" customHeight="1" spans="1:26">
      <c r="A33" s="26" t="str">
        <f t="shared" si="14"/>
        <v>ID-0021</v>
      </c>
      <c r="B33" s="30"/>
      <c r="C33" s="30"/>
      <c r="D33" s="30"/>
      <c r="E33" s="30"/>
      <c r="F33" s="30"/>
      <c r="G33" s="30"/>
      <c r="H33" s="8"/>
      <c r="I33" s="8"/>
      <c r="J33" s="8"/>
      <c r="K33" s="8"/>
      <c r="L33" s="8"/>
      <c r="M33" s="8"/>
      <c r="N33" s="8"/>
      <c r="O33" s="8"/>
      <c r="P33" s="8"/>
      <c r="Q33" s="8"/>
      <c r="R33" s="8"/>
      <c r="S33" s="8"/>
      <c r="T33" s="8"/>
      <c r="U33" s="8"/>
      <c r="V33" s="8"/>
      <c r="W33" s="30"/>
      <c r="X33" s="15"/>
      <c r="Y33" s="15"/>
      <c r="Z33" s="15"/>
    </row>
    <row r="34" customHeight="1" spans="1:26">
      <c r="A34" s="26" t="str">
        <f t="shared" si="14"/>
        <v>ID-0022</v>
      </c>
      <c r="B34" s="30"/>
      <c r="C34" s="30"/>
      <c r="D34" s="30"/>
      <c r="E34" s="30"/>
      <c r="F34" s="30"/>
      <c r="G34" s="30"/>
      <c r="H34" s="8"/>
      <c r="I34" s="8"/>
      <c r="J34" s="8"/>
      <c r="K34" s="8"/>
      <c r="L34" s="8"/>
      <c r="M34" s="8"/>
      <c r="N34" s="8"/>
      <c r="O34" s="8"/>
      <c r="P34" s="8"/>
      <c r="Q34" s="8"/>
      <c r="R34" s="8"/>
      <c r="S34" s="8"/>
      <c r="T34" s="8"/>
      <c r="U34" s="8"/>
      <c r="V34" s="8"/>
      <c r="W34" s="30"/>
      <c r="X34" s="15"/>
      <c r="Y34" s="15"/>
      <c r="Z34" s="15"/>
    </row>
    <row r="35" customHeight="1" spans="1:26">
      <c r="A35" s="26" t="str">
        <f t="shared" si="14"/>
        <v>ID-0023</v>
      </c>
      <c r="B35" s="30"/>
      <c r="C35" s="30"/>
      <c r="D35" s="30"/>
      <c r="E35" s="30"/>
      <c r="F35" s="30"/>
      <c r="G35" s="30"/>
      <c r="H35" s="8"/>
      <c r="I35" s="8"/>
      <c r="J35" s="8"/>
      <c r="K35" s="8"/>
      <c r="L35" s="8"/>
      <c r="M35" s="8"/>
      <c r="N35" s="8"/>
      <c r="O35" s="8"/>
      <c r="P35" s="8"/>
      <c r="Q35" s="8"/>
      <c r="R35" s="8"/>
      <c r="S35" s="8"/>
      <c r="T35" s="8"/>
      <c r="U35" s="8"/>
      <c r="V35" s="8"/>
      <c r="W35" s="30"/>
      <c r="X35" s="15"/>
      <c r="Y35" s="15"/>
      <c r="Z35" s="15"/>
    </row>
    <row r="36" customHeight="1" spans="1:26">
      <c r="A36" s="26" t="str">
        <f t="shared" si="14"/>
        <v>ID-0024</v>
      </c>
      <c r="B36" s="30"/>
      <c r="C36" s="30"/>
      <c r="D36" s="30"/>
      <c r="E36" s="30"/>
      <c r="F36" s="30"/>
      <c r="G36" s="30"/>
      <c r="H36" s="8"/>
      <c r="I36" s="8"/>
      <c r="J36" s="8"/>
      <c r="K36" s="8"/>
      <c r="L36" s="8"/>
      <c r="M36" s="8"/>
      <c r="N36" s="8"/>
      <c r="O36" s="8"/>
      <c r="P36" s="8"/>
      <c r="Q36" s="8"/>
      <c r="R36" s="8"/>
      <c r="S36" s="8"/>
      <c r="T36" s="8"/>
      <c r="U36" s="8"/>
      <c r="V36" s="8"/>
      <c r="W36" s="30"/>
      <c r="X36" s="15"/>
      <c r="Y36" s="15"/>
      <c r="Z36" s="15"/>
    </row>
    <row r="37" customHeight="1" spans="1:26">
      <c r="A37" s="17"/>
      <c r="B37" s="15"/>
      <c r="C37" s="15"/>
      <c r="D37" s="15"/>
      <c r="E37" s="15"/>
      <c r="F37" s="15"/>
      <c r="G37" s="15"/>
      <c r="H37" s="16"/>
      <c r="I37" s="16"/>
      <c r="J37" s="16"/>
      <c r="K37" s="16"/>
      <c r="L37" s="16"/>
      <c r="M37" s="16"/>
      <c r="N37" s="16"/>
      <c r="O37" s="16"/>
      <c r="P37" s="16"/>
      <c r="Q37" s="16"/>
      <c r="R37" s="16"/>
      <c r="S37" s="16"/>
      <c r="T37" s="16"/>
      <c r="U37" s="16"/>
      <c r="V37" s="16"/>
      <c r="W37" s="15"/>
      <c r="X37" s="15"/>
      <c r="Y37" s="15"/>
      <c r="Z37" s="15"/>
    </row>
    <row r="38" customHeight="1" spans="1:26">
      <c r="A38" s="17"/>
      <c r="B38" s="15"/>
      <c r="C38" s="15"/>
      <c r="D38" s="15"/>
      <c r="E38" s="15"/>
      <c r="F38" s="15"/>
      <c r="G38" s="15"/>
      <c r="H38" s="16"/>
      <c r="I38" s="16"/>
      <c r="J38" s="16"/>
      <c r="K38" s="16"/>
      <c r="L38" s="16"/>
      <c r="M38" s="16"/>
      <c r="N38" s="16"/>
      <c r="O38" s="16"/>
      <c r="P38" s="16"/>
      <c r="Q38" s="16"/>
      <c r="R38" s="16"/>
      <c r="S38" s="16"/>
      <c r="T38" s="16"/>
      <c r="U38" s="16"/>
      <c r="V38" s="16"/>
      <c r="W38" s="15"/>
      <c r="X38" s="15"/>
      <c r="Y38" s="15"/>
      <c r="Z38" s="15"/>
    </row>
    <row r="39" customHeight="1" spans="1:26">
      <c r="A39" s="17"/>
      <c r="B39" s="15"/>
      <c r="C39" s="15"/>
      <c r="D39" s="15"/>
      <c r="E39" s="15"/>
      <c r="F39" s="15"/>
      <c r="G39" s="15"/>
      <c r="H39" s="16"/>
      <c r="I39" s="16"/>
      <c r="J39" s="16"/>
      <c r="K39" s="16"/>
      <c r="L39" s="16"/>
      <c r="M39" s="16"/>
      <c r="N39" s="16"/>
      <c r="O39" s="16"/>
      <c r="P39" s="16"/>
      <c r="Q39" s="16"/>
      <c r="R39" s="16"/>
      <c r="S39" s="16"/>
      <c r="T39" s="16"/>
      <c r="U39" s="16"/>
      <c r="V39" s="16"/>
      <c r="W39" s="15"/>
      <c r="X39" s="15"/>
      <c r="Y39" s="15"/>
      <c r="Z39" s="15"/>
    </row>
    <row r="40" customHeight="1" spans="1:26">
      <c r="A40" s="17"/>
      <c r="B40" s="15"/>
      <c r="C40" s="15"/>
      <c r="D40" s="15"/>
      <c r="E40" s="15"/>
      <c r="F40" s="15"/>
      <c r="G40" s="15"/>
      <c r="H40" s="16"/>
      <c r="I40" s="16"/>
      <c r="J40" s="16"/>
      <c r="K40" s="16"/>
      <c r="L40" s="16"/>
      <c r="M40" s="16"/>
      <c r="N40" s="16"/>
      <c r="O40" s="16"/>
      <c r="P40" s="16"/>
      <c r="Q40" s="16"/>
      <c r="R40" s="16"/>
      <c r="S40" s="16"/>
      <c r="T40" s="16"/>
      <c r="U40" s="16"/>
      <c r="V40" s="16"/>
      <c r="W40" s="15"/>
      <c r="X40" s="15"/>
      <c r="Y40" s="15"/>
      <c r="Z40" s="15"/>
    </row>
    <row r="41" customHeight="1" spans="1:26">
      <c r="A41" s="17"/>
      <c r="B41" s="15"/>
      <c r="C41" s="15"/>
      <c r="D41" s="15"/>
      <c r="E41" s="15"/>
      <c r="F41" s="15"/>
      <c r="G41" s="15"/>
      <c r="H41" s="16"/>
      <c r="I41" s="16"/>
      <c r="J41" s="16"/>
      <c r="K41" s="16"/>
      <c r="L41" s="16"/>
      <c r="M41" s="16"/>
      <c r="N41" s="16"/>
      <c r="O41" s="16"/>
      <c r="P41" s="16"/>
      <c r="Q41" s="16"/>
      <c r="R41" s="16"/>
      <c r="S41" s="16"/>
      <c r="T41" s="16"/>
      <c r="U41" s="16"/>
      <c r="V41" s="16"/>
      <c r="W41" s="15"/>
      <c r="X41" s="15"/>
      <c r="Y41" s="15"/>
      <c r="Z41" s="15"/>
    </row>
    <row r="42" customHeight="1" spans="1:26">
      <c r="A42" s="17"/>
      <c r="B42" s="15"/>
      <c r="C42" s="15"/>
      <c r="D42" s="15"/>
      <c r="E42" s="15"/>
      <c r="F42" s="15"/>
      <c r="G42" s="15"/>
      <c r="H42" s="16"/>
      <c r="I42" s="16"/>
      <c r="J42" s="16"/>
      <c r="K42" s="16"/>
      <c r="L42" s="16"/>
      <c r="M42" s="16"/>
      <c r="N42" s="16"/>
      <c r="O42" s="16"/>
      <c r="P42" s="16"/>
      <c r="Q42" s="16"/>
      <c r="R42" s="16"/>
      <c r="S42" s="16"/>
      <c r="T42" s="16"/>
      <c r="U42" s="16"/>
      <c r="V42" s="16"/>
      <c r="W42" s="15"/>
      <c r="X42" s="15"/>
      <c r="Y42" s="15"/>
      <c r="Z42" s="15"/>
    </row>
    <row r="43" customHeight="1" spans="1:26">
      <c r="A43" s="17"/>
      <c r="B43" s="15"/>
      <c r="C43" s="15"/>
      <c r="D43" s="15"/>
      <c r="E43" s="15"/>
      <c r="F43" s="15"/>
      <c r="G43" s="15"/>
      <c r="H43" s="16"/>
      <c r="I43" s="16"/>
      <c r="J43" s="16"/>
      <c r="K43" s="16"/>
      <c r="L43" s="16"/>
      <c r="M43" s="16"/>
      <c r="N43" s="16"/>
      <c r="O43" s="16"/>
      <c r="P43" s="16"/>
      <c r="Q43" s="16"/>
      <c r="R43" s="16"/>
      <c r="S43" s="16"/>
      <c r="T43" s="16"/>
      <c r="U43" s="16"/>
      <c r="V43" s="16"/>
      <c r="W43" s="15"/>
      <c r="X43" s="15"/>
      <c r="Y43" s="15"/>
      <c r="Z43" s="15"/>
    </row>
    <row r="44" customHeight="1" spans="1:26">
      <c r="A44" s="17"/>
      <c r="B44" s="15"/>
      <c r="C44" s="15"/>
      <c r="D44" s="15"/>
      <c r="E44" s="15"/>
      <c r="F44" s="15"/>
      <c r="G44" s="15"/>
      <c r="H44" s="16"/>
      <c r="I44" s="16"/>
      <c r="J44" s="16"/>
      <c r="K44" s="16"/>
      <c r="L44" s="16"/>
      <c r="M44" s="16"/>
      <c r="N44" s="16"/>
      <c r="O44" s="16"/>
      <c r="P44" s="16"/>
      <c r="Q44" s="16"/>
      <c r="R44" s="16"/>
      <c r="S44" s="16"/>
      <c r="T44" s="16"/>
      <c r="U44" s="16"/>
      <c r="V44" s="16"/>
      <c r="W44" s="15"/>
      <c r="X44" s="15"/>
      <c r="Y44" s="15"/>
      <c r="Z44" s="15"/>
    </row>
    <row r="45" customHeight="1" spans="1:26">
      <c r="A45" s="17"/>
      <c r="B45" s="15"/>
      <c r="C45" s="15"/>
      <c r="D45" s="15"/>
      <c r="E45" s="15"/>
      <c r="F45" s="15"/>
      <c r="G45" s="15"/>
      <c r="H45" s="16"/>
      <c r="I45" s="16"/>
      <c r="J45" s="16"/>
      <c r="K45" s="16"/>
      <c r="L45" s="16"/>
      <c r="M45" s="16"/>
      <c r="N45" s="16"/>
      <c r="O45" s="16"/>
      <c r="P45" s="16"/>
      <c r="Q45" s="16"/>
      <c r="R45" s="16"/>
      <c r="S45" s="16"/>
      <c r="T45" s="16"/>
      <c r="U45" s="16"/>
      <c r="V45" s="16"/>
      <c r="W45" s="15"/>
      <c r="X45" s="15"/>
      <c r="Y45" s="15"/>
      <c r="Z45" s="15"/>
    </row>
    <row r="46" customHeight="1" spans="1:26">
      <c r="A46" s="17"/>
      <c r="B46" s="15"/>
      <c r="C46" s="15"/>
      <c r="D46" s="15"/>
      <c r="E46" s="15"/>
      <c r="F46" s="15"/>
      <c r="G46" s="15"/>
      <c r="H46" s="16"/>
      <c r="I46" s="16"/>
      <c r="J46" s="16"/>
      <c r="K46" s="16"/>
      <c r="L46" s="16"/>
      <c r="M46" s="16"/>
      <c r="N46" s="16"/>
      <c r="O46" s="16"/>
      <c r="P46" s="16"/>
      <c r="Q46" s="16"/>
      <c r="R46" s="16"/>
      <c r="S46" s="16"/>
      <c r="T46" s="16"/>
      <c r="U46" s="16"/>
      <c r="V46" s="16"/>
      <c r="W46" s="15"/>
      <c r="X46" s="15"/>
      <c r="Y46" s="15"/>
      <c r="Z46" s="15"/>
    </row>
    <row r="47" customHeight="1" spans="1:26">
      <c r="A47" s="17"/>
      <c r="B47" s="15"/>
      <c r="C47" s="15"/>
      <c r="D47" s="15"/>
      <c r="E47" s="15"/>
      <c r="F47" s="15"/>
      <c r="G47" s="15"/>
      <c r="H47" s="16"/>
      <c r="I47" s="16"/>
      <c r="J47" s="16"/>
      <c r="K47" s="16"/>
      <c r="L47" s="16"/>
      <c r="M47" s="16"/>
      <c r="N47" s="16"/>
      <c r="O47" s="16"/>
      <c r="P47" s="16"/>
      <c r="Q47" s="16"/>
      <c r="R47" s="16"/>
      <c r="S47" s="16"/>
      <c r="T47" s="16"/>
      <c r="U47" s="16"/>
      <c r="V47" s="16"/>
      <c r="W47" s="15"/>
      <c r="X47" s="15"/>
      <c r="Y47" s="15"/>
      <c r="Z47" s="15"/>
    </row>
    <row r="48" customHeight="1" spans="1:26">
      <c r="A48" s="17"/>
      <c r="B48" s="15"/>
      <c r="C48" s="15"/>
      <c r="D48" s="15"/>
      <c r="E48" s="15"/>
      <c r="F48" s="15"/>
      <c r="G48" s="15"/>
      <c r="H48" s="16"/>
      <c r="I48" s="16"/>
      <c r="J48" s="16"/>
      <c r="K48" s="16"/>
      <c r="L48" s="16"/>
      <c r="M48" s="16"/>
      <c r="N48" s="16"/>
      <c r="O48" s="16"/>
      <c r="P48" s="16"/>
      <c r="Q48" s="16"/>
      <c r="R48" s="16"/>
      <c r="S48" s="16"/>
      <c r="T48" s="16"/>
      <c r="U48" s="16"/>
      <c r="V48" s="16"/>
      <c r="W48" s="15"/>
      <c r="X48" s="15"/>
      <c r="Y48" s="15"/>
      <c r="Z48" s="15"/>
    </row>
    <row r="49" customHeight="1" spans="1:26">
      <c r="A49" s="17"/>
      <c r="B49" s="15"/>
      <c r="C49" s="15"/>
      <c r="D49" s="15"/>
      <c r="E49" s="15"/>
      <c r="F49" s="15"/>
      <c r="G49" s="15"/>
      <c r="H49" s="16"/>
      <c r="I49" s="16"/>
      <c r="J49" s="16"/>
      <c r="K49" s="16"/>
      <c r="L49" s="16"/>
      <c r="M49" s="16"/>
      <c r="N49" s="16"/>
      <c r="O49" s="16"/>
      <c r="P49" s="16"/>
      <c r="Q49" s="16"/>
      <c r="R49" s="16"/>
      <c r="S49" s="16"/>
      <c r="T49" s="16"/>
      <c r="U49" s="16"/>
      <c r="V49" s="16"/>
      <c r="W49" s="15"/>
      <c r="X49" s="15"/>
      <c r="Y49" s="15"/>
      <c r="Z49" s="15"/>
    </row>
    <row r="50" customHeight="1" spans="1:26">
      <c r="A50" s="17"/>
      <c r="B50" s="15"/>
      <c r="C50" s="15"/>
      <c r="D50" s="15"/>
      <c r="E50" s="15"/>
      <c r="F50" s="15"/>
      <c r="G50" s="15"/>
      <c r="H50" s="16"/>
      <c r="I50" s="16"/>
      <c r="J50" s="16"/>
      <c r="K50" s="16"/>
      <c r="L50" s="16"/>
      <c r="M50" s="16"/>
      <c r="N50" s="16"/>
      <c r="O50" s="16"/>
      <c r="P50" s="16"/>
      <c r="Q50" s="16"/>
      <c r="R50" s="16"/>
      <c r="S50" s="16"/>
      <c r="T50" s="16"/>
      <c r="U50" s="16"/>
      <c r="V50" s="16"/>
      <c r="W50" s="15"/>
      <c r="X50" s="15"/>
      <c r="Y50" s="15"/>
      <c r="Z50" s="15"/>
    </row>
    <row r="51" customHeight="1" spans="1:26">
      <c r="A51" s="17"/>
      <c r="B51" s="15"/>
      <c r="C51" s="15"/>
      <c r="D51" s="15"/>
      <c r="E51" s="15"/>
      <c r="F51" s="15"/>
      <c r="G51" s="15"/>
      <c r="H51" s="16"/>
      <c r="I51" s="16"/>
      <c r="J51" s="16"/>
      <c r="K51" s="16"/>
      <c r="L51" s="16"/>
      <c r="M51" s="16"/>
      <c r="N51" s="16"/>
      <c r="O51" s="16"/>
      <c r="P51" s="16"/>
      <c r="Q51" s="16"/>
      <c r="R51" s="16"/>
      <c r="S51" s="16"/>
      <c r="T51" s="16"/>
      <c r="U51" s="16"/>
      <c r="V51" s="16"/>
      <c r="W51" s="15"/>
      <c r="X51" s="15"/>
      <c r="Y51" s="15"/>
      <c r="Z51" s="15"/>
    </row>
    <row r="52" customHeight="1" spans="1:26">
      <c r="A52" s="17"/>
      <c r="B52" s="15"/>
      <c r="C52" s="15"/>
      <c r="D52" s="15"/>
      <c r="E52" s="15"/>
      <c r="F52" s="15"/>
      <c r="G52" s="15"/>
      <c r="H52" s="16"/>
      <c r="I52" s="16"/>
      <c r="J52" s="16"/>
      <c r="K52" s="16"/>
      <c r="L52" s="16"/>
      <c r="M52" s="16"/>
      <c r="N52" s="16"/>
      <c r="O52" s="16"/>
      <c r="P52" s="16"/>
      <c r="Q52" s="16"/>
      <c r="R52" s="16"/>
      <c r="S52" s="16"/>
      <c r="T52" s="16"/>
      <c r="U52" s="16"/>
      <c r="V52" s="16"/>
      <c r="W52" s="15"/>
      <c r="X52" s="15"/>
      <c r="Y52" s="15"/>
      <c r="Z52" s="15"/>
    </row>
    <row r="53" customHeight="1" spans="1:26">
      <c r="A53" s="17"/>
      <c r="B53" s="15"/>
      <c r="C53" s="15"/>
      <c r="D53" s="15"/>
      <c r="E53" s="15"/>
      <c r="F53" s="15"/>
      <c r="G53" s="15"/>
      <c r="H53" s="16"/>
      <c r="I53" s="16"/>
      <c r="J53" s="16"/>
      <c r="K53" s="16"/>
      <c r="L53" s="16"/>
      <c r="M53" s="16"/>
      <c r="N53" s="16"/>
      <c r="O53" s="16"/>
      <c r="P53" s="16"/>
      <c r="Q53" s="16"/>
      <c r="R53" s="16"/>
      <c r="S53" s="16"/>
      <c r="T53" s="16"/>
      <c r="U53" s="16"/>
      <c r="V53" s="16"/>
      <c r="W53" s="15"/>
      <c r="X53" s="15"/>
      <c r="Y53" s="15"/>
      <c r="Z53" s="15"/>
    </row>
    <row r="54" customHeight="1" spans="1:26">
      <c r="A54" s="17"/>
      <c r="B54" s="15"/>
      <c r="C54" s="15"/>
      <c r="D54" s="15"/>
      <c r="E54" s="15"/>
      <c r="F54" s="15"/>
      <c r="G54" s="15"/>
      <c r="H54" s="16"/>
      <c r="I54" s="16"/>
      <c r="J54" s="16"/>
      <c r="K54" s="16"/>
      <c r="L54" s="16"/>
      <c r="M54" s="16"/>
      <c r="N54" s="16"/>
      <c r="O54" s="16"/>
      <c r="P54" s="16"/>
      <c r="Q54" s="16"/>
      <c r="R54" s="16"/>
      <c r="S54" s="16"/>
      <c r="T54" s="16"/>
      <c r="U54" s="16"/>
      <c r="V54" s="16"/>
      <c r="W54" s="15"/>
      <c r="X54" s="15"/>
      <c r="Y54" s="15"/>
      <c r="Z54" s="15"/>
    </row>
    <row r="55" customHeight="1" spans="1:26">
      <c r="A55" s="17"/>
      <c r="B55" s="15"/>
      <c r="C55" s="15"/>
      <c r="D55" s="15"/>
      <c r="E55" s="15"/>
      <c r="F55" s="15"/>
      <c r="G55" s="15"/>
      <c r="H55" s="16"/>
      <c r="I55" s="16"/>
      <c r="J55" s="16"/>
      <c r="K55" s="16"/>
      <c r="L55" s="16"/>
      <c r="M55" s="16"/>
      <c r="N55" s="16"/>
      <c r="O55" s="16"/>
      <c r="P55" s="16"/>
      <c r="Q55" s="16"/>
      <c r="R55" s="16"/>
      <c r="S55" s="16"/>
      <c r="T55" s="16"/>
      <c r="U55" s="16"/>
      <c r="V55" s="16"/>
      <c r="W55" s="15"/>
      <c r="X55" s="15"/>
      <c r="Y55" s="15"/>
      <c r="Z55" s="15"/>
    </row>
    <row r="56" customHeight="1" spans="1:26">
      <c r="A56" s="17"/>
      <c r="B56" s="15"/>
      <c r="C56" s="15"/>
      <c r="D56" s="15"/>
      <c r="E56" s="15"/>
      <c r="F56" s="15"/>
      <c r="G56" s="15"/>
      <c r="H56" s="16"/>
      <c r="I56" s="16"/>
      <c r="J56" s="16"/>
      <c r="K56" s="16"/>
      <c r="L56" s="16"/>
      <c r="M56" s="16"/>
      <c r="N56" s="16"/>
      <c r="O56" s="16"/>
      <c r="P56" s="16"/>
      <c r="Q56" s="16"/>
      <c r="R56" s="16"/>
      <c r="S56" s="16"/>
      <c r="T56" s="16"/>
      <c r="U56" s="16"/>
      <c r="V56" s="16"/>
      <c r="W56" s="15"/>
      <c r="X56" s="15"/>
      <c r="Y56" s="15"/>
      <c r="Z56" s="15"/>
    </row>
    <row r="57" customHeight="1" spans="1:26">
      <c r="A57" s="17"/>
      <c r="B57" s="15"/>
      <c r="C57" s="15"/>
      <c r="D57" s="15"/>
      <c r="E57" s="15"/>
      <c r="F57" s="15"/>
      <c r="G57" s="15"/>
      <c r="H57" s="16"/>
      <c r="I57" s="16"/>
      <c r="J57" s="16"/>
      <c r="K57" s="16"/>
      <c r="L57" s="16"/>
      <c r="M57" s="16"/>
      <c r="N57" s="16"/>
      <c r="O57" s="16"/>
      <c r="P57" s="16"/>
      <c r="Q57" s="16"/>
      <c r="R57" s="16"/>
      <c r="S57" s="16"/>
      <c r="T57" s="16"/>
      <c r="U57" s="16"/>
      <c r="V57" s="16"/>
      <c r="W57" s="15"/>
      <c r="X57" s="15"/>
      <c r="Y57" s="15"/>
      <c r="Z57" s="15"/>
    </row>
    <row r="58" customHeight="1" spans="1:26">
      <c r="A58" s="17"/>
      <c r="B58" s="15"/>
      <c r="C58" s="15"/>
      <c r="D58" s="15"/>
      <c r="E58" s="15"/>
      <c r="F58" s="15"/>
      <c r="G58" s="15"/>
      <c r="H58" s="16"/>
      <c r="I58" s="16"/>
      <c r="J58" s="16"/>
      <c r="K58" s="16"/>
      <c r="L58" s="16"/>
      <c r="M58" s="16"/>
      <c r="N58" s="16"/>
      <c r="O58" s="16"/>
      <c r="P58" s="16"/>
      <c r="Q58" s="16"/>
      <c r="R58" s="16"/>
      <c r="S58" s="16"/>
      <c r="T58" s="16"/>
      <c r="U58" s="16"/>
      <c r="V58" s="16"/>
      <c r="W58" s="15"/>
      <c r="X58" s="15"/>
      <c r="Y58" s="15"/>
      <c r="Z58" s="15"/>
    </row>
    <row r="59" customHeight="1" spans="1:26">
      <c r="A59" s="17"/>
      <c r="B59" s="15"/>
      <c r="C59" s="15"/>
      <c r="D59" s="15"/>
      <c r="E59" s="15"/>
      <c r="F59" s="15"/>
      <c r="G59" s="15"/>
      <c r="H59" s="16"/>
      <c r="I59" s="16"/>
      <c r="J59" s="16"/>
      <c r="K59" s="16"/>
      <c r="L59" s="16"/>
      <c r="M59" s="16"/>
      <c r="N59" s="16"/>
      <c r="O59" s="16"/>
      <c r="P59" s="16"/>
      <c r="Q59" s="16"/>
      <c r="R59" s="16"/>
      <c r="S59" s="16"/>
      <c r="T59" s="16"/>
      <c r="U59" s="16"/>
      <c r="V59" s="16"/>
      <c r="W59" s="15"/>
      <c r="X59" s="15"/>
      <c r="Y59" s="15"/>
      <c r="Z59" s="15"/>
    </row>
    <row r="60" customHeight="1" spans="1:26">
      <c r="A60" s="17"/>
      <c r="B60" s="15"/>
      <c r="C60" s="15"/>
      <c r="D60" s="15"/>
      <c r="E60" s="15"/>
      <c r="F60" s="15"/>
      <c r="G60" s="15"/>
      <c r="H60" s="16"/>
      <c r="I60" s="16"/>
      <c r="J60" s="16"/>
      <c r="K60" s="16"/>
      <c r="L60" s="16"/>
      <c r="M60" s="16"/>
      <c r="N60" s="16"/>
      <c r="O60" s="16"/>
      <c r="P60" s="16"/>
      <c r="Q60" s="16"/>
      <c r="R60" s="16"/>
      <c r="S60" s="16"/>
      <c r="T60" s="16"/>
      <c r="U60" s="16"/>
      <c r="V60" s="16"/>
      <c r="W60" s="15"/>
      <c r="X60" s="15"/>
      <c r="Y60" s="15"/>
      <c r="Z60" s="15"/>
    </row>
    <row r="61" customHeight="1" spans="1:26">
      <c r="A61" s="17"/>
      <c r="B61" s="15"/>
      <c r="C61" s="15"/>
      <c r="D61" s="15"/>
      <c r="E61" s="15"/>
      <c r="F61" s="15"/>
      <c r="G61" s="15"/>
      <c r="H61" s="16"/>
      <c r="I61" s="16"/>
      <c r="J61" s="16"/>
      <c r="K61" s="16"/>
      <c r="L61" s="16"/>
      <c r="M61" s="16"/>
      <c r="N61" s="16"/>
      <c r="O61" s="16"/>
      <c r="P61" s="16"/>
      <c r="Q61" s="16"/>
      <c r="R61" s="16"/>
      <c r="S61" s="16"/>
      <c r="T61" s="16"/>
      <c r="U61" s="16"/>
      <c r="V61" s="16"/>
      <c r="W61" s="15"/>
      <c r="X61" s="15"/>
      <c r="Y61" s="15"/>
      <c r="Z61" s="15"/>
    </row>
    <row r="62" customHeight="1" spans="1:26">
      <c r="A62" s="17"/>
      <c r="B62" s="15"/>
      <c r="C62" s="15"/>
      <c r="D62" s="15"/>
      <c r="E62" s="15"/>
      <c r="F62" s="15"/>
      <c r="G62" s="15"/>
      <c r="H62" s="16"/>
      <c r="I62" s="16"/>
      <c r="J62" s="16"/>
      <c r="K62" s="16"/>
      <c r="L62" s="16"/>
      <c r="M62" s="16"/>
      <c r="N62" s="16"/>
      <c r="O62" s="16"/>
      <c r="P62" s="16"/>
      <c r="Q62" s="16"/>
      <c r="R62" s="16"/>
      <c r="S62" s="16"/>
      <c r="T62" s="16"/>
      <c r="U62" s="16"/>
      <c r="V62" s="16"/>
      <c r="W62" s="15"/>
      <c r="X62" s="15"/>
      <c r="Y62" s="15"/>
      <c r="Z62" s="15"/>
    </row>
    <row r="63" customHeight="1" spans="1:26">
      <c r="A63" s="17"/>
      <c r="B63" s="15"/>
      <c r="C63" s="15"/>
      <c r="D63" s="15"/>
      <c r="E63" s="15"/>
      <c r="F63" s="15"/>
      <c r="G63" s="15"/>
      <c r="H63" s="16"/>
      <c r="I63" s="16"/>
      <c r="J63" s="16"/>
      <c r="K63" s="16"/>
      <c r="L63" s="16"/>
      <c r="M63" s="16"/>
      <c r="N63" s="16"/>
      <c r="O63" s="16"/>
      <c r="P63" s="16"/>
      <c r="Q63" s="16"/>
      <c r="R63" s="16"/>
      <c r="S63" s="16"/>
      <c r="T63" s="16"/>
      <c r="U63" s="16"/>
      <c r="V63" s="16"/>
      <c r="W63" s="15"/>
      <c r="X63" s="15"/>
      <c r="Y63" s="15"/>
      <c r="Z63" s="15"/>
    </row>
    <row r="64" customHeight="1" spans="1:26">
      <c r="A64" s="17"/>
      <c r="B64" s="15"/>
      <c r="C64" s="15"/>
      <c r="D64" s="15"/>
      <c r="E64" s="15"/>
      <c r="F64" s="15"/>
      <c r="G64" s="15"/>
      <c r="H64" s="16"/>
      <c r="I64" s="16"/>
      <c r="J64" s="16"/>
      <c r="K64" s="16"/>
      <c r="L64" s="16"/>
      <c r="M64" s="16"/>
      <c r="N64" s="16"/>
      <c r="O64" s="16"/>
      <c r="P64" s="16"/>
      <c r="Q64" s="16"/>
      <c r="R64" s="16"/>
      <c r="S64" s="16"/>
      <c r="T64" s="16"/>
      <c r="U64" s="16"/>
      <c r="V64" s="16"/>
      <c r="W64" s="15"/>
      <c r="X64" s="15"/>
      <c r="Y64" s="15"/>
      <c r="Z64" s="15"/>
    </row>
    <row r="65" customHeight="1" spans="1:26">
      <c r="A65" s="17"/>
      <c r="B65" s="15"/>
      <c r="C65" s="15"/>
      <c r="D65" s="15"/>
      <c r="E65" s="15"/>
      <c r="F65" s="15"/>
      <c r="G65" s="15"/>
      <c r="H65" s="16"/>
      <c r="I65" s="16"/>
      <c r="J65" s="16"/>
      <c r="K65" s="16"/>
      <c r="L65" s="16"/>
      <c r="M65" s="16"/>
      <c r="N65" s="16"/>
      <c r="O65" s="16"/>
      <c r="P65" s="16"/>
      <c r="Q65" s="16"/>
      <c r="R65" s="16"/>
      <c r="S65" s="16"/>
      <c r="T65" s="16"/>
      <c r="U65" s="16"/>
      <c r="V65" s="16"/>
      <c r="W65" s="15"/>
      <c r="X65" s="15"/>
      <c r="Y65" s="15"/>
      <c r="Z65" s="15"/>
    </row>
    <row r="66" customHeight="1" spans="1:26">
      <c r="A66" s="17"/>
      <c r="B66" s="15"/>
      <c r="C66" s="15"/>
      <c r="D66" s="15"/>
      <c r="E66" s="15"/>
      <c r="F66" s="15"/>
      <c r="G66" s="15"/>
      <c r="H66" s="16"/>
      <c r="I66" s="16"/>
      <c r="J66" s="16"/>
      <c r="K66" s="16"/>
      <c r="L66" s="16"/>
      <c r="M66" s="16"/>
      <c r="N66" s="16"/>
      <c r="O66" s="16"/>
      <c r="P66" s="16"/>
      <c r="Q66" s="16"/>
      <c r="R66" s="16"/>
      <c r="S66" s="16"/>
      <c r="T66" s="16"/>
      <c r="U66" s="16"/>
      <c r="V66" s="16"/>
      <c r="W66" s="15"/>
      <c r="X66" s="15"/>
      <c r="Y66" s="15"/>
      <c r="Z66" s="15"/>
    </row>
    <row r="67" customHeight="1" spans="1:26">
      <c r="A67" s="17"/>
      <c r="B67" s="15"/>
      <c r="C67" s="15"/>
      <c r="D67" s="15"/>
      <c r="E67" s="15"/>
      <c r="F67" s="15"/>
      <c r="G67" s="15"/>
      <c r="H67" s="16"/>
      <c r="I67" s="16"/>
      <c r="J67" s="16"/>
      <c r="K67" s="16"/>
      <c r="L67" s="16"/>
      <c r="M67" s="16"/>
      <c r="N67" s="16"/>
      <c r="O67" s="16"/>
      <c r="P67" s="16"/>
      <c r="Q67" s="16"/>
      <c r="R67" s="16"/>
      <c r="S67" s="16"/>
      <c r="T67" s="16"/>
      <c r="U67" s="16"/>
      <c r="V67" s="16"/>
      <c r="W67" s="15"/>
      <c r="X67" s="15"/>
      <c r="Y67" s="15"/>
      <c r="Z67" s="15"/>
    </row>
    <row r="68" customHeight="1" spans="1:26">
      <c r="A68" s="17"/>
      <c r="B68" s="15"/>
      <c r="C68" s="15"/>
      <c r="D68" s="15"/>
      <c r="E68" s="15"/>
      <c r="F68" s="15"/>
      <c r="G68" s="15"/>
      <c r="H68" s="16"/>
      <c r="I68" s="16"/>
      <c r="J68" s="16"/>
      <c r="K68" s="16"/>
      <c r="L68" s="16"/>
      <c r="M68" s="16"/>
      <c r="N68" s="16"/>
      <c r="O68" s="16"/>
      <c r="P68" s="16"/>
      <c r="Q68" s="16"/>
      <c r="R68" s="16"/>
      <c r="S68" s="16"/>
      <c r="T68" s="16"/>
      <c r="U68" s="16"/>
      <c r="V68" s="16"/>
      <c r="W68" s="15"/>
      <c r="X68" s="15"/>
      <c r="Y68" s="15"/>
      <c r="Z68" s="15"/>
    </row>
    <row r="69" customHeight="1" spans="1:26">
      <c r="A69" s="17"/>
      <c r="B69" s="15"/>
      <c r="C69" s="15"/>
      <c r="D69" s="15"/>
      <c r="E69" s="15"/>
      <c r="F69" s="15"/>
      <c r="G69" s="15"/>
      <c r="H69" s="16"/>
      <c r="I69" s="16"/>
      <c r="J69" s="16"/>
      <c r="K69" s="16"/>
      <c r="L69" s="16"/>
      <c r="M69" s="16"/>
      <c r="N69" s="16"/>
      <c r="O69" s="16"/>
      <c r="P69" s="16"/>
      <c r="Q69" s="16"/>
      <c r="R69" s="16"/>
      <c r="S69" s="16"/>
      <c r="T69" s="16"/>
      <c r="U69" s="16"/>
      <c r="V69" s="16"/>
      <c r="W69" s="15"/>
      <c r="X69" s="15"/>
      <c r="Y69" s="15"/>
      <c r="Z69" s="15"/>
    </row>
    <row r="70" customHeight="1" spans="1:26">
      <c r="A70" s="17"/>
      <c r="B70" s="15"/>
      <c r="C70" s="15"/>
      <c r="D70" s="15"/>
      <c r="E70" s="15"/>
      <c r="F70" s="15"/>
      <c r="G70" s="15"/>
      <c r="H70" s="16"/>
      <c r="I70" s="16"/>
      <c r="J70" s="16"/>
      <c r="K70" s="16"/>
      <c r="L70" s="16"/>
      <c r="M70" s="16"/>
      <c r="N70" s="16"/>
      <c r="O70" s="16"/>
      <c r="P70" s="16"/>
      <c r="Q70" s="16"/>
      <c r="R70" s="16"/>
      <c r="S70" s="16"/>
      <c r="T70" s="16"/>
      <c r="U70" s="16"/>
      <c r="V70" s="16"/>
      <c r="W70" s="15"/>
      <c r="X70" s="15"/>
      <c r="Y70" s="15"/>
      <c r="Z70" s="15"/>
    </row>
    <row r="71" customHeight="1" spans="1:26">
      <c r="A71" s="17"/>
      <c r="B71" s="15"/>
      <c r="C71" s="15"/>
      <c r="D71" s="15"/>
      <c r="E71" s="15"/>
      <c r="F71" s="15"/>
      <c r="G71" s="15"/>
      <c r="H71" s="16"/>
      <c r="I71" s="16"/>
      <c r="J71" s="16"/>
      <c r="K71" s="16"/>
      <c r="L71" s="16"/>
      <c r="M71" s="16"/>
      <c r="N71" s="16"/>
      <c r="O71" s="16"/>
      <c r="P71" s="16"/>
      <c r="Q71" s="16"/>
      <c r="R71" s="16"/>
      <c r="S71" s="16"/>
      <c r="T71" s="16"/>
      <c r="U71" s="16"/>
      <c r="V71" s="16"/>
      <c r="W71" s="15"/>
      <c r="X71" s="15"/>
      <c r="Y71" s="15"/>
      <c r="Z71" s="15"/>
    </row>
    <row r="72" customHeight="1" spans="1:26">
      <c r="A72" s="17"/>
      <c r="B72" s="15"/>
      <c r="C72" s="15"/>
      <c r="D72" s="15"/>
      <c r="E72" s="15"/>
      <c r="F72" s="15"/>
      <c r="G72" s="15"/>
      <c r="H72" s="16"/>
      <c r="I72" s="16"/>
      <c r="J72" s="16"/>
      <c r="K72" s="16"/>
      <c r="L72" s="16"/>
      <c r="M72" s="16"/>
      <c r="N72" s="16"/>
      <c r="O72" s="16"/>
      <c r="P72" s="16"/>
      <c r="Q72" s="16"/>
      <c r="R72" s="16"/>
      <c r="S72" s="16"/>
      <c r="T72" s="16"/>
      <c r="U72" s="16"/>
      <c r="V72" s="16"/>
      <c r="W72" s="15"/>
      <c r="X72" s="15"/>
      <c r="Y72" s="15"/>
      <c r="Z72" s="15"/>
    </row>
    <row r="73" customHeight="1" spans="1:26">
      <c r="A73" s="17"/>
      <c r="B73" s="15"/>
      <c r="C73" s="15"/>
      <c r="D73" s="15"/>
      <c r="E73" s="15"/>
      <c r="F73" s="15"/>
      <c r="G73" s="15"/>
      <c r="H73" s="16"/>
      <c r="I73" s="16"/>
      <c r="J73" s="16"/>
      <c r="K73" s="16"/>
      <c r="L73" s="16"/>
      <c r="M73" s="16"/>
      <c r="N73" s="16"/>
      <c r="O73" s="16"/>
      <c r="P73" s="16"/>
      <c r="Q73" s="16"/>
      <c r="R73" s="16"/>
      <c r="S73" s="16"/>
      <c r="T73" s="16"/>
      <c r="U73" s="16"/>
      <c r="V73" s="16"/>
      <c r="W73" s="15"/>
      <c r="X73" s="15"/>
      <c r="Y73" s="15"/>
      <c r="Z73" s="15"/>
    </row>
    <row r="74" customHeight="1" spans="1:26">
      <c r="A74" s="17"/>
      <c r="B74" s="15"/>
      <c r="C74" s="15"/>
      <c r="D74" s="15"/>
      <c r="E74" s="15"/>
      <c r="F74" s="15"/>
      <c r="G74" s="15"/>
      <c r="H74" s="16"/>
      <c r="I74" s="16"/>
      <c r="J74" s="16"/>
      <c r="K74" s="16"/>
      <c r="L74" s="16"/>
      <c r="M74" s="16"/>
      <c r="N74" s="16"/>
      <c r="O74" s="16"/>
      <c r="P74" s="16"/>
      <c r="Q74" s="16"/>
      <c r="R74" s="16"/>
      <c r="S74" s="16"/>
      <c r="T74" s="16"/>
      <c r="U74" s="16"/>
      <c r="V74" s="16"/>
      <c r="W74" s="15"/>
      <c r="X74" s="15"/>
      <c r="Y74" s="15"/>
      <c r="Z74" s="15"/>
    </row>
    <row r="75" customHeight="1" spans="1:26">
      <c r="A75" s="17"/>
      <c r="B75" s="15"/>
      <c r="C75" s="15"/>
      <c r="D75" s="15"/>
      <c r="E75" s="15"/>
      <c r="F75" s="15"/>
      <c r="G75" s="15"/>
      <c r="H75" s="16"/>
      <c r="I75" s="16"/>
      <c r="J75" s="16"/>
      <c r="K75" s="16"/>
      <c r="L75" s="16"/>
      <c r="M75" s="16"/>
      <c r="N75" s="16"/>
      <c r="O75" s="16"/>
      <c r="P75" s="16"/>
      <c r="Q75" s="16"/>
      <c r="R75" s="16"/>
      <c r="S75" s="16"/>
      <c r="T75" s="16"/>
      <c r="U75" s="16"/>
      <c r="V75" s="16"/>
      <c r="W75" s="15"/>
      <c r="X75" s="15"/>
      <c r="Y75" s="15"/>
      <c r="Z75" s="15"/>
    </row>
    <row r="76" customHeight="1" spans="1:26">
      <c r="A76" s="17"/>
      <c r="B76" s="15"/>
      <c r="C76" s="15"/>
      <c r="D76" s="15"/>
      <c r="E76" s="15"/>
      <c r="F76" s="15"/>
      <c r="G76" s="15"/>
      <c r="H76" s="16"/>
      <c r="I76" s="16"/>
      <c r="J76" s="16"/>
      <c r="K76" s="16"/>
      <c r="L76" s="16"/>
      <c r="M76" s="16"/>
      <c r="N76" s="16"/>
      <c r="O76" s="16"/>
      <c r="P76" s="16"/>
      <c r="Q76" s="16"/>
      <c r="R76" s="16"/>
      <c r="S76" s="16"/>
      <c r="T76" s="16"/>
      <c r="U76" s="16"/>
      <c r="V76" s="16"/>
      <c r="W76" s="15"/>
      <c r="X76" s="15"/>
      <c r="Y76" s="15"/>
      <c r="Z76" s="15"/>
    </row>
    <row r="77" customHeight="1" spans="1:26">
      <c r="A77" s="17"/>
      <c r="B77" s="15"/>
      <c r="C77" s="15"/>
      <c r="D77" s="15"/>
      <c r="E77" s="15"/>
      <c r="F77" s="15"/>
      <c r="G77" s="15"/>
      <c r="H77" s="16"/>
      <c r="I77" s="16"/>
      <c r="J77" s="16"/>
      <c r="K77" s="16"/>
      <c r="L77" s="16"/>
      <c r="M77" s="16"/>
      <c r="N77" s="16"/>
      <c r="O77" s="16"/>
      <c r="P77" s="16"/>
      <c r="Q77" s="16"/>
      <c r="R77" s="16"/>
      <c r="S77" s="16"/>
      <c r="T77" s="16"/>
      <c r="U77" s="16"/>
      <c r="V77" s="16"/>
      <c r="W77" s="15"/>
      <c r="X77" s="15"/>
      <c r="Y77" s="15"/>
      <c r="Z77" s="15"/>
    </row>
    <row r="78" customHeight="1" spans="1:26">
      <c r="A78" s="17"/>
      <c r="B78" s="15"/>
      <c r="C78" s="15"/>
      <c r="D78" s="15"/>
      <c r="E78" s="15"/>
      <c r="F78" s="15"/>
      <c r="G78" s="15"/>
      <c r="H78" s="16"/>
      <c r="I78" s="16"/>
      <c r="J78" s="16"/>
      <c r="K78" s="16"/>
      <c r="L78" s="16"/>
      <c r="M78" s="16"/>
      <c r="N78" s="16"/>
      <c r="O78" s="16"/>
      <c r="P78" s="16"/>
      <c r="Q78" s="16"/>
      <c r="R78" s="16"/>
      <c r="S78" s="16"/>
      <c r="T78" s="16"/>
      <c r="U78" s="16"/>
      <c r="V78" s="16"/>
      <c r="W78" s="15"/>
      <c r="X78" s="15"/>
      <c r="Y78" s="15"/>
      <c r="Z78" s="15"/>
    </row>
    <row r="79" customHeight="1" spans="1:26">
      <c r="A79" s="17"/>
      <c r="B79" s="15"/>
      <c r="C79" s="15"/>
      <c r="D79" s="15"/>
      <c r="E79" s="15"/>
      <c r="F79" s="15"/>
      <c r="G79" s="15"/>
      <c r="H79" s="16"/>
      <c r="I79" s="16"/>
      <c r="J79" s="16"/>
      <c r="K79" s="16"/>
      <c r="L79" s="16"/>
      <c r="M79" s="16"/>
      <c r="N79" s="16"/>
      <c r="O79" s="16"/>
      <c r="P79" s="16"/>
      <c r="Q79" s="16"/>
      <c r="R79" s="16"/>
      <c r="S79" s="16"/>
      <c r="T79" s="16"/>
      <c r="U79" s="16"/>
      <c r="V79" s="16"/>
      <c r="W79" s="15"/>
      <c r="X79" s="15"/>
      <c r="Y79" s="15"/>
      <c r="Z79" s="15"/>
    </row>
    <row r="80" customHeight="1" spans="1:26">
      <c r="A80" s="17"/>
      <c r="B80" s="15"/>
      <c r="C80" s="15"/>
      <c r="D80" s="15"/>
      <c r="E80" s="15"/>
      <c r="F80" s="15"/>
      <c r="G80" s="15"/>
      <c r="H80" s="16"/>
      <c r="I80" s="16"/>
      <c r="J80" s="16"/>
      <c r="K80" s="16"/>
      <c r="L80" s="16"/>
      <c r="M80" s="16"/>
      <c r="N80" s="16"/>
      <c r="O80" s="16"/>
      <c r="P80" s="16"/>
      <c r="Q80" s="16"/>
      <c r="R80" s="16"/>
      <c r="S80" s="16"/>
      <c r="T80" s="16"/>
      <c r="U80" s="16"/>
      <c r="V80" s="16"/>
      <c r="W80" s="15"/>
      <c r="X80" s="15"/>
      <c r="Y80" s="15"/>
      <c r="Z80" s="15"/>
    </row>
    <row r="81" customHeight="1" spans="1:26">
      <c r="A81" s="17"/>
      <c r="B81" s="15"/>
      <c r="C81" s="15"/>
      <c r="D81" s="15"/>
      <c r="E81" s="15"/>
      <c r="F81" s="15"/>
      <c r="G81" s="15"/>
      <c r="H81" s="16"/>
      <c r="I81" s="16"/>
      <c r="J81" s="16"/>
      <c r="K81" s="16"/>
      <c r="L81" s="16"/>
      <c r="M81" s="16"/>
      <c r="N81" s="16"/>
      <c r="O81" s="16"/>
      <c r="P81" s="16"/>
      <c r="Q81" s="16"/>
      <c r="R81" s="16"/>
      <c r="S81" s="16"/>
      <c r="T81" s="16"/>
      <c r="U81" s="16"/>
      <c r="V81" s="16"/>
      <c r="W81" s="15"/>
      <c r="X81" s="15"/>
      <c r="Y81" s="15"/>
      <c r="Z81" s="15"/>
    </row>
    <row r="82" customHeight="1" spans="1:26">
      <c r="A82" s="17"/>
      <c r="B82" s="15"/>
      <c r="C82" s="15"/>
      <c r="D82" s="15"/>
      <c r="E82" s="15"/>
      <c r="F82" s="15"/>
      <c r="G82" s="15"/>
      <c r="H82" s="16"/>
      <c r="I82" s="16"/>
      <c r="J82" s="16"/>
      <c r="K82" s="16"/>
      <c r="L82" s="16"/>
      <c r="M82" s="16"/>
      <c r="N82" s="16"/>
      <c r="O82" s="16"/>
      <c r="P82" s="16"/>
      <c r="Q82" s="16"/>
      <c r="R82" s="16"/>
      <c r="S82" s="16"/>
      <c r="T82" s="16"/>
      <c r="U82" s="16"/>
      <c r="V82" s="16"/>
      <c r="W82" s="15"/>
      <c r="X82" s="15"/>
      <c r="Y82" s="15"/>
      <c r="Z82" s="15"/>
    </row>
    <row r="83" customHeight="1" spans="1:26">
      <c r="A83" s="17"/>
      <c r="B83" s="15"/>
      <c r="C83" s="15"/>
      <c r="D83" s="15"/>
      <c r="E83" s="15"/>
      <c r="F83" s="15"/>
      <c r="G83" s="15"/>
      <c r="H83" s="16"/>
      <c r="I83" s="16"/>
      <c r="J83" s="16"/>
      <c r="K83" s="16"/>
      <c r="L83" s="16"/>
      <c r="M83" s="16"/>
      <c r="N83" s="16"/>
      <c r="O83" s="16"/>
      <c r="P83" s="16"/>
      <c r="Q83" s="16"/>
      <c r="R83" s="16"/>
      <c r="S83" s="16"/>
      <c r="T83" s="16"/>
      <c r="U83" s="16"/>
      <c r="V83" s="16"/>
      <c r="W83" s="15"/>
      <c r="X83" s="15"/>
      <c r="Y83" s="15"/>
      <c r="Z83" s="15"/>
    </row>
    <row r="84" customHeight="1" spans="1:26">
      <c r="A84" s="17"/>
      <c r="B84" s="15"/>
      <c r="C84" s="15"/>
      <c r="D84" s="15"/>
      <c r="E84" s="15"/>
      <c r="F84" s="15"/>
      <c r="G84" s="15"/>
      <c r="H84" s="16"/>
      <c r="I84" s="16"/>
      <c r="J84" s="16"/>
      <c r="K84" s="16"/>
      <c r="L84" s="16"/>
      <c r="M84" s="16"/>
      <c r="N84" s="16"/>
      <c r="O84" s="16"/>
      <c r="P84" s="16"/>
      <c r="Q84" s="16"/>
      <c r="R84" s="16"/>
      <c r="S84" s="16"/>
      <c r="T84" s="16"/>
      <c r="U84" s="16"/>
      <c r="V84" s="16"/>
      <c r="W84" s="15"/>
      <c r="X84" s="15"/>
      <c r="Y84" s="15"/>
      <c r="Z84" s="15"/>
    </row>
    <row r="85" customHeight="1" spans="1:26">
      <c r="A85" s="17"/>
      <c r="B85" s="15"/>
      <c r="C85" s="15"/>
      <c r="D85" s="15"/>
      <c r="E85" s="15"/>
      <c r="F85" s="15"/>
      <c r="G85" s="15"/>
      <c r="H85" s="16"/>
      <c r="I85" s="16"/>
      <c r="J85" s="16"/>
      <c r="K85" s="16"/>
      <c r="L85" s="16"/>
      <c r="M85" s="16"/>
      <c r="N85" s="16"/>
      <c r="O85" s="16"/>
      <c r="P85" s="16"/>
      <c r="Q85" s="16"/>
      <c r="R85" s="16"/>
      <c r="S85" s="16"/>
      <c r="T85" s="16"/>
      <c r="U85" s="16"/>
      <c r="V85" s="16"/>
      <c r="W85" s="15"/>
      <c r="X85" s="15"/>
      <c r="Y85" s="15"/>
      <c r="Z85" s="15"/>
    </row>
    <row r="86" customHeight="1" spans="1:26">
      <c r="A86" s="17"/>
      <c r="B86" s="15"/>
      <c r="C86" s="15"/>
      <c r="D86" s="15"/>
      <c r="E86" s="15"/>
      <c r="F86" s="15"/>
      <c r="G86" s="15"/>
      <c r="H86" s="16"/>
      <c r="I86" s="16"/>
      <c r="J86" s="16"/>
      <c r="K86" s="16"/>
      <c r="L86" s="16"/>
      <c r="M86" s="16"/>
      <c r="N86" s="16"/>
      <c r="O86" s="16"/>
      <c r="P86" s="16"/>
      <c r="Q86" s="16"/>
      <c r="R86" s="16"/>
      <c r="S86" s="16"/>
      <c r="T86" s="16"/>
      <c r="U86" s="16"/>
      <c r="V86" s="16"/>
      <c r="W86" s="15"/>
      <c r="X86" s="15"/>
      <c r="Y86" s="15"/>
      <c r="Z86" s="15"/>
    </row>
    <row r="87" customHeight="1" spans="1:26">
      <c r="A87" s="17"/>
      <c r="B87" s="15"/>
      <c r="C87" s="15"/>
      <c r="D87" s="15"/>
      <c r="E87" s="15"/>
      <c r="F87" s="15"/>
      <c r="G87" s="15"/>
      <c r="H87" s="16"/>
      <c r="I87" s="16"/>
      <c r="J87" s="16"/>
      <c r="K87" s="16"/>
      <c r="L87" s="16"/>
      <c r="M87" s="16"/>
      <c r="N87" s="16"/>
      <c r="O87" s="16"/>
      <c r="P87" s="16"/>
      <c r="Q87" s="16"/>
      <c r="R87" s="16"/>
      <c r="S87" s="16"/>
      <c r="T87" s="16"/>
      <c r="U87" s="16"/>
      <c r="V87" s="16"/>
      <c r="W87" s="15"/>
      <c r="X87" s="15"/>
      <c r="Y87" s="15"/>
      <c r="Z87" s="15"/>
    </row>
    <row r="88" customHeight="1" spans="1:26">
      <c r="A88" s="17"/>
      <c r="B88" s="15"/>
      <c r="C88" s="15"/>
      <c r="D88" s="15"/>
      <c r="E88" s="15"/>
      <c r="F88" s="15"/>
      <c r="G88" s="15"/>
      <c r="H88" s="16"/>
      <c r="I88" s="16"/>
      <c r="J88" s="16"/>
      <c r="K88" s="16"/>
      <c r="L88" s="16"/>
      <c r="M88" s="16"/>
      <c r="N88" s="16"/>
      <c r="O88" s="16"/>
      <c r="P88" s="16"/>
      <c r="Q88" s="16"/>
      <c r="R88" s="16"/>
      <c r="S88" s="16"/>
      <c r="T88" s="16"/>
      <c r="U88" s="16"/>
      <c r="V88" s="16"/>
      <c r="W88" s="15"/>
      <c r="X88" s="15"/>
      <c r="Y88" s="15"/>
      <c r="Z88" s="15"/>
    </row>
    <row r="89" customHeight="1" spans="1:26">
      <c r="A89" s="17"/>
      <c r="B89" s="15"/>
      <c r="C89" s="15"/>
      <c r="D89" s="15"/>
      <c r="E89" s="15"/>
      <c r="F89" s="15"/>
      <c r="G89" s="15"/>
      <c r="H89" s="16"/>
      <c r="I89" s="16"/>
      <c r="J89" s="16"/>
      <c r="K89" s="16"/>
      <c r="L89" s="16"/>
      <c r="M89" s="16"/>
      <c r="N89" s="16"/>
      <c r="O89" s="16"/>
      <c r="P89" s="16"/>
      <c r="Q89" s="16"/>
      <c r="R89" s="16"/>
      <c r="S89" s="16"/>
      <c r="T89" s="16"/>
      <c r="U89" s="16"/>
      <c r="V89" s="16"/>
      <c r="W89" s="15"/>
      <c r="X89" s="15"/>
      <c r="Y89" s="15"/>
      <c r="Z89" s="15"/>
    </row>
    <row r="90" customHeight="1" spans="1:26">
      <c r="A90" s="17"/>
      <c r="B90" s="15"/>
      <c r="C90" s="15"/>
      <c r="D90" s="15"/>
      <c r="E90" s="15"/>
      <c r="F90" s="15"/>
      <c r="G90" s="15"/>
      <c r="H90" s="16"/>
      <c r="I90" s="16"/>
      <c r="J90" s="16"/>
      <c r="K90" s="16"/>
      <c r="L90" s="16"/>
      <c r="M90" s="16"/>
      <c r="N90" s="16"/>
      <c r="O90" s="16"/>
      <c r="P90" s="16"/>
      <c r="Q90" s="16"/>
      <c r="R90" s="16"/>
      <c r="S90" s="16"/>
      <c r="T90" s="16"/>
      <c r="U90" s="16"/>
      <c r="V90" s="16"/>
      <c r="W90" s="15"/>
      <c r="X90" s="15"/>
      <c r="Y90" s="15"/>
      <c r="Z90" s="15"/>
    </row>
    <row r="91" customHeight="1" spans="1:26">
      <c r="A91" s="17"/>
      <c r="B91" s="15"/>
      <c r="C91" s="15"/>
      <c r="D91" s="15"/>
      <c r="E91" s="15"/>
      <c r="F91" s="15"/>
      <c r="G91" s="15"/>
      <c r="H91" s="16"/>
      <c r="I91" s="16"/>
      <c r="J91" s="16"/>
      <c r="K91" s="16"/>
      <c r="L91" s="16"/>
      <c r="M91" s="16"/>
      <c r="N91" s="16"/>
      <c r="O91" s="16"/>
      <c r="P91" s="16"/>
      <c r="Q91" s="16"/>
      <c r="R91" s="16"/>
      <c r="S91" s="16"/>
      <c r="T91" s="16"/>
      <c r="U91" s="16"/>
      <c r="V91" s="16"/>
      <c r="W91" s="15"/>
      <c r="X91" s="15"/>
      <c r="Y91" s="15"/>
      <c r="Z91" s="15"/>
    </row>
    <row r="92" customHeight="1" spans="1:26">
      <c r="A92" s="17"/>
      <c r="B92" s="15"/>
      <c r="C92" s="15"/>
      <c r="D92" s="15"/>
      <c r="E92" s="15"/>
      <c r="F92" s="15"/>
      <c r="G92" s="15"/>
      <c r="H92" s="16"/>
      <c r="I92" s="16"/>
      <c r="J92" s="16"/>
      <c r="K92" s="16"/>
      <c r="L92" s="16"/>
      <c r="M92" s="16"/>
      <c r="N92" s="16"/>
      <c r="O92" s="16"/>
      <c r="P92" s="16"/>
      <c r="Q92" s="16"/>
      <c r="R92" s="16"/>
      <c r="S92" s="16"/>
      <c r="T92" s="16"/>
      <c r="U92" s="16"/>
      <c r="V92" s="16"/>
      <c r="W92" s="15"/>
      <c r="X92" s="15"/>
      <c r="Y92" s="15"/>
      <c r="Z92" s="15"/>
    </row>
    <row r="93" customHeight="1" spans="1:26">
      <c r="A93" s="17"/>
      <c r="B93" s="15"/>
      <c r="C93" s="15"/>
      <c r="D93" s="15"/>
      <c r="E93" s="15"/>
      <c r="F93" s="15"/>
      <c r="G93" s="15"/>
      <c r="H93" s="16"/>
      <c r="I93" s="16"/>
      <c r="J93" s="16"/>
      <c r="K93" s="16"/>
      <c r="L93" s="16"/>
      <c r="M93" s="16"/>
      <c r="N93" s="16"/>
      <c r="O93" s="16"/>
      <c r="P93" s="16"/>
      <c r="Q93" s="16"/>
      <c r="R93" s="16"/>
      <c r="S93" s="16"/>
      <c r="T93" s="16"/>
      <c r="U93" s="16"/>
      <c r="V93" s="16"/>
      <c r="W93" s="15"/>
      <c r="X93" s="15"/>
      <c r="Y93" s="15"/>
      <c r="Z93" s="15"/>
    </row>
    <row r="94" customHeight="1" spans="1:26">
      <c r="A94" s="17"/>
      <c r="B94" s="15"/>
      <c r="C94" s="15"/>
      <c r="D94" s="15"/>
      <c r="E94" s="15"/>
      <c r="F94" s="15"/>
      <c r="G94" s="15"/>
      <c r="H94" s="16"/>
      <c r="I94" s="16"/>
      <c r="J94" s="16"/>
      <c r="K94" s="16"/>
      <c r="L94" s="16"/>
      <c r="M94" s="16"/>
      <c r="N94" s="16"/>
      <c r="O94" s="16"/>
      <c r="P94" s="16"/>
      <c r="Q94" s="16"/>
      <c r="R94" s="16"/>
      <c r="S94" s="16"/>
      <c r="T94" s="16"/>
      <c r="U94" s="16"/>
      <c r="V94" s="16"/>
      <c r="W94" s="15"/>
      <c r="X94" s="15"/>
      <c r="Y94" s="15"/>
      <c r="Z94" s="15"/>
    </row>
    <row r="95" customHeight="1" spans="1:26">
      <c r="A95" s="17"/>
      <c r="B95" s="15"/>
      <c r="C95" s="15"/>
      <c r="D95" s="15"/>
      <c r="E95" s="15"/>
      <c r="F95" s="15"/>
      <c r="G95" s="15"/>
      <c r="H95" s="16"/>
      <c r="I95" s="16"/>
      <c r="J95" s="16"/>
      <c r="K95" s="16"/>
      <c r="L95" s="16"/>
      <c r="M95" s="16"/>
      <c r="N95" s="16"/>
      <c r="O95" s="16"/>
      <c r="P95" s="16"/>
      <c r="Q95" s="16"/>
      <c r="R95" s="16"/>
      <c r="S95" s="16"/>
      <c r="T95" s="16"/>
      <c r="U95" s="16"/>
      <c r="V95" s="16"/>
      <c r="W95" s="15"/>
      <c r="X95" s="15"/>
      <c r="Y95" s="15"/>
      <c r="Z95" s="15"/>
    </row>
    <row r="96" customHeight="1" spans="1:26">
      <c r="A96" s="17"/>
      <c r="B96" s="15"/>
      <c r="C96" s="15"/>
      <c r="D96" s="15"/>
      <c r="E96" s="15"/>
      <c r="F96" s="15"/>
      <c r="G96" s="15"/>
      <c r="H96" s="16"/>
      <c r="I96" s="16"/>
      <c r="J96" s="16"/>
      <c r="K96" s="16"/>
      <c r="L96" s="16"/>
      <c r="M96" s="16"/>
      <c r="N96" s="16"/>
      <c r="O96" s="16"/>
      <c r="P96" s="16"/>
      <c r="Q96" s="16"/>
      <c r="R96" s="16"/>
      <c r="S96" s="16"/>
      <c r="T96" s="16"/>
      <c r="U96" s="16"/>
      <c r="V96" s="16"/>
      <c r="W96" s="15"/>
      <c r="X96" s="15"/>
      <c r="Y96" s="15"/>
      <c r="Z96" s="15"/>
    </row>
    <row r="97" customHeight="1" spans="1:26">
      <c r="A97" s="17"/>
      <c r="B97" s="15"/>
      <c r="C97" s="15"/>
      <c r="D97" s="15"/>
      <c r="E97" s="15"/>
      <c r="F97" s="15"/>
      <c r="G97" s="15"/>
      <c r="H97" s="16"/>
      <c r="I97" s="16"/>
      <c r="J97" s="16"/>
      <c r="K97" s="16"/>
      <c r="L97" s="16"/>
      <c r="M97" s="16"/>
      <c r="N97" s="16"/>
      <c r="O97" s="16"/>
      <c r="P97" s="16"/>
      <c r="Q97" s="16"/>
      <c r="R97" s="16"/>
      <c r="S97" s="16"/>
      <c r="T97" s="16"/>
      <c r="U97" s="16"/>
      <c r="V97" s="16"/>
      <c r="W97" s="15"/>
      <c r="X97" s="15"/>
      <c r="Y97" s="15"/>
      <c r="Z97" s="15"/>
    </row>
    <row r="98" customHeight="1" spans="1:26">
      <c r="A98" s="17"/>
      <c r="B98" s="15"/>
      <c r="C98" s="15"/>
      <c r="D98" s="15"/>
      <c r="E98" s="15"/>
      <c r="F98" s="15"/>
      <c r="G98" s="15"/>
      <c r="H98" s="16"/>
      <c r="I98" s="16"/>
      <c r="J98" s="16"/>
      <c r="K98" s="16"/>
      <c r="L98" s="16"/>
      <c r="M98" s="16"/>
      <c r="N98" s="16"/>
      <c r="O98" s="16"/>
      <c r="P98" s="16"/>
      <c r="Q98" s="16"/>
      <c r="R98" s="16"/>
      <c r="S98" s="16"/>
      <c r="T98" s="16"/>
      <c r="U98" s="16"/>
      <c r="V98" s="16"/>
      <c r="W98" s="15"/>
      <c r="X98" s="15"/>
      <c r="Y98" s="15"/>
      <c r="Z98" s="15"/>
    </row>
    <row r="99" customHeight="1" spans="1:26">
      <c r="A99" s="17"/>
      <c r="B99" s="15"/>
      <c r="C99" s="15"/>
      <c r="D99" s="15"/>
      <c r="E99" s="15"/>
      <c r="F99" s="15"/>
      <c r="G99" s="15"/>
      <c r="H99" s="16"/>
      <c r="I99" s="16"/>
      <c r="J99" s="16"/>
      <c r="K99" s="16"/>
      <c r="L99" s="16"/>
      <c r="M99" s="16"/>
      <c r="N99" s="16"/>
      <c r="O99" s="16"/>
      <c r="P99" s="16"/>
      <c r="Q99" s="16"/>
      <c r="R99" s="16"/>
      <c r="S99" s="16"/>
      <c r="T99" s="16"/>
      <c r="U99" s="16"/>
      <c r="V99" s="16"/>
      <c r="W99" s="15"/>
      <c r="X99" s="15"/>
      <c r="Y99" s="15"/>
      <c r="Z99" s="15"/>
    </row>
    <row r="100" customHeight="1" spans="1:26">
      <c r="A100" s="17"/>
      <c r="B100" s="15"/>
      <c r="C100" s="15"/>
      <c r="D100" s="15"/>
      <c r="E100" s="15"/>
      <c r="F100" s="15"/>
      <c r="G100" s="15"/>
      <c r="H100" s="16"/>
      <c r="I100" s="16"/>
      <c r="J100" s="16"/>
      <c r="K100" s="16"/>
      <c r="L100" s="16"/>
      <c r="M100" s="16"/>
      <c r="N100" s="16"/>
      <c r="O100" s="16"/>
      <c r="P100" s="16"/>
      <c r="Q100" s="16"/>
      <c r="R100" s="16"/>
      <c r="S100" s="16"/>
      <c r="T100" s="16"/>
      <c r="U100" s="16"/>
      <c r="V100" s="16"/>
      <c r="W100" s="15"/>
      <c r="X100" s="15"/>
      <c r="Y100" s="15"/>
      <c r="Z100" s="15"/>
    </row>
    <row r="101" customHeight="1" spans="1:26">
      <c r="A101" s="17"/>
      <c r="B101" s="15"/>
      <c r="C101" s="15"/>
      <c r="D101" s="15"/>
      <c r="E101" s="15"/>
      <c r="F101" s="15"/>
      <c r="G101" s="15"/>
      <c r="H101" s="16"/>
      <c r="I101" s="16"/>
      <c r="J101" s="16"/>
      <c r="K101" s="16"/>
      <c r="L101" s="16"/>
      <c r="M101" s="16"/>
      <c r="N101" s="16"/>
      <c r="O101" s="16"/>
      <c r="P101" s="16"/>
      <c r="Q101" s="16"/>
      <c r="R101" s="16"/>
      <c r="S101" s="16"/>
      <c r="T101" s="16"/>
      <c r="U101" s="16"/>
      <c r="V101" s="16"/>
      <c r="W101" s="15"/>
      <c r="X101" s="15"/>
      <c r="Y101" s="15"/>
      <c r="Z101" s="15"/>
    </row>
    <row r="102" customHeight="1" spans="1:26">
      <c r="A102" s="17"/>
      <c r="B102" s="15"/>
      <c r="C102" s="15"/>
      <c r="D102" s="15"/>
      <c r="E102" s="15"/>
      <c r="F102" s="15"/>
      <c r="G102" s="15"/>
      <c r="H102" s="16"/>
      <c r="I102" s="16"/>
      <c r="J102" s="16"/>
      <c r="K102" s="16"/>
      <c r="L102" s="16"/>
      <c r="M102" s="16"/>
      <c r="N102" s="16"/>
      <c r="O102" s="16"/>
      <c r="P102" s="16"/>
      <c r="Q102" s="16"/>
      <c r="R102" s="16"/>
      <c r="S102" s="16"/>
      <c r="T102" s="16"/>
      <c r="U102" s="16"/>
      <c r="V102" s="16"/>
      <c r="W102" s="15"/>
      <c r="X102" s="15"/>
      <c r="Y102" s="15"/>
      <c r="Z102" s="15"/>
    </row>
    <row r="103" customHeight="1" spans="1:26">
      <c r="A103" s="17"/>
      <c r="B103" s="15"/>
      <c r="C103" s="15"/>
      <c r="D103" s="15"/>
      <c r="E103" s="15"/>
      <c r="F103" s="15"/>
      <c r="G103" s="15"/>
      <c r="H103" s="16"/>
      <c r="I103" s="16"/>
      <c r="J103" s="16"/>
      <c r="K103" s="16"/>
      <c r="L103" s="16"/>
      <c r="M103" s="16"/>
      <c r="N103" s="16"/>
      <c r="O103" s="16"/>
      <c r="P103" s="16"/>
      <c r="Q103" s="16"/>
      <c r="R103" s="16"/>
      <c r="S103" s="16"/>
      <c r="T103" s="16"/>
      <c r="U103" s="16"/>
      <c r="V103" s="16"/>
      <c r="W103" s="15"/>
      <c r="X103" s="15"/>
      <c r="Y103" s="15"/>
      <c r="Z103" s="15"/>
    </row>
    <row r="104" customHeight="1" spans="1:26">
      <c r="A104" s="17"/>
      <c r="B104" s="15"/>
      <c r="C104" s="15"/>
      <c r="D104" s="15"/>
      <c r="E104" s="15"/>
      <c r="F104" s="15"/>
      <c r="G104" s="15"/>
      <c r="H104" s="16"/>
      <c r="I104" s="16"/>
      <c r="J104" s="16"/>
      <c r="K104" s="16"/>
      <c r="L104" s="16"/>
      <c r="M104" s="16"/>
      <c r="N104" s="16"/>
      <c r="O104" s="16"/>
      <c r="P104" s="16"/>
      <c r="Q104" s="16"/>
      <c r="R104" s="16"/>
      <c r="S104" s="16"/>
      <c r="T104" s="16"/>
      <c r="U104" s="16"/>
      <c r="V104" s="16"/>
      <c r="W104" s="15"/>
      <c r="X104" s="15"/>
      <c r="Y104" s="15"/>
      <c r="Z104" s="15"/>
    </row>
    <row r="105" customHeight="1" spans="1:26">
      <c r="A105" s="17"/>
      <c r="B105" s="15"/>
      <c r="C105" s="15"/>
      <c r="D105" s="15"/>
      <c r="E105" s="15"/>
      <c r="F105" s="15"/>
      <c r="G105" s="15"/>
      <c r="H105" s="16"/>
      <c r="I105" s="16"/>
      <c r="J105" s="16"/>
      <c r="K105" s="16"/>
      <c r="L105" s="16"/>
      <c r="M105" s="16"/>
      <c r="N105" s="16"/>
      <c r="O105" s="16"/>
      <c r="P105" s="16"/>
      <c r="Q105" s="16"/>
      <c r="R105" s="16"/>
      <c r="S105" s="16"/>
      <c r="T105" s="16"/>
      <c r="U105" s="16"/>
      <c r="V105" s="16"/>
      <c r="W105" s="15"/>
      <c r="X105" s="15"/>
      <c r="Y105" s="15"/>
      <c r="Z105" s="15"/>
    </row>
    <row r="106" customHeight="1" spans="1:26">
      <c r="A106" s="17"/>
      <c r="B106" s="15"/>
      <c r="C106" s="15"/>
      <c r="D106" s="15"/>
      <c r="E106" s="15"/>
      <c r="F106" s="15"/>
      <c r="G106" s="15"/>
      <c r="H106" s="16"/>
      <c r="I106" s="16"/>
      <c r="J106" s="16"/>
      <c r="K106" s="16"/>
      <c r="L106" s="16"/>
      <c r="M106" s="16"/>
      <c r="N106" s="16"/>
      <c r="O106" s="16"/>
      <c r="P106" s="16"/>
      <c r="Q106" s="16"/>
      <c r="R106" s="16"/>
      <c r="S106" s="16"/>
      <c r="T106" s="16"/>
      <c r="U106" s="16"/>
      <c r="V106" s="16"/>
      <c r="W106" s="15"/>
      <c r="X106" s="15"/>
      <c r="Y106" s="15"/>
      <c r="Z106" s="15"/>
    </row>
    <row r="107" customHeight="1" spans="1:26">
      <c r="A107" s="17"/>
      <c r="B107" s="15"/>
      <c r="C107" s="15"/>
      <c r="D107" s="15"/>
      <c r="E107" s="15"/>
      <c r="F107" s="15"/>
      <c r="G107" s="15"/>
      <c r="H107" s="16"/>
      <c r="I107" s="16"/>
      <c r="J107" s="16"/>
      <c r="K107" s="16"/>
      <c r="L107" s="16"/>
      <c r="M107" s="16"/>
      <c r="N107" s="16"/>
      <c r="O107" s="16"/>
      <c r="P107" s="16"/>
      <c r="Q107" s="16"/>
      <c r="R107" s="16"/>
      <c r="S107" s="16"/>
      <c r="T107" s="16"/>
      <c r="U107" s="16"/>
      <c r="V107" s="16"/>
      <c r="W107" s="15"/>
      <c r="X107" s="15"/>
      <c r="Y107" s="15"/>
      <c r="Z107" s="15"/>
    </row>
    <row r="108" customHeight="1" spans="1:26">
      <c r="A108" s="17"/>
      <c r="B108" s="15"/>
      <c r="C108" s="15"/>
      <c r="D108" s="15"/>
      <c r="E108" s="15"/>
      <c r="F108" s="15"/>
      <c r="G108" s="15"/>
      <c r="H108" s="16"/>
      <c r="I108" s="16"/>
      <c r="J108" s="16"/>
      <c r="K108" s="16"/>
      <c r="L108" s="16"/>
      <c r="M108" s="16"/>
      <c r="N108" s="16"/>
      <c r="O108" s="16"/>
      <c r="P108" s="16"/>
      <c r="Q108" s="16"/>
      <c r="R108" s="16"/>
      <c r="S108" s="16"/>
      <c r="T108" s="16"/>
      <c r="U108" s="16"/>
      <c r="V108" s="16"/>
      <c r="W108" s="15"/>
      <c r="X108" s="15"/>
      <c r="Y108" s="15"/>
      <c r="Z108" s="15"/>
    </row>
    <row r="109" customHeight="1" spans="1:26">
      <c r="A109" s="17"/>
      <c r="B109" s="15"/>
      <c r="C109" s="15"/>
      <c r="D109" s="15"/>
      <c r="E109" s="15"/>
      <c r="F109" s="15"/>
      <c r="G109" s="15"/>
      <c r="H109" s="16"/>
      <c r="I109" s="16"/>
      <c r="J109" s="16"/>
      <c r="K109" s="16"/>
      <c r="L109" s="16"/>
      <c r="M109" s="16"/>
      <c r="N109" s="16"/>
      <c r="O109" s="16"/>
      <c r="P109" s="16"/>
      <c r="Q109" s="16"/>
      <c r="R109" s="16"/>
      <c r="S109" s="16"/>
      <c r="T109" s="16"/>
      <c r="U109" s="16"/>
      <c r="V109" s="16"/>
      <c r="W109" s="15"/>
      <c r="X109" s="15"/>
      <c r="Y109" s="15"/>
      <c r="Z109" s="15"/>
    </row>
    <row r="110" customHeight="1" spans="1:26">
      <c r="A110" s="17"/>
      <c r="B110" s="15"/>
      <c r="C110" s="15"/>
      <c r="D110" s="15"/>
      <c r="E110" s="15"/>
      <c r="F110" s="15"/>
      <c r="G110" s="15"/>
      <c r="H110" s="16"/>
      <c r="I110" s="16"/>
      <c r="J110" s="16"/>
      <c r="K110" s="16"/>
      <c r="L110" s="16"/>
      <c r="M110" s="16"/>
      <c r="N110" s="16"/>
      <c r="O110" s="16"/>
      <c r="P110" s="16"/>
      <c r="Q110" s="16"/>
      <c r="R110" s="16"/>
      <c r="S110" s="16"/>
      <c r="T110" s="16"/>
      <c r="U110" s="16"/>
      <c r="V110" s="16"/>
      <c r="W110" s="15"/>
      <c r="X110" s="15"/>
      <c r="Y110" s="15"/>
      <c r="Z110" s="15"/>
    </row>
    <row r="111" customHeight="1" spans="1:26">
      <c r="A111" s="17"/>
      <c r="B111" s="15"/>
      <c r="C111" s="15"/>
      <c r="D111" s="15"/>
      <c r="E111" s="15"/>
      <c r="F111" s="15"/>
      <c r="G111" s="15"/>
      <c r="H111" s="16"/>
      <c r="I111" s="16"/>
      <c r="J111" s="16"/>
      <c r="K111" s="16"/>
      <c r="L111" s="16"/>
      <c r="M111" s="16"/>
      <c r="N111" s="16"/>
      <c r="O111" s="16"/>
      <c r="P111" s="16"/>
      <c r="Q111" s="16"/>
      <c r="R111" s="16"/>
      <c r="S111" s="16"/>
      <c r="T111" s="16"/>
      <c r="U111" s="16"/>
      <c r="V111" s="16"/>
      <c r="W111" s="15"/>
      <c r="X111" s="15"/>
      <c r="Y111" s="15"/>
      <c r="Z111" s="15"/>
    </row>
    <row r="112" customHeight="1" spans="1:26">
      <c r="A112" s="17"/>
      <c r="B112" s="15"/>
      <c r="C112" s="15"/>
      <c r="D112" s="15"/>
      <c r="E112" s="15"/>
      <c r="F112" s="15"/>
      <c r="G112" s="15"/>
      <c r="H112" s="16"/>
      <c r="I112" s="16"/>
      <c r="J112" s="16"/>
      <c r="K112" s="16"/>
      <c r="L112" s="16"/>
      <c r="M112" s="16"/>
      <c r="N112" s="16"/>
      <c r="O112" s="16"/>
      <c r="P112" s="16"/>
      <c r="Q112" s="16"/>
      <c r="R112" s="16"/>
      <c r="S112" s="16"/>
      <c r="T112" s="16"/>
      <c r="U112" s="16"/>
      <c r="V112" s="16"/>
      <c r="W112" s="15"/>
      <c r="X112" s="15"/>
      <c r="Y112" s="15"/>
      <c r="Z112" s="15"/>
    </row>
    <row r="113" customHeight="1" spans="1:26">
      <c r="A113" s="17"/>
      <c r="B113" s="15"/>
      <c r="C113" s="15"/>
      <c r="D113" s="15"/>
      <c r="E113" s="15"/>
      <c r="F113" s="15"/>
      <c r="G113" s="15"/>
      <c r="H113" s="16"/>
      <c r="I113" s="16"/>
      <c r="J113" s="16"/>
      <c r="K113" s="16"/>
      <c r="L113" s="16"/>
      <c r="M113" s="16"/>
      <c r="N113" s="16"/>
      <c r="O113" s="16"/>
      <c r="P113" s="16"/>
      <c r="Q113" s="16"/>
      <c r="R113" s="16"/>
      <c r="S113" s="16"/>
      <c r="T113" s="16"/>
      <c r="U113" s="16"/>
      <c r="V113" s="16"/>
      <c r="W113" s="15"/>
      <c r="X113" s="15"/>
      <c r="Y113" s="15"/>
      <c r="Z113" s="15"/>
    </row>
    <row r="114" customHeight="1" spans="1:26">
      <c r="A114" s="17"/>
      <c r="B114" s="15"/>
      <c r="C114" s="15"/>
      <c r="D114" s="15"/>
      <c r="E114" s="15"/>
      <c r="F114" s="15"/>
      <c r="G114" s="15"/>
      <c r="H114" s="16"/>
      <c r="I114" s="16"/>
      <c r="J114" s="16"/>
      <c r="K114" s="16"/>
      <c r="L114" s="16"/>
      <c r="M114" s="16"/>
      <c r="N114" s="16"/>
      <c r="O114" s="16"/>
      <c r="P114" s="16"/>
      <c r="Q114" s="16"/>
      <c r="R114" s="16"/>
      <c r="S114" s="16"/>
      <c r="T114" s="16"/>
      <c r="U114" s="16"/>
      <c r="V114" s="16"/>
      <c r="W114" s="15"/>
      <c r="X114" s="15"/>
      <c r="Y114" s="15"/>
      <c r="Z114" s="15"/>
    </row>
    <row r="115" customHeight="1" spans="1:26">
      <c r="A115" s="17"/>
      <c r="B115" s="15"/>
      <c r="C115" s="15"/>
      <c r="D115" s="15"/>
      <c r="E115" s="15"/>
      <c r="F115" s="15"/>
      <c r="G115" s="15"/>
      <c r="H115" s="16"/>
      <c r="I115" s="16"/>
      <c r="J115" s="16"/>
      <c r="K115" s="16"/>
      <c r="L115" s="16"/>
      <c r="M115" s="16"/>
      <c r="N115" s="16"/>
      <c r="O115" s="16"/>
      <c r="P115" s="16"/>
      <c r="Q115" s="16"/>
      <c r="R115" s="16"/>
      <c r="S115" s="16"/>
      <c r="T115" s="16"/>
      <c r="U115" s="16"/>
      <c r="V115" s="16"/>
      <c r="W115" s="15"/>
      <c r="X115" s="15"/>
      <c r="Y115" s="15"/>
      <c r="Z115" s="15"/>
    </row>
    <row r="116" customHeight="1" spans="1:26">
      <c r="A116" s="17"/>
      <c r="B116" s="15"/>
      <c r="C116" s="15"/>
      <c r="D116" s="15"/>
      <c r="E116" s="15"/>
      <c r="F116" s="15"/>
      <c r="G116" s="15"/>
      <c r="H116" s="16"/>
      <c r="I116" s="16"/>
      <c r="J116" s="16"/>
      <c r="K116" s="16"/>
      <c r="L116" s="16"/>
      <c r="M116" s="16"/>
      <c r="N116" s="16"/>
      <c r="O116" s="16"/>
      <c r="P116" s="16"/>
      <c r="Q116" s="16"/>
      <c r="R116" s="16"/>
      <c r="S116" s="16"/>
      <c r="T116" s="16"/>
      <c r="U116" s="16"/>
      <c r="V116" s="16"/>
      <c r="W116" s="15"/>
      <c r="X116" s="15"/>
      <c r="Y116" s="15"/>
      <c r="Z116" s="15"/>
    </row>
    <row r="117" customHeight="1" spans="1:26">
      <c r="A117" s="17"/>
      <c r="B117" s="15"/>
      <c r="C117" s="15"/>
      <c r="D117" s="15"/>
      <c r="E117" s="15"/>
      <c r="F117" s="15"/>
      <c r="G117" s="15"/>
      <c r="H117" s="16"/>
      <c r="I117" s="16"/>
      <c r="J117" s="16"/>
      <c r="K117" s="16"/>
      <c r="L117" s="16"/>
      <c r="M117" s="16"/>
      <c r="N117" s="16"/>
      <c r="O117" s="16"/>
      <c r="P117" s="16"/>
      <c r="Q117" s="16"/>
      <c r="R117" s="16"/>
      <c r="S117" s="16"/>
      <c r="T117" s="16"/>
      <c r="U117" s="16"/>
      <c r="V117" s="16"/>
      <c r="W117" s="15"/>
      <c r="X117" s="15"/>
      <c r="Y117" s="15"/>
      <c r="Z117" s="15"/>
    </row>
    <row r="118" customHeight="1" spans="1:26">
      <c r="A118" s="17"/>
      <c r="B118" s="15"/>
      <c r="C118" s="15"/>
      <c r="D118" s="15"/>
      <c r="E118" s="15"/>
      <c r="F118" s="15"/>
      <c r="G118" s="15"/>
      <c r="H118" s="16"/>
      <c r="I118" s="16"/>
      <c r="J118" s="16"/>
      <c r="K118" s="16"/>
      <c r="L118" s="16"/>
      <c r="M118" s="16"/>
      <c r="N118" s="16"/>
      <c r="O118" s="16"/>
      <c r="P118" s="16"/>
      <c r="Q118" s="16"/>
      <c r="R118" s="16"/>
      <c r="S118" s="16"/>
      <c r="T118" s="16"/>
      <c r="U118" s="16"/>
      <c r="V118" s="16"/>
      <c r="W118" s="15"/>
      <c r="X118" s="15"/>
      <c r="Y118" s="15"/>
      <c r="Z118" s="15"/>
    </row>
    <row r="119" customHeight="1" spans="1:26">
      <c r="A119" s="17"/>
      <c r="B119" s="15"/>
      <c r="C119" s="15"/>
      <c r="D119" s="15"/>
      <c r="E119" s="15"/>
      <c r="F119" s="15"/>
      <c r="G119" s="15"/>
      <c r="H119" s="16"/>
      <c r="I119" s="16"/>
      <c r="J119" s="16"/>
      <c r="K119" s="16"/>
      <c r="L119" s="16"/>
      <c r="M119" s="16"/>
      <c r="N119" s="16"/>
      <c r="O119" s="16"/>
      <c r="P119" s="16"/>
      <c r="Q119" s="16"/>
      <c r="R119" s="16"/>
      <c r="S119" s="16"/>
      <c r="T119" s="16"/>
      <c r="U119" s="16"/>
      <c r="V119" s="16"/>
      <c r="W119" s="15"/>
      <c r="X119" s="15"/>
      <c r="Y119" s="15"/>
      <c r="Z119" s="15"/>
    </row>
    <row r="120" customHeight="1" spans="1:26">
      <c r="A120" s="17"/>
      <c r="B120" s="15"/>
      <c r="C120" s="15"/>
      <c r="D120" s="15"/>
      <c r="E120" s="15"/>
      <c r="F120" s="15"/>
      <c r="G120" s="15"/>
      <c r="H120" s="16"/>
      <c r="I120" s="16"/>
      <c r="J120" s="16"/>
      <c r="K120" s="16"/>
      <c r="L120" s="16"/>
      <c r="M120" s="16"/>
      <c r="N120" s="16"/>
      <c r="O120" s="16"/>
      <c r="P120" s="16"/>
      <c r="Q120" s="16"/>
      <c r="R120" s="16"/>
      <c r="S120" s="16"/>
      <c r="T120" s="16"/>
      <c r="U120" s="16"/>
      <c r="V120" s="16"/>
      <c r="W120" s="15"/>
      <c r="X120" s="15"/>
      <c r="Y120" s="15"/>
      <c r="Z120" s="15"/>
    </row>
    <row r="121" customHeight="1" spans="1:26">
      <c r="A121" s="17"/>
      <c r="B121" s="15"/>
      <c r="C121" s="15"/>
      <c r="D121" s="15"/>
      <c r="E121" s="15"/>
      <c r="F121" s="15"/>
      <c r="G121" s="15"/>
      <c r="H121" s="16"/>
      <c r="I121" s="16"/>
      <c r="J121" s="16"/>
      <c r="K121" s="16"/>
      <c r="L121" s="16"/>
      <c r="M121" s="16"/>
      <c r="N121" s="16"/>
      <c r="O121" s="16"/>
      <c r="P121" s="16"/>
      <c r="Q121" s="16"/>
      <c r="R121" s="16"/>
      <c r="S121" s="16"/>
      <c r="T121" s="16"/>
      <c r="U121" s="16"/>
      <c r="V121" s="16"/>
      <c r="W121" s="15"/>
      <c r="X121" s="15"/>
      <c r="Y121" s="15"/>
      <c r="Z121" s="15"/>
    </row>
    <row r="122" customHeight="1" spans="1:26">
      <c r="A122" s="17"/>
      <c r="B122" s="15"/>
      <c r="C122" s="15"/>
      <c r="D122" s="15"/>
      <c r="E122" s="15"/>
      <c r="F122" s="15"/>
      <c r="G122" s="15"/>
      <c r="H122" s="16"/>
      <c r="I122" s="16"/>
      <c r="J122" s="16"/>
      <c r="K122" s="16"/>
      <c r="L122" s="16"/>
      <c r="M122" s="16"/>
      <c r="N122" s="16"/>
      <c r="O122" s="16"/>
      <c r="P122" s="16"/>
      <c r="Q122" s="16"/>
      <c r="R122" s="16"/>
      <c r="S122" s="16"/>
      <c r="T122" s="16"/>
      <c r="U122" s="16"/>
      <c r="V122" s="16"/>
      <c r="W122" s="15"/>
      <c r="X122" s="15"/>
      <c r="Y122" s="15"/>
      <c r="Z122" s="15"/>
    </row>
    <row r="123" customHeight="1" spans="1:26">
      <c r="A123" s="17"/>
      <c r="B123" s="15"/>
      <c r="C123" s="15"/>
      <c r="D123" s="15"/>
      <c r="E123" s="15"/>
      <c r="F123" s="15"/>
      <c r="G123" s="15"/>
      <c r="H123" s="16"/>
      <c r="I123" s="16"/>
      <c r="J123" s="16"/>
      <c r="K123" s="16"/>
      <c r="L123" s="16"/>
      <c r="M123" s="16"/>
      <c r="N123" s="16"/>
      <c r="O123" s="16"/>
      <c r="P123" s="16"/>
      <c r="Q123" s="16"/>
      <c r="R123" s="16"/>
      <c r="S123" s="16"/>
      <c r="T123" s="16"/>
      <c r="U123" s="16"/>
      <c r="V123" s="16"/>
      <c r="W123" s="15"/>
      <c r="X123" s="15"/>
      <c r="Y123" s="15"/>
      <c r="Z123" s="15"/>
    </row>
    <row r="124" customHeight="1" spans="1:26">
      <c r="A124" s="17"/>
      <c r="B124" s="15"/>
      <c r="C124" s="15"/>
      <c r="D124" s="15"/>
      <c r="E124" s="15"/>
      <c r="F124" s="15"/>
      <c r="G124" s="15"/>
      <c r="H124" s="16"/>
      <c r="I124" s="16"/>
      <c r="J124" s="16"/>
      <c r="K124" s="16"/>
      <c r="L124" s="16"/>
      <c r="M124" s="16"/>
      <c r="N124" s="16"/>
      <c r="O124" s="16"/>
      <c r="P124" s="16"/>
      <c r="Q124" s="16"/>
      <c r="R124" s="16"/>
      <c r="S124" s="16"/>
      <c r="T124" s="16"/>
      <c r="U124" s="16"/>
      <c r="V124" s="16"/>
      <c r="W124" s="15"/>
      <c r="X124" s="15"/>
      <c r="Y124" s="15"/>
      <c r="Z124" s="15"/>
    </row>
    <row r="125" customHeight="1" spans="1:26">
      <c r="A125" s="17"/>
      <c r="B125" s="15"/>
      <c r="C125" s="15"/>
      <c r="D125" s="15"/>
      <c r="E125" s="15"/>
      <c r="F125" s="15"/>
      <c r="G125" s="15"/>
      <c r="H125" s="16"/>
      <c r="I125" s="16"/>
      <c r="J125" s="16"/>
      <c r="K125" s="16"/>
      <c r="L125" s="16"/>
      <c r="M125" s="16"/>
      <c r="N125" s="16"/>
      <c r="O125" s="16"/>
      <c r="P125" s="16"/>
      <c r="Q125" s="16"/>
      <c r="R125" s="16"/>
      <c r="S125" s="16"/>
      <c r="T125" s="16"/>
      <c r="U125" s="16"/>
      <c r="V125" s="16"/>
      <c r="W125" s="15"/>
      <c r="X125" s="15"/>
      <c r="Y125" s="15"/>
      <c r="Z125" s="15"/>
    </row>
    <row r="126" customHeight="1" spans="1:26">
      <c r="A126" s="17"/>
      <c r="B126" s="15"/>
      <c r="C126" s="15"/>
      <c r="D126" s="15"/>
      <c r="E126" s="15"/>
      <c r="F126" s="15"/>
      <c r="G126" s="15"/>
      <c r="H126" s="16"/>
      <c r="I126" s="16"/>
      <c r="J126" s="16"/>
      <c r="K126" s="16"/>
      <c r="L126" s="16"/>
      <c r="M126" s="16"/>
      <c r="N126" s="16"/>
      <c r="O126" s="16"/>
      <c r="P126" s="16"/>
      <c r="Q126" s="16"/>
      <c r="R126" s="16"/>
      <c r="S126" s="16"/>
      <c r="T126" s="16"/>
      <c r="U126" s="16"/>
      <c r="V126" s="16"/>
      <c r="W126" s="15"/>
      <c r="X126" s="15"/>
      <c r="Y126" s="15"/>
      <c r="Z126" s="15"/>
    </row>
    <row r="127" customHeight="1" spans="1:26">
      <c r="A127" s="17"/>
      <c r="B127" s="15"/>
      <c r="C127" s="15"/>
      <c r="D127" s="15"/>
      <c r="E127" s="15"/>
      <c r="F127" s="15"/>
      <c r="G127" s="15"/>
      <c r="H127" s="16"/>
      <c r="I127" s="16"/>
      <c r="J127" s="16"/>
      <c r="K127" s="16"/>
      <c r="L127" s="16"/>
      <c r="M127" s="16"/>
      <c r="N127" s="16"/>
      <c r="O127" s="16"/>
      <c r="P127" s="16"/>
      <c r="Q127" s="16"/>
      <c r="R127" s="16"/>
      <c r="S127" s="16"/>
      <c r="T127" s="16"/>
      <c r="U127" s="16"/>
      <c r="V127" s="16"/>
      <c r="W127" s="15"/>
      <c r="X127" s="15"/>
      <c r="Y127" s="15"/>
      <c r="Z127" s="15"/>
    </row>
    <row r="128" customHeight="1" spans="1:26">
      <c r="A128" s="17"/>
      <c r="B128" s="15"/>
      <c r="C128" s="15"/>
      <c r="D128" s="15"/>
      <c r="E128" s="15"/>
      <c r="F128" s="15"/>
      <c r="G128" s="15"/>
      <c r="H128" s="16"/>
      <c r="I128" s="16"/>
      <c r="J128" s="16"/>
      <c r="K128" s="16"/>
      <c r="L128" s="16"/>
      <c r="M128" s="16"/>
      <c r="N128" s="16"/>
      <c r="O128" s="16"/>
      <c r="P128" s="16"/>
      <c r="Q128" s="16"/>
      <c r="R128" s="16"/>
      <c r="S128" s="16"/>
      <c r="T128" s="16"/>
      <c r="U128" s="16"/>
      <c r="V128" s="16"/>
      <c r="W128" s="15"/>
      <c r="X128" s="15"/>
      <c r="Y128" s="15"/>
      <c r="Z128" s="15"/>
    </row>
    <row r="129" customHeight="1" spans="1:26">
      <c r="A129" s="17"/>
      <c r="B129" s="15"/>
      <c r="C129" s="15"/>
      <c r="D129" s="15"/>
      <c r="E129" s="15"/>
      <c r="F129" s="15"/>
      <c r="G129" s="15"/>
      <c r="H129" s="16"/>
      <c r="I129" s="16"/>
      <c r="J129" s="16"/>
      <c r="K129" s="16"/>
      <c r="L129" s="16"/>
      <c r="M129" s="16"/>
      <c r="N129" s="16"/>
      <c r="O129" s="16"/>
      <c r="P129" s="16"/>
      <c r="Q129" s="16"/>
      <c r="R129" s="16"/>
      <c r="S129" s="16"/>
      <c r="T129" s="16"/>
      <c r="U129" s="16"/>
      <c r="V129" s="16"/>
      <c r="W129" s="15"/>
      <c r="X129" s="15"/>
      <c r="Y129" s="15"/>
      <c r="Z129" s="15"/>
    </row>
    <row r="130" customHeight="1" spans="1:26">
      <c r="A130" s="17"/>
      <c r="B130" s="15"/>
      <c r="C130" s="15"/>
      <c r="D130" s="15"/>
      <c r="E130" s="15"/>
      <c r="F130" s="15"/>
      <c r="G130" s="15"/>
      <c r="H130" s="16"/>
      <c r="I130" s="16"/>
      <c r="J130" s="16"/>
      <c r="K130" s="16"/>
      <c r="L130" s="16"/>
      <c r="M130" s="16"/>
      <c r="N130" s="16"/>
      <c r="O130" s="16"/>
      <c r="P130" s="16"/>
      <c r="Q130" s="16"/>
      <c r="R130" s="16"/>
      <c r="S130" s="16"/>
      <c r="T130" s="16"/>
      <c r="U130" s="16"/>
      <c r="V130" s="16"/>
      <c r="W130" s="15"/>
      <c r="X130" s="15"/>
      <c r="Y130" s="15"/>
      <c r="Z130" s="15"/>
    </row>
    <row r="131" customHeight="1" spans="1:26">
      <c r="A131" s="17"/>
      <c r="B131" s="15"/>
      <c r="C131" s="15"/>
      <c r="D131" s="15"/>
      <c r="E131" s="15"/>
      <c r="F131" s="15"/>
      <c r="G131" s="15"/>
      <c r="H131" s="16"/>
      <c r="I131" s="16"/>
      <c r="J131" s="16"/>
      <c r="K131" s="16"/>
      <c r="L131" s="16"/>
      <c r="M131" s="16"/>
      <c r="N131" s="16"/>
      <c r="O131" s="16"/>
      <c r="P131" s="16"/>
      <c r="Q131" s="16"/>
      <c r="R131" s="16"/>
      <c r="S131" s="16"/>
      <c r="T131" s="16"/>
      <c r="U131" s="16"/>
      <c r="V131" s="16"/>
      <c r="W131" s="15"/>
      <c r="X131" s="15"/>
      <c r="Y131" s="15"/>
      <c r="Z131" s="15"/>
    </row>
    <row r="132" customHeight="1" spans="1:26">
      <c r="A132" s="17"/>
      <c r="B132" s="15"/>
      <c r="C132" s="15"/>
      <c r="D132" s="15"/>
      <c r="E132" s="15"/>
      <c r="F132" s="15"/>
      <c r="G132" s="15"/>
      <c r="H132" s="16"/>
      <c r="I132" s="16"/>
      <c r="J132" s="16"/>
      <c r="K132" s="16"/>
      <c r="L132" s="16"/>
      <c r="M132" s="16"/>
      <c r="N132" s="16"/>
      <c r="O132" s="16"/>
      <c r="P132" s="16"/>
      <c r="Q132" s="16"/>
      <c r="R132" s="16"/>
      <c r="S132" s="16"/>
      <c r="T132" s="16"/>
      <c r="U132" s="16"/>
      <c r="V132" s="16"/>
      <c r="W132" s="15"/>
      <c r="X132" s="15"/>
      <c r="Y132" s="15"/>
      <c r="Z132" s="15"/>
    </row>
    <row r="133" customHeight="1" spans="1:26">
      <c r="A133" s="17"/>
      <c r="B133" s="15"/>
      <c r="C133" s="15"/>
      <c r="D133" s="15"/>
      <c r="E133" s="15"/>
      <c r="F133" s="15"/>
      <c r="G133" s="15"/>
      <c r="H133" s="16"/>
      <c r="I133" s="16"/>
      <c r="J133" s="16"/>
      <c r="K133" s="16"/>
      <c r="L133" s="16"/>
      <c r="M133" s="16"/>
      <c r="N133" s="16"/>
      <c r="O133" s="16"/>
      <c r="P133" s="16"/>
      <c r="Q133" s="16"/>
      <c r="R133" s="16"/>
      <c r="S133" s="16"/>
      <c r="T133" s="16"/>
      <c r="U133" s="16"/>
      <c r="V133" s="16"/>
      <c r="W133" s="15"/>
      <c r="X133" s="15"/>
      <c r="Y133" s="15"/>
      <c r="Z133" s="15"/>
    </row>
    <row r="134" customHeight="1" spans="1:26">
      <c r="A134" s="17"/>
      <c r="B134" s="15"/>
      <c r="C134" s="15"/>
      <c r="D134" s="15"/>
      <c r="E134" s="15"/>
      <c r="F134" s="15"/>
      <c r="G134" s="15"/>
      <c r="H134" s="16"/>
      <c r="I134" s="16"/>
      <c r="J134" s="16"/>
      <c r="K134" s="16"/>
      <c r="L134" s="16"/>
      <c r="M134" s="16"/>
      <c r="N134" s="16"/>
      <c r="O134" s="16"/>
      <c r="P134" s="16"/>
      <c r="Q134" s="16"/>
      <c r="R134" s="16"/>
      <c r="S134" s="16"/>
      <c r="T134" s="16"/>
      <c r="U134" s="16"/>
      <c r="V134" s="16"/>
      <c r="W134" s="15"/>
      <c r="X134" s="15"/>
      <c r="Y134" s="15"/>
      <c r="Z134" s="15"/>
    </row>
    <row r="135" customHeight="1" spans="1:26">
      <c r="A135" s="17"/>
      <c r="B135" s="15"/>
      <c r="C135" s="15"/>
      <c r="D135" s="15"/>
      <c r="E135" s="15"/>
      <c r="F135" s="15"/>
      <c r="G135" s="15"/>
      <c r="H135" s="16"/>
      <c r="I135" s="16"/>
      <c r="J135" s="16"/>
      <c r="K135" s="16"/>
      <c r="L135" s="16"/>
      <c r="M135" s="16"/>
      <c r="N135" s="16"/>
      <c r="O135" s="16"/>
      <c r="P135" s="16"/>
      <c r="Q135" s="16"/>
      <c r="R135" s="16"/>
      <c r="S135" s="16"/>
      <c r="T135" s="16"/>
      <c r="U135" s="16"/>
      <c r="V135" s="16"/>
      <c r="W135" s="15"/>
      <c r="X135" s="15"/>
      <c r="Y135" s="15"/>
      <c r="Z135" s="15"/>
    </row>
    <row r="136" customHeight="1" spans="1:26">
      <c r="A136" s="17"/>
      <c r="B136" s="15"/>
      <c r="C136" s="15"/>
      <c r="D136" s="15"/>
      <c r="E136" s="15"/>
      <c r="F136" s="15"/>
      <c r="G136" s="15"/>
      <c r="H136" s="16"/>
      <c r="I136" s="16"/>
      <c r="J136" s="16"/>
      <c r="K136" s="16"/>
      <c r="L136" s="16"/>
      <c r="M136" s="16"/>
      <c r="N136" s="16"/>
      <c r="O136" s="16"/>
      <c r="P136" s="16"/>
      <c r="Q136" s="16"/>
      <c r="R136" s="16"/>
      <c r="S136" s="16"/>
      <c r="T136" s="16"/>
      <c r="U136" s="16"/>
      <c r="V136" s="16"/>
      <c r="W136" s="15"/>
      <c r="X136" s="15"/>
      <c r="Y136" s="15"/>
      <c r="Z136" s="15"/>
    </row>
    <row r="137" customHeight="1" spans="1:26">
      <c r="A137" s="17"/>
      <c r="B137" s="15"/>
      <c r="C137" s="15"/>
      <c r="D137" s="15"/>
      <c r="E137" s="15"/>
      <c r="F137" s="15"/>
      <c r="G137" s="15"/>
      <c r="H137" s="16"/>
      <c r="I137" s="16"/>
      <c r="J137" s="16"/>
      <c r="K137" s="16"/>
      <c r="L137" s="16"/>
      <c r="M137" s="16"/>
      <c r="N137" s="16"/>
      <c r="O137" s="16"/>
      <c r="P137" s="16"/>
      <c r="Q137" s="16"/>
      <c r="R137" s="16"/>
      <c r="S137" s="16"/>
      <c r="T137" s="16"/>
      <c r="U137" s="16"/>
      <c r="V137" s="16"/>
      <c r="W137" s="15"/>
      <c r="X137" s="15"/>
      <c r="Y137" s="15"/>
      <c r="Z137" s="15"/>
    </row>
    <row r="138" customHeight="1" spans="1:26">
      <c r="A138" s="17"/>
      <c r="B138" s="15"/>
      <c r="C138" s="15"/>
      <c r="D138" s="15"/>
      <c r="E138" s="15"/>
      <c r="F138" s="15"/>
      <c r="G138" s="15"/>
      <c r="H138" s="16"/>
      <c r="I138" s="16"/>
      <c r="J138" s="16"/>
      <c r="K138" s="16"/>
      <c r="L138" s="16"/>
      <c r="M138" s="16"/>
      <c r="N138" s="16"/>
      <c r="O138" s="16"/>
      <c r="P138" s="16"/>
      <c r="Q138" s="16"/>
      <c r="R138" s="16"/>
      <c r="S138" s="16"/>
      <c r="T138" s="16"/>
      <c r="U138" s="16"/>
      <c r="V138" s="16"/>
      <c r="W138" s="15"/>
      <c r="X138" s="15"/>
      <c r="Y138" s="15"/>
      <c r="Z138" s="15"/>
    </row>
    <row r="139" customHeight="1" spans="1:26">
      <c r="A139" s="17"/>
      <c r="B139" s="15"/>
      <c r="C139" s="15"/>
      <c r="D139" s="15"/>
      <c r="E139" s="15"/>
      <c r="F139" s="15"/>
      <c r="G139" s="15"/>
      <c r="H139" s="16"/>
      <c r="I139" s="16"/>
      <c r="J139" s="16"/>
      <c r="K139" s="16"/>
      <c r="L139" s="16"/>
      <c r="M139" s="16"/>
      <c r="N139" s="16"/>
      <c r="O139" s="16"/>
      <c r="P139" s="16"/>
      <c r="Q139" s="16"/>
      <c r="R139" s="16"/>
      <c r="S139" s="16"/>
      <c r="T139" s="16"/>
      <c r="U139" s="16"/>
      <c r="V139" s="16"/>
      <c r="W139" s="15"/>
      <c r="X139" s="15"/>
      <c r="Y139" s="15"/>
      <c r="Z139" s="15"/>
    </row>
    <row r="140" customHeight="1" spans="1:26">
      <c r="A140" s="17"/>
      <c r="B140" s="15"/>
      <c r="C140" s="15"/>
      <c r="D140" s="15"/>
      <c r="E140" s="15"/>
      <c r="F140" s="15"/>
      <c r="G140" s="15"/>
      <c r="H140" s="16"/>
      <c r="I140" s="16"/>
      <c r="J140" s="16"/>
      <c r="K140" s="16"/>
      <c r="L140" s="16"/>
      <c r="M140" s="16"/>
      <c r="N140" s="16"/>
      <c r="O140" s="16"/>
      <c r="P140" s="16"/>
      <c r="Q140" s="16"/>
      <c r="R140" s="16"/>
      <c r="S140" s="16"/>
      <c r="T140" s="16"/>
      <c r="U140" s="16"/>
      <c r="V140" s="16"/>
      <c r="W140" s="15"/>
      <c r="X140" s="15"/>
      <c r="Y140" s="15"/>
      <c r="Z140" s="15"/>
    </row>
    <row r="141" customHeight="1" spans="1:26">
      <c r="A141" s="17"/>
      <c r="B141" s="15"/>
      <c r="C141" s="15"/>
      <c r="D141" s="15"/>
      <c r="E141" s="15"/>
      <c r="F141" s="15"/>
      <c r="G141" s="15"/>
      <c r="H141" s="16"/>
      <c r="I141" s="16"/>
      <c r="J141" s="16"/>
      <c r="K141" s="16"/>
      <c r="L141" s="16"/>
      <c r="M141" s="16"/>
      <c r="N141" s="16"/>
      <c r="O141" s="16"/>
      <c r="P141" s="16"/>
      <c r="Q141" s="16"/>
      <c r="R141" s="16"/>
      <c r="S141" s="16"/>
      <c r="T141" s="16"/>
      <c r="U141" s="16"/>
      <c r="V141" s="16"/>
      <c r="W141" s="15"/>
      <c r="X141" s="15"/>
      <c r="Y141" s="15"/>
      <c r="Z141" s="15"/>
    </row>
    <row r="142" customHeight="1" spans="1:26">
      <c r="A142" s="17"/>
      <c r="B142" s="15"/>
      <c r="C142" s="15"/>
      <c r="D142" s="15"/>
      <c r="E142" s="15"/>
      <c r="F142" s="15"/>
      <c r="G142" s="15"/>
      <c r="H142" s="16"/>
      <c r="I142" s="16"/>
      <c r="J142" s="16"/>
      <c r="K142" s="16"/>
      <c r="L142" s="16"/>
      <c r="M142" s="16"/>
      <c r="N142" s="16"/>
      <c r="O142" s="16"/>
      <c r="P142" s="16"/>
      <c r="Q142" s="16"/>
      <c r="R142" s="16"/>
      <c r="S142" s="16"/>
      <c r="T142" s="16"/>
      <c r="U142" s="16"/>
      <c r="V142" s="16"/>
      <c r="W142" s="15"/>
      <c r="X142" s="15"/>
      <c r="Y142" s="15"/>
      <c r="Z142" s="15"/>
    </row>
    <row r="143" customHeight="1" spans="1:26">
      <c r="A143" s="17"/>
      <c r="B143" s="15"/>
      <c r="C143" s="15"/>
      <c r="D143" s="15"/>
      <c r="E143" s="15"/>
      <c r="F143" s="15"/>
      <c r="G143" s="15"/>
      <c r="H143" s="16"/>
      <c r="I143" s="16"/>
      <c r="J143" s="16"/>
      <c r="K143" s="16"/>
      <c r="L143" s="16"/>
      <c r="M143" s="16"/>
      <c r="N143" s="16"/>
      <c r="O143" s="16"/>
      <c r="P143" s="16"/>
      <c r="Q143" s="16"/>
      <c r="R143" s="16"/>
      <c r="S143" s="16"/>
      <c r="T143" s="16"/>
      <c r="U143" s="16"/>
      <c r="V143" s="16"/>
      <c r="W143" s="15"/>
      <c r="X143" s="15"/>
      <c r="Y143" s="15"/>
      <c r="Z143" s="15"/>
    </row>
    <row r="144" customHeight="1" spans="1:26">
      <c r="A144" s="17"/>
      <c r="B144" s="15"/>
      <c r="C144" s="15"/>
      <c r="D144" s="15"/>
      <c r="E144" s="15"/>
      <c r="F144" s="15"/>
      <c r="G144" s="15"/>
      <c r="H144" s="16"/>
      <c r="I144" s="16"/>
      <c r="J144" s="16"/>
      <c r="K144" s="16"/>
      <c r="L144" s="16"/>
      <c r="M144" s="16"/>
      <c r="N144" s="16"/>
      <c r="O144" s="16"/>
      <c r="P144" s="16"/>
      <c r="Q144" s="16"/>
      <c r="R144" s="16"/>
      <c r="S144" s="16"/>
      <c r="T144" s="16"/>
      <c r="U144" s="16"/>
      <c r="V144" s="16"/>
      <c r="W144" s="15"/>
      <c r="X144" s="15"/>
      <c r="Y144" s="15"/>
      <c r="Z144" s="15"/>
    </row>
    <row r="145" customHeight="1" spans="1:26">
      <c r="A145" s="17"/>
      <c r="B145" s="15"/>
      <c r="C145" s="15"/>
      <c r="D145" s="15"/>
      <c r="E145" s="15"/>
      <c r="F145" s="15"/>
      <c r="G145" s="15"/>
      <c r="H145" s="16"/>
      <c r="I145" s="16"/>
      <c r="J145" s="16"/>
      <c r="K145" s="16"/>
      <c r="L145" s="16"/>
      <c r="M145" s="16"/>
      <c r="N145" s="16"/>
      <c r="O145" s="16"/>
      <c r="P145" s="16"/>
      <c r="Q145" s="16"/>
      <c r="R145" s="16"/>
      <c r="S145" s="16"/>
      <c r="T145" s="16"/>
      <c r="U145" s="16"/>
      <c r="V145" s="16"/>
      <c r="W145" s="15"/>
      <c r="X145" s="15"/>
      <c r="Y145" s="15"/>
      <c r="Z145" s="15"/>
    </row>
    <row r="146" customHeight="1" spans="1:26">
      <c r="A146" s="17"/>
      <c r="B146" s="15"/>
      <c r="C146" s="15"/>
      <c r="D146" s="15"/>
      <c r="E146" s="15"/>
      <c r="F146" s="15"/>
      <c r="G146" s="15"/>
      <c r="H146" s="16"/>
      <c r="I146" s="16"/>
      <c r="J146" s="16"/>
      <c r="K146" s="16"/>
      <c r="L146" s="16"/>
      <c r="M146" s="16"/>
      <c r="N146" s="16"/>
      <c r="O146" s="16"/>
      <c r="P146" s="16"/>
      <c r="Q146" s="16"/>
      <c r="R146" s="16"/>
      <c r="S146" s="16"/>
      <c r="T146" s="16"/>
      <c r="U146" s="16"/>
      <c r="V146" s="16"/>
      <c r="W146" s="15"/>
      <c r="X146" s="15"/>
      <c r="Y146" s="15"/>
      <c r="Z146" s="15"/>
    </row>
    <row r="147" customHeight="1" spans="1:26">
      <c r="A147" s="17"/>
      <c r="B147" s="15"/>
      <c r="C147" s="15"/>
      <c r="D147" s="15"/>
      <c r="E147" s="15"/>
      <c r="F147" s="15"/>
      <c r="G147" s="15"/>
      <c r="H147" s="16"/>
      <c r="I147" s="16"/>
      <c r="J147" s="16"/>
      <c r="K147" s="16"/>
      <c r="L147" s="16"/>
      <c r="M147" s="16"/>
      <c r="N147" s="16"/>
      <c r="O147" s="16"/>
      <c r="P147" s="16"/>
      <c r="Q147" s="16"/>
      <c r="R147" s="16"/>
      <c r="S147" s="16"/>
      <c r="T147" s="16"/>
      <c r="U147" s="16"/>
      <c r="V147" s="16"/>
      <c r="W147" s="15"/>
      <c r="X147" s="15"/>
      <c r="Y147" s="15"/>
      <c r="Z147" s="15"/>
    </row>
    <row r="148" customHeight="1" spans="1:26">
      <c r="A148" s="17"/>
      <c r="B148" s="15"/>
      <c r="C148" s="15"/>
      <c r="D148" s="15"/>
      <c r="E148" s="15"/>
      <c r="F148" s="15"/>
      <c r="G148" s="15"/>
      <c r="H148" s="16"/>
      <c r="I148" s="16"/>
      <c r="J148" s="16"/>
      <c r="K148" s="16"/>
      <c r="L148" s="16"/>
      <c r="M148" s="16"/>
      <c r="N148" s="16"/>
      <c r="O148" s="16"/>
      <c r="P148" s="16"/>
      <c r="Q148" s="16"/>
      <c r="R148" s="16"/>
      <c r="S148" s="16"/>
      <c r="T148" s="16"/>
      <c r="U148" s="16"/>
      <c r="V148" s="16"/>
      <c r="W148" s="15"/>
      <c r="X148" s="15"/>
      <c r="Y148" s="15"/>
      <c r="Z148" s="15"/>
    </row>
    <row r="149" customHeight="1" spans="1:26">
      <c r="A149" s="17"/>
      <c r="B149" s="15"/>
      <c r="C149" s="15"/>
      <c r="D149" s="15"/>
      <c r="E149" s="15"/>
      <c r="F149" s="15"/>
      <c r="G149" s="15"/>
      <c r="H149" s="16"/>
      <c r="I149" s="16"/>
      <c r="J149" s="16"/>
      <c r="K149" s="16"/>
      <c r="L149" s="16"/>
      <c r="M149" s="16"/>
      <c r="N149" s="16"/>
      <c r="O149" s="16"/>
      <c r="P149" s="16"/>
      <c r="Q149" s="16"/>
      <c r="R149" s="16"/>
      <c r="S149" s="16"/>
      <c r="T149" s="16"/>
      <c r="U149" s="16"/>
      <c r="V149" s="16"/>
      <c r="W149" s="15"/>
      <c r="X149" s="15"/>
      <c r="Y149" s="15"/>
      <c r="Z149" s="15"/>
    </row>
    <row r="150" customHeight="1" spans="1:26">
      <c r="A150" s="17"/>
      <c r="B150" s="15"/>
      <c r="C150" s="15"/>
      <c r="D150" s="15"/>
      <c r="E150" s="15"/>
      <c r="F150" s="15"/>
      <c r="G150" s="15"/>
      <c r="H150" s="16"/>
      <c r="I150" s="16"/>
      <c r="J150" s="16"/>
      <c r="K150" s="16"/>
      <c r="L150" s="16"/>
      <c r="M150" s="16"/>
      <c r="N150" s="16"/>
      <c r="O150" s="16"/>
      <c r="P150" s="16"/>
      <c r="Q150" s="16"/>
      <c r="R150" s="16"/>
      <c r="S150" s="16"/>
      <c r="T150" s="16"/>
      <c r="U150" s="16"/>
      <c r="V150" s="16"/>
      <c r="W150" s="15"/>
      <c r="X150" s="15"/>
      <c r="Y150" s="15"/>
      <c r="Z150" s="15"/>
    </row>
    <row r="151" customHeight="1" spans="1:26">
      <c r="A151" s="17"/>
      <c r="B151" s="15"/>
      <c r="C151" s="15"/>
      <c r="D151" s="15"/>
      <c r="E151" s="15"/>
      <c r="F151" s="15"/>
      <c r="G151" s="15"/>
      <c r="H151" s="16"/>
      <c r="I151" s="16"/>
      <c r="J151" s="16"/>
      <c r="K151" s="16"/>
      <c r="L151" s="16"/>
      <c r="M151" s="16"/>
      <c r="N151" s="16"/>
      <c r="O151" s="16"/>
      <c r="P151" s="16"/>
      <c r="Q151" s="16"/>
      <c r="R151" s="16"/>
      <c r="S151" s="16"/>
      <c r="T151" s="16"/>
      <c r="U151" s="16"/>
      <c r="V151" s="16"/>
      <c r="W151" s="15"/>
      <c r="X151" s="15"/>
      <c r="Y151" s="15"/>
      <c r="Z151" s="15"/>
    </row>
    <row r="152" customHeight="1" spans="1:26">
      <c r="A152" s="17"/>
      <c r="B152" s="15"/>
      <c r="C152" s="15"/>
      <c r="D152" s="15"/>
      <c r="E152" s="15"/>
      <c r="F152" s="15"/>
      <c r="G152" s="15"/>
      <c r="H152" s="16"/>
      <c r="I152" s="16"/>
      <c r="J152" s="16"/>
      <c r="K152" s="16"/>
      <c r="L152" s="16"/>
      <c r="M152" s="16"/>
      <c r="N152" s="16"/>
      <c r="O152" s="16"/>
      <c r="P152" s="16"/>
      <c r="Q152" s="16"/>
      <c r="R152" s="16"/>
      <c r="S152" s="16"/>
      <c r="T152" s="16"/>
      <c r="U152" s="16"/>
      <c r="V152" s="16"/>
      <c r="W152" s="15"/>
      <c r="X152" s="15"/>
      <c r="Y152" s="15"/>
      <c r="Z152" s="15"/>
    </row>
    <row r="153" customHeight="1" spans="1:26">
      <c r="A153" s="17"/>
      <c r="B153" s="15"/>
      <c r="C153" s="15"/>
      <c r="D153" s="15"/>
      <c r="E153" s="15"/>
      <c r="F153" s="15"/>
      <c r="G153" s="15"/>
      <c r="H153" s="16"/>
      <c r="I153" s="16"/>
      <c r="J153" s="16"/>
      <c r="K153" s="16"/>
      <c r="L153" s="16"/>
      <c r="M153" s="16"/>
      <c r="N153" s="16"/>
      <c r="O153" s="16"/>
      <c r="P153" s="16"/>
      <c r="Q153" s="16"/>
      <c r="R153" s="16"/>
      <c r="S153" s="16"/>
      <c r="T153" s="16"/>
      <c r="U153" s="16"/>
      <c r="V153" s="16"/>
      <c r="W153" s="15"/>
      <c r="X153" s="15"/>
      <c r="Y153" s="15"/>
      <c r="Z153" s="15"/>
    </row>
    <row r="154" customHeight="1" spans="1:26">
      <c r="A154" s="17"/>
      <c r="B154" s="15"/>
      <c r="C154" s="15"/>
      <c r="D154" s="15"/>
      <c r="E154" s="15"/>
      <c r="F154" s="15"/>
      <c r="G154" s="15"/>
      <c r="H154" s="16"/>
      <c r="I154" s="16"/>
      <c r="J154" s="16"/>
      <c r="K154" s="16"/>
      <c r="L154" s="16"/>
      <c r="M154" s="16"/>
      <c r="N154" s="16"/>
      <c r="O154" s="16"/>
      <c r="P154" s="16"/>
      <c r="Q154" s="16"/>
      <c r="R154" s="16"/>
      <c r="S154" s="16"/>
      <c r="T154" s="16"/>
      <c r="U154" s="16"/>
      <c r="V154" s="16"/>
      <c r="W154" s="15"/>
      <c r="X154" s="15"/>
      <c r="Y154" s="15"/>
      <c r="Z154" s="15"/>
    </row>
    <row r="155" customHeight="1" spans="1:26">
      <c r="A155" s="17"/>
      <c r="B155" s="15"/>
      <c r="C155" s="15"/>
      <c r="D155" s="15"/>
      <c r="E155" s="15"/>
      <c r="F155" s="15"/>
      <c r="G155" s="15"/>
      <c r="H155" s="16"/>
      <c r="I155" s="16"/>
      <c r="J155" s="16"/>
      <c r="K155" s="16"/>
      <c r="L155" s="16"/>
      <c r="M155" s="16"/>
      <c r="N155" s="16"/>
      <c r="O155" s="16"/>
      <c r="P155" s="16"/>
      <c r="Q155" s="16"/>
      <c r="R155" s="16"/>
      <c r="S155" s="16"/>
      <c r="T155" s="16"/>
      <c r="U155" s="16"/>
      <c r="V155" s="16"/>
      <c r="W155" s="15"/>
      <c r="X155" s="15"/>
      <c r="Y155" s="15"/>
      <c r="Z155" s="15"/>
    </row>
    <row r="156" customHeight="1" spans="1:26">
      <c r="A156" s="17"/>
      <c r="B156" s="15"/>
      <c r="C156" s="15"/>
      <c r="D156" s="15"/>
      <c r="E156" s="15"/>
      <c r="F156" s="15"/>
      <c r="G156" s="15"/>
      <c r="H156" s="16"/>
      <c r="I156" s="16"/>
      <c r="J156" s="16"/>
      <c r="K156" s="16"/>
      <c r="L156" s="16"/>
      <c r="M156" s="16"/>
      <c r="N156" s="16"/>
      <c r="O156" s="16"/>
      <c r="P156" s="16"/>
      <c r="Q156" s="16"/>
      <c r="R156" s="16"/>
      <c r="S156" s="16"/>
      <c r="T156" s="16"/>
      <c r="U156" s="16"/>
      <c r="V156" s="16"/>
      <c r="W156" s="15"/>
      <c r="X156" s="15"/>
      <c r="Y156" s="15"/>
      <c r="Z156" s="15"/>
    </row>
    <row r="157" customHeight="1" spans="1:26">
      <c r="A157" s="17"/>
      <c r="B157" s="15"/>
      <c r="C157" s="15"/>
      <c r="D157" s="15"/>
      <c r="E157" s="15"/>
      <c r="F157" s="15"/>
      <c r="G157" s="15"/>
      <c r="H157" s="16"/>
      <c r="I157" s="16"/>
      <c r="J157" s="16"/>
      <c r="K157" s="16"/>
      <c r="L157" s="16"/>
      <c r="M157" s="16"/>
      <c r="N157" s="16"/>
      <c r="O157" s="16"/>
      <c r="P157" s="16"/>
      <c r="Q157" s="16"/>
      <c r="R157" s="16"/>
      <c r="S157" s="16"/>
      <c r="T157" s="16"/>
      <c r="U157" s="16"/>
      <c r="V157" s="16"/>
      <c r="W157" s="15"/>
      <c r="X157" s="15"/>
      <c r="Y157" s="15"/>
      <c r="Z157" s="15"/>
    </row>
    <row r="158" customHeight="1" spans="1:26">
      <c r="A158" s="17"/>
      <c r="B158" s="15"/>
      <c r="C158" s="15"/>
      <c r="D158" s="15"/>
      <c r="E158" s="15"/>
      <c r="F158" s="15"/>
      <c r="G158" s="15"/>
      <c r="H158" s="16"/>
      <c r="I158" s="16"/>
      <c r="J158" s="16"/>
      <c r="K158" s="16"/>
      <c r="L158" s="16"/>
      <c r="M158" s="16"/>
      <c r="N158" s="16"/>
      <c r="O158" s="16"/>
      <c r="P158" s="16"/>
      <c r="Q158" s="16"/>
      <c r="R158" s="16"/>
      <c r="S158" s="16"/>
      <c r="T158" s="16"/>
      <c r="U158" s="16"/>
      <c r="V158" s="16"/>
      <c r="W158" s="15"/>
      <c r="X158" s="15"/>
      <c r="Y158" s="15"/>
      <c r="Z158" s="15"/>
    </row>
    <row r="159" customHeight="1" spans="1:26">
      <c r="A159" s="17"/>
      <c r="B159" s="15"/>
      <c r="C159" s="15"/>
      <c r="D159" s="15"/>
      <c r="E159" s="15"/>
      <c r="F159" s="15"/>
      <c r="G159" s="15"/>
      <c r="H159" s="16"/>
      <c r="I159" s="16"/>
      <c r="J159" s="16"/>
      <c r="K159" s="16"/>
      <c r="L159" s="16"/>
      <c r="M159" s="16"/>
      <c r="N159" s="16"/>
      <c r="O159" s="16"/>
      <c r="P159" s="16"/>
      <c r="Q159" s="16"/>
      <c r="R159" s="16"/>
      <c r="S159" s="16"/>
      <c r="T159" s="16"/>
      <c r="U159" s="16"/>
      <c r="V159" s="16"/>
      <c r="W159" s="15"/>
      <c r="X159" s="15"/>
      <c r="Y159" s="15"/>
      <c r="Z159" s="15"/>
    </row>
    <row r="160" customHeight="1" spans="1:26">
      <c r="A160" s="17"/>
      <c r="B160" s="15"/>
      <c r="C160" s="15"/>
      <c r="D160" s="15"/>
      <c r="E160" s="15"/>
      <c r="F160" s="15"/>
      <c r="G160" s="15"/>
      <c r="H160" s="16"/>
      <c r="I160" s="16"/>
      <c r="J160" s="16"/>
      <c r="K160" s="16"/>
      <c r="L160" s="16"/>
      <c r="M160" s="16"/>
      <c r="N160" s="16"/>
      <c r="O160" s="16"/>
      <c r="P160" s="16"/>
      <c r="Q160" s="16"/>
      <c r="R160" s="16"/>
      <c r="S160" s="16"/>
      <c r="T160" s="16"/>
      <c r="U160" s="16"/>
      <c r="V160" s="16"/>
      <c r="W160" s="15"/>
      <c r="X160" s="15"/>
      <c r="Y160" s="15"/>
      <c r="Z160" s="15"/>
    </row>
    <row r="161" customHeight="1" spans="1:26">
      <c r="A161" s="17"/>
      <c r="B161" s="15"/>
      <c r="C161" s="15"/>
      <c r="D161" s="15"/>
      <c r="E161" s="15"/>
      <c r="F161" s="15"/>
      <c r="G161" s="15"/>
      <c r="H161" s="16"/>
      <c r="I161" s="16"/>
      <c r="J161" s="16"/>
      <c r="K161" s="16"/>
      <c r="L161" s="16"/>
      <c r="M161" s="16"/>
      <c r="N161" s="16"/>
      <c r="O161" s="16"/>
      <c r="P161" s="16"/>
      <c r="Q161" s="16"/>
      <c r="R161" s="16"/>
      <c r="S161" s="16"/>
      <c r="T161" s="16"/>
      <c r="U161" s="16"/>
      <c r="V161" s="16"/>
      <c r="W161" s="15"/>
      <c r="X161" s="15"/>
      <c r="Y161" s="15"/>
      <c r="Z161" s="15"/>
    </row>
    <row r="162" customHeight="1" spans="1:26">
      <c r="A162" s="17"/>
      <c r="B162" s="15"/>
      <c r="C162" s="15"/>
      <c r="D162" s="15"/>
      <c r="E162" s="15"/>
      <c r="F162" s="15"/>
      <c r="G162" s="15"/>
      <c r="H162" s="16"/>
      <c r="I162" s="16"/>
      <c r="J162" s="16"/>
      <c r="K162" s="16"/>
      <c r="L162" s="16"/>
      <c r="M162" s="16"/>
      <c r="N162" s="16"/>
      <c r="O162" s="16"/>
      <c r="P162" s="16"/>
      <c r="Q162" s="16"/>
      <c r="R162" s="16"/>
      <c r="S162" s="16"/>
      <c r="T162" s="16"/>
      <c r="U162" s="16"/>
      <c r="V162" s="16"/>
      <c r="W162" s="15"/>
      <c r="X162" s="15"/>
      <c r="Y162" s="15"/>
      <c r="Z162" s="15"/>
    </row>
    <row r="163" customHeight="1" spans="1:26">
      <c r="A163" s="17"/>
      <c r="B163" s="15"/>
      <c r="C163" s="15"/>
      <c r="D163" s="15"/>
      <c r="E163" s="15"/>
      <c r="F163" s="15"/>
      <c r="G163" s="15"/>
      <c r="H163" s="16"/>
      <c r="I163" s="16"/>
      <c r="J163" s="16"/>
      <c r="K163" s="16"/>
      <c r="L163" s="16"/>
      <c r="M163" s="16"/>
      <c r="N163" s="16"/>
      <c r="O163" s="16"/>
      <c r="P163" s="16"/>
      <c r="Q163" s="16"/>
      <c r="R163" s="16"/>
      <c r="S163" s="16"/>
      <c r="T163" s="16"/>
      <c r="U163" s="16"/>
      <c r="V163" s="16"/>
      <c r="W163" s="15"/>
      <c r="X163" s="15"/>
      <c r="Y163" s="15"/>
      <c r="Z163" s="15"/>
    </row>
    <row r="164" customHeight="1" spans="1:26">
      <c r="A164" s="17"/>
      <c r="B164" s="15"/>
      <c r="C164" s="15"/>
      <c r="D164" s="15"/>
      <c r="E164" s="15"/>
      <c r="F164" s="15"/>
      <c r="G164" s="15"/>
      <c r="H164" s="16"/>
      <c r="I164" s="16"/>
      <c r="J164" s="16"/>
      <c r="K164" s="16"/>
      <c r="L164" s="16"/>
      <c r="M164" s="16"/>
      <c r="N164" s="16"/>
      <c r="O164" s="16"/>
      <c r="P164" s="16"/>
      <c r="Q164" s="16"/>
      <c r="R164" s="16"/>
      <c r="S164" s="16"/>
      <c r="T164" s="16"/>
      <c r="U164" s="16"/>
      <c r="V164" s="16"/>
      <c r="W164" s="15"/>
      <c r="X164" s="15"/>
      <c r="Y164" s="15"/>
      <c r="Z164" s="15"/>
    </row>
    <row r="165" customHeight="1" spans="1:26">
      <c r="A165" s="17"/>
      <c r="B165" s="15"/>
      <c r="C165" s="15"/>
      <c r="D165" s="15"/>
      <c r="E165" s="15"/>
      <c r="F165" s="15"/>
      <c r="G165" s="15"/>
      <c r="H165" s="16"/>
      <c r="I165" s="16"/>
      <c r="J165" s="16"/>
      <c r="K165" s="16"/>
      <c r="L165" s="16"/>
      <c r="M165" s="16"/>
      <c r="N165" s="16"/>
      <c r="O165" s="16"/>
      <c r="P165" s="16"/>
      <c r="Q165" s="16"/>
      <c r="R165" s="16"/>
      <c r="S165" s="16"/>
      <c r="T165" s="16"/>
      <c r="U165" s="16"/>
      <c r="V165" s="16"/>
      <c r="W165" s="15"/>
      <c r="X165" s="15"/>
      <c r="Y165" s="15"/>
      <c r="Z165" s="15"/>
    </row>
    <row r="166" customHeight="1" spans="1:26">
      <c r="A166" s="17"/>
      <c r="B166" s="15"/>
      <c r="C166" s="15"/>
      <c r="D166" s="15"/>
      <c r="E166" s="15"/>
      <c r="F166" s="15"/>
      <c r="G166" s="15"/>
      <c r="H166" s="16"/>
      <c r="I166" s="16"/>
      <c r="J166" s="16"/>
      <c r="K166" s="16"/>
      <c r="L166" s="16"/>
      <c r="M166" s="16"/>
      <c r="N166" s="16"/>
      <c r="O166" s="16"/>
      <c r="P166" s="16"/>
      <c r="Q166" s="16"/>
      <c r="R166" s="16"/>
      <c r="S166" s="16"/>
      <c r="T166" s="16"/>
      <c r="U166" s="16"/>
      <c r="V166" s="16"/>
      <c r="W166" s="15"/>
      <c r="X166" s="15"/>
      <c r="Y166" s="15"/>
      <c r="Z166" s="15"/>
    </row>
    <row r="167" customHeight="1" spans="1:26">
      <c r="A167" s="17"/>
      <c r="B167" s="15"/>
      <c r="C167" s="15"/>
      <c r="D167" s="15"/>
      <c r="E167" s="15"/>
      <c r="F167" s="15"/>
      <c r="G167" s="15"/>
      <c r="H167" s="16"/>
      <c r="I167" s="16"/>
      <c r="J167" s="16"/>
      <c r="K167" s="16"/>
      <c r="L167" s="16"/>
      <c r="M167" s="16"/>
      <c r="N167" s="16"/>
      <c r="O167" s="16"/>
      <c r="P167" s="16"/>
      <c r="Q167" s="16"/>
      <c r="R167" s="16"/>
      <c r="S167" s="16"/>
      <c r="T167" s="16"/>
      <c r="U167" s="16"/>
      <c r="V167" s="16"/>
      <c r="W167" s="15"/>
      <c r="X167" s="15"/>
      <c r="Y167" s="15"/>
      <c r="Z167" s="15"/>
    </row>
    <row r="168" customHeight="1" spans="1:26">
      <c r="A168" s="17"/>
      <c r="B168" s="15"/>
      <c r="C168" s="15"/>
      <c r="D168" s="15"/>
      <c r="E168" s="15"/>
      <c r="F168" s="15"/>
      <c r="G168" s="15"/>
      <c r="H168" s="16"/>
      <c r="I168" s="16"/>
      <c r="J168" s="16"/>
      <c r="K168" s="16"/>
      <c r="L168" s="16"/>
      <c r="M168" s="16"/>
      <c r="N168" s="16"/>
      <c r="O168" s="16"/>
      <c r="P168" s="16"/>
      <c r="Q168" s="16"/>
      <c r="R168" s="16"/>
      <c r="S168" s="16"/>
      <c r="T168" s="16"/>
      <c r="U168" s="16"/>
      <c r="V168" s="16"/>
      <c r="W168" s="15"/>
      <c r="X168" s="15"/>
      <c r="Y168" s="15"/>
      <c r="Z168" s="15"/>
    </row>
    <row r="169" customHeight="1" spans="1:26">
      <c r="A169" s="17"/>
      <c r="B169" s="15"/>
      <c r="C169" s="15"/>
      <c r="D169" s="15"/>
      <c r="E169" s="15"/>
      <c r="F169" s="15"/>
      <c r="G169" s="15"/>
      <c r="H169" s="16"/>
      <c r="I169" s="16"/>
      <c r="J169" s="16"/>
      <c r="K169" s="16"/>
      <c r="L169" s="16"/>
      <c r="M169" s="16"/>
      <c r="N169" s="16"/>
      <c r="O169" s="16"/>
      <c r="P169" s="16"/>
      <c r="Q169" s="16"/>
      <c r="R169" s="16"/>
      <c r="S169" s="16"/>
      <c r="T169" s="16"/>
      <c r="U169" s="16"/>
      <c r="V169" s="16"/>
      <c r="W169" s="15"/>
      <c r="X169" s="15"/>
      <c r="Y169" s="15"/>
      <c r="Z169" s="15"/>
    </row>
    <row r="170" customHeight="1" spans="1:26">
      <c r="A170" s="17"/>
      <c r="B170" s="15"/>
      <c r="C170" s="15"/>
      <c r="D170" s="15"/>
      <c r="E170" s="15"/>
      <c r="F170" s="15"/>
      <c r="G170" s="15"/>
      <c r="H170" s="16"/>
      <c r="I170" s="16"/>
      <c r="J170" s="16"/>
      <c r="K170" s="16"/>
      <c r="L170" s="16"/>
      <c r="M170" s="16"/>
      <c r="N170" s="16"/>
      <c r="O170" s="16"/>
      <c r="P170" s="16"/>
      <c r="Q170" s="16"/>
      <c r="R170" s="16"/>
      <c r="S170" s="16"/>
      <c r="T170" s="16"/>
      <c r="U170" s="16"/>
      <c r="V170" s="16"/>
      <c r="W170" s="15"/>
      <c r="X170" s="15"/>
      <c r="Y170" s="15"/>
      <c r="Z170" s="15"/>
    </row>
    <row r="171" customHeight="1" spans="1:26">
      <c r="A171" s="17"/>
      <c r="B171" s="15"/>
      <c r="C171" s="15"/>
      <c r="D171" s="15"/>
      <c r="E171" s="15"/>
      <c r="F171" s="15"/>
      <c r="G171" s="15"/>
      <c r="H171" s="16"/>
      <c r="I171" s="16"/>
      <c r="J171" s="16"/>
      <c r="K171" s="16"/>
      <c r="L171" s="16"/>
      <c r="M171" s="16"/>
      <c r="N171" s="16"/>
      <c r="O171" s="16"/>
      <c r="P171" s="16"/>
      <c r="Q171" s="16"/>
      <c r="R171" s="16"/>
      <c r="S171" s="16"/>
      <c r="T171" s="16"/>
      <c r="U171" s="16"/>
      <c r="V171" s="16"/>
      <c r="W171" s="15"/>
      <c r="X171" s="15"/>
      <c r="Y171" s="15"/>
      <c r="Z171" s="15"/>
    </row>
    <row r="172" customHeight="1" spans="1:26">
      <c r="A172" s="17"/>
      <c r="B172" s="15"/>
      <c r="C172" s="15"/>
      <c r="D172" s="15"/>
      <c r="E172" s="15"/>
      <c r="F172" s="15"/>
      <c r="G172" s="15"/>
      <c r="H172" s="16"/>
      <c r="I172" s="16"/>
      <c r="J172" s="16"/>
      <c r="K172" s="16"/>
      <c r="L172" s="16"/>
      <c r="M172" s="16"/>
      <c r="N172" s="16"/>
      <c r="O172" s="16"/>
      <c r="P172" s="16"/>
      <c r="Q172" s="16"/>
      <c r="R172" s="16"/>
      <c r="S172" s="16"/>
      <c r="T172" s="16"/>
      <c r="U172" s="16"/>
      <c r="V172" s="16"/>
      <c r="W172" s="15"/>
      <c r="X172" s="15"/>
      <c r="Y172" s="15"/>
      <c r="Z172" s="15"/>
    </row>
    <row r="173" customHeight="1" spans="1:26">
      <c r="A173" s="17"/>
      <c r="B173" s="15"/>
      <c r="C173" s="15"/>
      <c r="D173" s="15"/>
      <c r="E173" s="15"/>
      <c r="F173" s="15"/>
      <c r="G173" s="15"/>
      <c r="H173" s="16"/>
      <c r="I173" s="16"/>
      <c r="J173" s="16"/>
      <c r="K173" s="16"/>
      <c r="L173" s="16"/>
      <c r="M173" s="16"/>
      <c r="N173" s="16"/>
      <c r="O173" s="16"/>
      <c r="P173" s="16"/>
      <c r="Q173" s="16"/>
      <c r="R173" s="16"/>
      <c r="S173" s="16"/>
      <c r="T173" s="16"/>
      <c r="U173" s="16"/>
      <c r="V173" s="16"/>
      <c r="W173" s="15"/>
      <c r="X173" s="15"/>
      <c r="Y173" s="15"/>
      <c r="Z173" s="15"/>
    </row>
    <row r="174" customHeight="1" spans="1:26">
      <c r="A174" s="17"/>
      <c r="B174" s="15"/>
      <c r="C174" s="15"/>
      <c r="D174" s="15"/>
      <c r="E174" s="15"/>
      <c r="F174" s="15"/>
      <c r="G174" s="15"/>
      <c r="H174" s="16"/>
      <c r="I174" s="16"/>
      <c r="J174" s="16"/>
      <c r="K174" s="16"/>
      <c r="L174" s="16"/>
      <c r="M174" s="16"/>
      <c r="N174" s="16"/>
      <c r="O174" s="16"/>
      <c r="P174" s="16"/>
      <c r="Q174" s="16"/>
      <c r="R174" s="16"/>
      <c r="S174" s="16"/>
      <c r="T174" s="16"/>
      <c r="U174" s="16"/>
      <c r="V174" s="16"/>
      <c r="W174" s="15"/>
      <c r="X174" s="15"/>
      <c r="Y174" s="15"/>
      <c r="Z174" s="15"/>
    </row>
    <row r="175" customHeight="1" spans="1:26">
      <c r="A175" s="17"/>
      <c r="B175" s="15"/>
      <c r="C175" s="15"/>
      <c r="D175" s="15"/>
      <c r="E175" s="15"/>
      <c r="F175" s="15"/>
      <c r="G175" s="15"/>
      <c r="H175" s="16"/>
      <c r="I175" s="16"/>
      <c r="J175" s="16"/>
      <c r="K175" s="16"/>
      <c r="L175" s="16"/>
      <c r="M175" s="16"/>
      <c r="N175" s="16"/>
      <c r="O175" s="16"/>
      <c r="P175" s="16"/>
      <c r="Q175" s="16"/>
      <c r="R175" s="16"/>
      <c r="S175" s="16"/>
      <c r="T175" s="16"/>
      <c r="U175" s="16"/>
      <c r="V175" s="16"/>
      <c r="W175" s="15"/>
      <c r="X175" s="15"/>
      <c r="Y175" s="15"/>
      <c r="Z175" s="15"/>
    </row>
    <row r="176" customHeight="1" spans="1:26">
      <c r="A176" s="17"/>
      <c r="B176" s="15"/>
      <c r="C176" s="15"/>
      <c r="D176" s="15"/>
      <c r="E176" s="15"/>
      <c r="F176" s="15"/>
      <c r="G176" s="15"/>
      <c r="H176" s="16"/>
      <c r="I176" s="16"/>
      <c r="J176" s="16"/>
      <c r="K176" s="16"/>
      <c r="L176" s="16"/>
      <c r="M176" s="16"/>
      <c r="N176" s="16"/>
      <c r="O176" s="16"/>
      <c r="P176" s="16"/>
      <c r="Q176" s="16"/>
      <c r="R176" s="16"/>
      <c r="S176" s="16"/>
      <c r="T176" s="16"/>
      <c r="U176" s="16"/>
      <c r="V176" s="16"/>
      <c r="W176" s="15"/>
      <c r="X176" s="15"/>
      <c r="Y176" s="15"/>
      <c r="Z176" s="15"/>
    </row>
    <row r="177" customHeight="1" spans="1:26">
      <c r="A177" s="17"/>
      <c r="B177" s="15"/>
      <c r="C177" s="15"/>
      <c r="D177" s="15"/>
      <c r="E177" s="15"/>
      <c r="F177" s="15"/>
      <c r="G177" s="15"/>
      <c r="H177" s="16"/>
      <c r="I177" s="16"/>
      <c r="J177" s="16"/>
      <c r="K177" s="16"/>
      <c r="L177" s="16"/>
      <c r="M177" s="16"/>
      <c r="N177" s="16"/>
      <c r="O177" s="16"/>
      <c r="P177" s="16"/>
      <c r="Q177" s="16"/>
      <c r="R177" s="16"/>
      <c r="S177" s="16"/>
      <c r="T177" s="16"/>
      <c r="U177" s="16"/>
      <c r="V177" s="16"/>
      <c r="W177" s="15"/>
      <c r="X177" s="15"/>
      <c r="Y177" s="15"/>
      <c r="Z177" s="15"/>
    </row>
    <row r="178" customHeight="1" spans="1:26">
      <c r="A178" s="17"/>
      <c r="B178" s="15"/>
      <c r="C178" s="15"/>
      <c r="D178" s="15"/>
      <c r="E178" s="15"/>
      <c r="F178" s="15"/>
      <c r="G178" s="15"/>
      <c r="H178" s="16"/>
      <c r="I178" s="16"/>
      <c r="J178" s="16"/>
      <c r="K178" s="16"/>
      <c r="L178" s="16"/>
      <c r="M178" s="16"/>
      <c r="N178" s="16"/>
      <c r="O178" s="16"/>
      <c r="P178" s="16"/>
      <c r="Q178" s="16"/>
      <c r="R178" s="16"/>
      <c r="S178" s="16"/>
      <c r="T178" s="16"/>
      <c r="U178" s="16"/>
      <c r="V178" s="16"/>
      <c r="W178" s="15"/>
      <c r="X178" s="15"/>
      <c r="Y178" s="15"/>
      <c r="Z178" s="15"/>
    </row>
    <row r="179" customHeight="1" spans="1:26">
      <c r="A179" s="17"/>
      <c r="B179" s="15"/>
      <c r="C179" s="15"/>
      <c r="D179" s="15"/>
      <c r="E179" s="15"/>
      <c r="F179" s="15"/>
      <c r="G179" s="15"/>
      <c r="H179" s="16"/>
      <c r="I179" s="16"/>
      <c r="J179" s="16"/>
      <c r="K179" s="16"/>
      <c r="L179" s="16"/>
      <c r="M179" s="16"/>
      <c r="N179" s="16"/>
      <c r="O179" s="16"/>
      <c r="P179" s="16"/>
      <c r="Q179" s="16"/>
      <c r="R179" s="16"/>
      <c r="S179" s="16"/>
      <c r="T179" s="16"/>
      <c r="U179" s="16"/>
      <c r="V179" s="16"/>
      <c r="W179" s="15"/>
      <c r="X179" s="15"/>
      <c r="Y179" s="15"/>
      <c r="Z179" s="15"/>
    </row>
    <row r="180" customHeight="1" spans="1:26">
      <c r="A180" s="17"/>
      <c r="B180" s="15"/>
      <c r="C180" s="15"/>
      <c r="D180" s="15"/>
      <c r="E180" s="15"/>
      <c r="F180" s="15"/>
      <c r="G180" s="15"/>
      <c r="H180" s="16"/>
      <c r="I180" s="16"/>
      <c r="J180" s="16"/>
      <c r="K180" s="16"/>
      <c r="L180" s="16"/>
      <c r="M180" s="16"/>
      <c r="N180" s="16"/>
      <c r="O180" s="16"/>
      <c r="P180" s="16"/>
      <c r="Q180" s="16"/>
      <c r="R180" s="16"/>
      <c r="S180" s="16"/>
      <c r="T180" s="16"/>
      <c r="U180" s="16"/>
      <c r="V180" s="16"/>
      <c r="W180" s="15"/>
      <c r="X180" s="15"/>
      <c r="Y180" s="15"/>
      <c r="Z180" s="15"/>
    </row>
    <row r="181" customHeight="1" spans="1:26">
      <c r="A181" s="17"/>
      <c r="B181" s="15"/>
      <c r="C181" s="15"/>
      <c r="D181" s="15"/>
      <c r="E181" s="15"/>
      <c r="F181" s="15"/>
      <c r="G181" s="15"/>
      <c r="H181" s="16"/>
      <c r="I181" s="16"/>
      <c r="J181" s="16"/>
      <c r="K181" s="16"/>
      <c r="L181" s="16"/>
      <c r="M181" s="16"/>
      <c r="N181" s="16"/>
      <c r="O181" s="16"/>
      <c r="P181" s="16"/>
      <c r="Q181" s="16"/>
      <c r="R181" s="16"/>
      <c r="S181" s="16"/>
      <c r="T181" s="16"/>
      <c r="U181" s="16"/>
      <c r="V181" s="16"/>
      <c r="W181" s="15"/>
      <c r="X181" s="15"/>
      <c r="Y181" s="15"/>
      <c r="Z181" s="15"/>
    </row>
    <row r="182" customHeight="1" spans="1:26">
      <c r="A182" s="17"/>
      <c r="B182" s="15"/>
      <c r="C182" s="15"/>
      <c r="D182" s="15"/>
      <c r="E182" s="15"/>
      <c r="F182" s="15"/>
      <c r="G182" s="15"/>
      <c r="H182" s="16"/>
      <c r="I182" s="16"/>
      <c r="J182" s="16"/>
      <c r="K182" s="16"/>
      <c r="L182" s="16"/>
      <c r="M182" s="16"/>
      <c r="N182" s="16"/>
      <c r="O182" s="16"/>
      <c r="P182" s="16"/>
      <c r="Q182" s="16"/>
      <c r="R182" s="16"/>
      <c r="S182" s="16"/>
      <c r="T182" s="16"/>
      <c r="U182" s="16"/>
      <c r="V182" s="16"/>
      <c r="W182" s="15"/>
      <c r="X182" s="15"/>
      <c r="Y182" s="15"/>
      <c r="Z182" s="15"/>
    </row>
    <row r="183" customHeight="1" spans="1:26">
      <c r="A183" s="17"/>
      <c r="B183" s="15"/>
      <c r="C183" s="15"/>
      <c r="D183" s="15"/>
      <c r="E183" s="15"/>
      <c r="F183" s="15"/>
      <c r="G183" s="15"/>
      <c r="H183" s="16"/>
      <c r="I183" s="16"/>
      <c r="J183" s="16"/>
      <c r="K183" s="16"/>
      <c r="L183" s="16"/>
      <c r="M183" s="16"/>
      <c r="N183" s="16"/>
      <c r="O183" s="16"/>
      <c r="P183" s="16"/>
      <c r="Q183" s="16"/>
      <c r="R183" s="16"/>
      <c r="S183" s="16"/>
      <c r="T183" s="16"/>
      <c r="U183" s="16"/>
      <c r="V183" s="16"/>
      <c r="W183" s="15"/>
      <c r="X183" s="15"/>
      <c r="Y183" s="15"/>
      <c r="Z183" s="15"/>
    </row>
    <row r="184" customHeight="1" spans="1:26">
      <c r="A184" s="17"/>
      <c r="B184" s="15"/>
      <c r="C184" s="15"/>
      <c r="D184" s="15"/>
      <c r="E184" s="15"/>
      <c r="F184" s="15"/>
      <c r="G184" s="15"/>
      <c r="H184" s="16"/>
      <c r="I184" s="16"/>
      <c r="J184" s="16"/>
      <c r="K184" s="16"/>
      <c r="L184" s="16"/>
      <c r="M184" s="16"/>
      <c r="N184" s="16"/>
      <c r="O184" s="16"/>
      <c r="P184" s="16"/>
      <c r="Q184" s="16"/>
      <c r="R184" s="16"/>
      <c r="S184" s="16"/>
      <c r="T184" s="16"/>
      <c r="U184" s="16"/>
      <c r="V184" s="16"/>
      <c r="W184" s="15"/>
      <c r="X184" s="15"/>
      <c r="Y184" s="15"/>
      <c r="Z184" s="15"/>
    </row>
    <row r="185" customHeight="1" spans="1:26">
      <c r="A185" s="17"/>
      <c r="B185" s="15"/>
      <c r="C185" s="15"/>
      <c r="D185" s="15"/>
      <c r="E185" s="15"/>
      <c r="F185" s="15"/>
      <c r="G185" s="15"/>
      <c r="H185" s="16"/>
      <c r="I185" s="16"/>
      <c r="J185" s="16"/>
      <c r="K185" s="16"/>
      <c r="L185" s="16"/>
      <c r="M185" s="16"/>
      <c r="N185" s="16"/>
      <c r="O185" s="16"/>
      <c r="P185" s="16"/>
      <c r="Q185" s="16"/>
      <c r="R185" s="16"/>
      <c r="S185" s="16"/>
      <c r="T185" s="16"/>
      <c r="U185" s="16"/>
      <c r="V185" s="16"/>
      <c r="W185" s="15"/>
      <c r="X185" s="15"/>
      <c r="Y185" s="15"/>
      <c r="Z185" s="15"/>
    </row>
    <row r="186" customHeight="1" spans="1:26">
      <c r="A186" s="17"/>
      <c r="B186" s="15"/>
      <c r="C186" s="15"/>
      <c r="D186" s="15"/>
      <c r="E186" s="15"/>
      <c r="F186" s="15"/>
      <c r="G186" s="15"/>
      <c r="H186" s="16"/>
      <c r="I186" s="16"/>
      <c r="J186" s="16"/>
      <c r="K186" s="16"/>
      <c r="L186" s="16"/>
      <c r="M186" s="16"/>
      <c r="N186" s="16"/>
      <c r="O186" s="16"/>
      <c r="P186" s="16"/>
      <c r="Q186" s="16"/>
      <c r="R186" s="16"/>
      <c r="S186" s="16"/>
      <c r="T186" s="16"/>
      <c r="U186" s="16"/>
      <c r="V186" s="16"/>
      <c r="W186" s="15"/>
      <c r="X186" s="15"/>
      <c r="Y186" s="15"/>
      <c r="Z186" s="15"/>
    </row>
    <row r="187" customHeight="1" spans="1:26">
      <c r="A187" s="17"/>
      <c r="B187" s="15"/>
      <c r="C187" s="15"/>
      <c r="D187" s="15"/>
      <c r="E187" s="15"/>
      <c r="F187" s="15"/>
      <c r="G187" s="15"/>
      <c r="H187" s="16"/>
      <c r="I187" s="16"/>
      <c r="J187" s="16"/>
      <c r="K187" s="16"/>
      <c r="L187" s="16"/>
      <c r="M187" s="16"/>
      <c r="N187" s="16"/>
      <c r="O187" s="16"/>
      <c r="P187" s="16"/>
      <c r="Q187" s="16"/>
      <c r="R187" s="16"/>
      <c r="S187" s="16"/>
      <c r="T187" s="16"/>
      <c r="U187" s="16"/>
      <c r="V187" s="16"/>
      <c r="W187" s="15"/>
      <c r="X187" s="15"/>
      <c r="Y187" s="15"/>
      <c r="Z187" s="15"/>
    </row>
    <row r="188" customHeight="1" spans="1:26">
      <c r="A188" s="17"/>
      <c r="B188" s="15"/>
      <c r="C188" s="15"/>
      <c r="D188" s="15"/>
      <c r="E188" s="15"/>
      <c r="F188" s="15"/>
      <c r="G188" s="15"/>
      <c r="H188" s="16"/>
      <c r="I188" s="16"/>
      <c r="J188" s="16"/>
      <c r="K188" s="16"/>
      <c r="L188" s="16"/>
      <c r="M188" s="16"/>
      <c r="N188" s="16"/>
      <c r="O188" s="16"/>
      <c r="P188" s="16"/>
      <c r="Q188" s="16"/>
      <c r="R188" s="16"/>
      <c r="S188" s="16"/>
      <c r="T188" s="16"/>
      <c r="U188" s="16"/>
      <c r="V188" s="16"/>
      <c r="W188" s="15"/>
      <c r="X188" s="15"/>
      <c r="Y188" s="15"/>
      <c r="Z188" s="15"/>
    </row>
    <row r="189" customHeight="1" spans="1:26">
      <c r="A189" s="17"/>
      <c r="B189" s="15"/>
      <c r="C189" s="15"/>
      <c r="D189" s="15"/>
      <c r="E189" s="15"/>
      <c r="F189" s="15"/>
      <c r="G189" s="15"/>
      <c r="H189" s="16"/>
      <c r="I189" s="16"/>
      <c r="J189" s="16"/>
      <c r="K189" s="16"/>
      <c r="L189" s="16"/>
      <c r="M189" s="16"/>
      <c r="N189" s="16"/>
      <c r="O189" s="16"/>
      <c r="P189" s="16"/>
      <c r="Q189" s="16"/>
      <c r="R189" s="16"/>
      <c r="S189" s="16"/>
      <c r="T189" s="16"/>
      <c r="U189" s="16"/>
      <c r="V189" s="16"/>
      <c r="W189" s="15"/>
      <c r="X189" s="15"/>
      <c r="Y189" s="15"/>
      <c r="Z189" s="15"/>
    </row>
    <row r="190" customHeight="1" spans="1:26">
      <c r="A190" s="17"/>
      <c r="B190" s="15"/>
      <c r="C190" s="15"/>
      <c r="D190" s="15"/>
      <c r="E190" s="15"/>
      <c r="F190" s="15"/>
      <c r="G190" s="15"/>
      <c r="H190" s="16"/>
      <c r="I190" s="16"/>
      <c r="J190" s="16"/>
      <c r="K190" s="16"/>
      <c r="L190" s="16"/>
      <c r="M190" s="16"/>
      <c r="N190" s="16"/>
      <c r="O190" s="16"/>
      <c r="P190" s="16"/>
      <c r="Q190" s="16"/>
      <c r="R190" s="16"/>
      <c r="S190" s="16"/>
      <c r="T190" s="16"/>
      <c r="U190" s="16"/>
      <c r="V190" s="16"/>
      <c r="W190" s="15"/>
      <c r="X190" s="15"/>
      <c r="Y190" s="15"/>
      <c r="Z190" s="15"/>
    </row>
    <row r="191" customHeight="1" spans="1:26">
      <c r="A191" s="17"/>
      <c r="B191" s="15"/>
      <c r="C191" s="15"/>
      <c r="D191" s="15"/>
      <c r="E191" s="15"/>
      <c r="F191" s="15"/>
      <c r="G191" s="15"/>
      <c r="H191" s="16"/>
      <c r="I191" s="16"/>
      <c r="J191" s="16"/>
      <c r="K191" s="16"/>
      <c r="L191" s="16"/>
      <c r="M191" s="16"/>
      <c r="N191" s="16"/>
      <c r="O191" s="16"/>
      <c r="P191" s="16"/>
      <c r="Q191" s="16"/>
      <c r="R191" s="16"/>
      <c r="S191" s="16"/>
      <c r="T191" s="16"/>
      <c r="U191" s="16"/>
      <c r="V191" s="16"/>
      <c r="W191" s="15"/>
      <c r="X191" s="15"/>
      <c r="Y191" s="15"/>
      <c r="Z191" s="15"/>
    </row>
    <row r="192" customHeight="1" spans="1:26">
      <c r="A192" s="17"/>
      <c r="B192" s="15"/>
      <c r="C192" s="15"/>
      <c r="D192" s="15"/>
      <c r="E192" s="15"/>
      <c r="F192" s="15"/>
      <c r="G192" s="15"/>
      <c r="H192" s="16"/>
      <c r="I192" s="16"/>
      <c r="J192" s="16"/>
      <c r="K192" s="16"/>
      <c r="L192" s="16"/>
      <c r="M192" s="16"/>
      <c r="N192" s="16"/>
      <c r="O192" s="16"/>
      <c r="P192" s="16"/>
      <c r="Q192" s="16"/>
      <c r="R192" s="16"/>
      <c r="S192" s="16"/>
      <c r="T192" s="16"/>
      <c r="U192" s="16"/>
      <c r="V192" s="16"/>
      <c r="W192" s="15"/>
      <c r="X192" s="15"/>
      <c r="Y192" s="15"/>
      <c r="Z192" s="15"/>
    </row>
    <row r="193" customHeight="1" spans="1:26">
      <c r="A193" s="17"/>
      <c r="B193" s="15"/>
      <c r="C193" s="15"/>
      <c r="D193" s="15"/>
      <c r="E193" s="15"/>
      <c r="F193" s="15"/>
      <c r="G193" s="15"/>
      <c r="H193" s="16"/>
      <c r="I193" s="16"/>
      <c r="J193" s="16"/>
      <c r="K193" s="16"/>
      <c r="L193" s="16"/>
      <c r="M193" s="16"/>
      <c r="N193" s="16"/>
      <c r="O193" s="16"/>
      <c r="P193" s="16"/>
      <c r="Q193" s="16"/>
      <c r="R193" s="16"/>
      <c r="S193" s="16"/>
      <c r="T193" s="16"/>
      <c r="U193" s="16"/>
      <c r="V193" s="16"/>
      <c r="W193" s="15"/>
      <c r="X193" s="15"/>
      <c r="Y193" s="15"/>
      <c r="Z193" s="15"/>
    </row>
    <row r="194" customHeight="1" spans="1:26">
      <c r="A194" s="17"/>
      <c r="B194" s="15"/>
      <c r="C194" s="15"/>
      <c r="D194" s="15"/>
      <c r="E194" s="15"/>
      <c r="F194" s="15"/>
      <c r="G194" s="15"/>
      <c r="H194" s="16"/>
      <c r="I194" s="16"/>
      <c r="J194" s="16"/>
      <c r="K194" s="16"/>
      <c r="L194" s="16"/>
      <c r="M194" s="16"/>
      <c r="N194" s="16"/>
      <c r="O194" s="16"/>
      <c r="P194" s="16"/>
      <c r="Q194" s="16"/>
      <c r="R194" s="16"/>
      <c r="S194" s="16"/>
      <c r="T194" s="16"/>
      <c r="U194" s="16"/>
      <c r="V194" s="16"/>
      <c r="W194" s="15"/>
      <c r="X194" s="15"/>
      <c r="Y194" s="15"/>
      <c r="Z194" s="15"/>
    </row>
    <row r="195" customHeight="1" spans="1:26">
      <c r="A195" s="17"/>
      <c r="B195" s="15"/>
      <c r="C195" s="15"/>
      <c r="D195" s="15"/>
      <c r="E195" s="15"/>
      <c r="F195" s="15"/>
      <c r="G195" s="15"/>
      <c r="H195" s="16"/>
      <c r="I195" s="16"/>
      <c r="J195" s="16"/>
      <c r="K195" s="16"/>
      <c r="L195" s="16"/>
      <c r="M195" s="16"/>
      <c r="N195" s="16"/>
      <c r="O195" s="16"/>
      <c r="P195" s="16"/>
      <c r="Q195" s="16"/>
      <c r="R195" s="16"/>
      <c r="S195" s="16"/>
      <c r="T195" s="16"/>
      <c r="U195" s="16"/>
      <c r="V195" s="16"/>
      <c r="W195" s="15"/>
      <c r="X195" s="15"/>
      <c r="Y195" s="15"/>
      <c r="Z195" s="15"/>
    </row>
    <row r="196" customHeight="1" spans="1:26">
      <c r="A196" s="17"/>
      <c r="B196" s="15"/>
      <c r="C196" s="15"/>
      <c r="D196" s="15"/>
      <c r="E196" s="15"/>
      <c r="F196" s="15"/>
      <c r="G196" s="15"/>
      <c r="H196" s="16"/>
      <c r="I196" s="16"/>
      <c r="J196" s="16"/>
      <c r="K196" s="16"/>
      <c r="L196" s="16"/>
      <c r="M196" s="16"/>
      <c r="N196" s="16"/>
      <c r="O196" s="16"/>
      <c r="P196" s="16"/>
      <c r="Q196" s="16"/>
      <c r="R196" s="16"/>
      <c r="S196" s="16"/>
      <c r="T196" s="16"/>
      <c r="U196" s="16"/>
      <c r="V196" s="16"/>
      <c r="W196" s="15"/>
      <c r="X196" s="15"/>
      <c r="Y196" s="15"/>
      <c r="Z196" s="15"/>
    </row>
    <row r="197" customHeight="1" spans="1:26">
      <c r="A197" s="17"/>
      <c r="B197" s="15"/>
      <c r="C197" s="15"/>
      <c r="D197" s="15"/>
      <c r="E197" s="15"/>
      <c r="F197" s="15"/>
      <c r="G197" s="15"/>
      <c r="H197" s="16"/>
      <c r="I197" s="16"/>
      <c r="J197" s="16"/>
      <c r="K197" s="16"/>
      <c r="L197" s="16"/>
      <c r="M197" s="16"/>
      <c r="N197" s="16"/>
      <c r="O197" s="16"/>
      <c r="P197" s="16"/>
      <c r="Q197" s="16"/>
      <c r="R197" s="16"/>
      <c r="S197" s="16"/>
      <c r="T197" s="16"/>
      <c r="U197" s="16"/>
      <c r="V197" s="16"/>
      <c r="W197" s="15"/>
      <c r="X197" s="15"/>
      <c r="Y197" s="15"/>
      <c r="Z197" s="15"/>
    </row>
    <row r="198" customHeight="1" spans="1:26">
      <c r="A198" s="17"/>
      <c r="B198" s="15"/>
      <c r="C198" s="15"/>
      <c r="D198" s="15"/>
      <c r="E198" s="15"/>
      <c r="F198" s="15"/>
      <c r="G198" s="15"/>
      <c r="H198" s="16"/>
      <c r="I198" s="16"/>
      <c r="J198" s="16"/>
      <c r="K198" s="16"/>
      <c r="L198" s="16"/>
      <c r="M198" s="16"/>
      <c r="N198" s="16"/>
      <c r="O198" s="16"/>
      <c r="P198" s="16"/>
      <c r="Q198" s="16"/>
      <c r="R198" s="16"/>
      <c r="S198" s="16"/>
      <c r="T198" s="16"/>
      <c r="U198" s="16"/>
      <c r="V198" s="16"/>
      <c r="W198" s="15"/>
      <c r="X198" s="15"/>
      <c r="Y198" s="15"/>
      <c r="Z198" s="15"/>
    </row>
    <row r="199" customHeight="1" spans="1:26">
      <c r="A199" s="17"/>
      <c r="B199" s="15"/>
      <c r="C199" s="15"/>
      <c r="D199" s="15"/>
      <c r="E199" s="15"/>
      <c r="F199" s="15"/>
      <c r="G199" s="15"/>
      <c r="H199" s="16"/>
      <c r="I199" s="16"/>
      <c r="J199" s="16"/>
      <c r="K199" s="16"/>
      <c r="L199" s="16"/>
      <c r="M199" s="16"/>
      <c r="N199" s="16"/>
      <c r="O199" s="16"/>
      <c r="P199" s="16"/>
      <c r="Q199" s="16"/>
      <c r="R199" s="16"/>
      <c r="S199" s="16"/>
      <c r="T199" s="16"/>
      <c r="U199" s="16"/>
      <c r="V199" s="16"/>
      <c r="W199" s="15"/>
      <c r="X199" s="15"/>
      <c r="Y199" s="15"/>
      <c r="Z199" s="15"/>
    </row>
    <row r="200" customHeight="1" spans="1:26">
      <c r="A200" s="17"/>
      <c r="B200" s="15"/>
      <c r="C200" s="15"/>
      <c r="D200" s="15"/>
      <c r="E200" s="15"/>
      <c r="F200" s="15"/>
      <c r="G200" s="15"/>
      <c r="H200" s="16"/>
      <c r="I200" s="16"/>
      <c r="J200" s="16"/>
      <c r="K200" s="16"/>
      <c r="L200" s="16"/>
      <c r="M200" s="16"/>
      <c r="N200" s="16"/>
      <c r="O200" s="16"/>
      <c r="P200" s="16"/>
      <c r="Q200" s="16"/>
      <c r="R200" s="16"/>
      <c r="S200" s="16"/>
      <c r="T200" s="16"/>
      <c r="U200" s="16"/>
      <c r="V200" s="16"/>
      <c r="W200" s="15"/>
      <c r="X200" s="15"/>
      <c r="Y200" s="15"/>
      <c r="Z200" s="15"/>
    </row>
    <row r="201" customHeight="1" spans="1:26">
      <c r="A201" s="17"/>
      <c r="B201" s="15"/>
      <c r="C201" s="15"/>
      <c r="D201" s="15"/>
      <c r="E201" s="15"/>
      <c r="F201" s="15"/>
      <c r="G201" s="15"/>
      <c r="H201" s="16"/>
      <c r="I201" s="16"/>
      <c r="J201" s="16"/>
      <c r="K201" s="16"/>
      <c r="L201" s="16"/>
      <c r="M201" s="16"/>
      <c r="N201" s="16"/>
      <c r="O201" s="16"/>
      <c r="P201" s="16"/>
      <c r="Q201" s="16"/>
      <c r="R201" s="16"/>
      <c r="S201" s="16"/>
      <c r="T201" s="16"/>
      <c r="U201" s="16"/>
      <c r="V201" s="16"/>
      <c r="W201" s="15"/>
      <c r="X201" s="15"/>
      <c r="Y201" s="15"/>
      <c r="Z201" s="15"/>
    </row>
    <row r="202" customHeight="1" spans="1:26">
      <c r="A202" s="17"/>
      <c r="B202" s="15"/>
      <c r="C202" s="15"/>
      <c r="D202" s="15"/>
      <c r="E202" s="15"/>
      <c r="F202" s="15"/>
      <c r="G202" s="15"/>
      <c r="H202" s="16"/>
      <c r="I202" s="16"/>
      <c r="J202" s="16"/>
      <c r="K202" s="16"/>
      <c r="L202" s="16"/>
      <c r="M202" s="16"/>
      <c r="N202" s="16"/>
      <c r="O202" s="16"/>
      <c r="P202" s="16"/>
      <c r="Q202" s="16"/>
      <c r="R202" s="16"/>
      <c r="S202" s="16"/>
      <c r="T202" s="16"/>
      <c r="U202" s="16"/>
      <c r="V202" s="16"/>
      <c r="W202" s="15"/>
      <c r="X202" s="15"/>
      <c r="Y202" s="15"/>
      <c r="Z202" s="15"/>
    </row>
    <row r="203" customHeight="1" spans="1:26">
      <c r="A203" s="17"/>
      <c r="B203" s="15"/>
      <c r="C203" s="15"/>
      <c r="D203" s="15"/>
      <c r="E203" s="15"/>
      <c r="F203" s="15"/>
      <c r="G203" s="15"/>
      <c r="H203" s="16"/>
      <c r="I203" s="16"/>
      <c r="J203" s="16"/>
      <c r="K203" s="16"/>
      <c r="L203" s="16"/>
      <c r="M203" s="16"/>
      <c r="N203" s="16"/>
      <c r="O203" s="16"/>
      <c r="P203" s="16"/>
      <c r="Q203" s="16"/>
      <c r="R203" s="16"/>
      <c r="S203" s="16"/>
      <c r="T203" s="16"/>
      <c r="U203" s="16"/>
      <c r="V203" s="16"/>
      <c r="W203" s="15"/>
      <c r="X203" s="15"/>
      <c r="Y203" s="15"/>
      <c r="Z203" s="15"/>
    </row>
    <row r="204" customHeight="1" spans="1:26">
      <c r="A204" s="17"/>
      <c r="B204" s="15"/>
      <c r="C204" s="15"/>
      <c r="D204" s="15"/>
      <c r="E204" s="15"/>
      <c r="F204" s="15"/>
      <c r="G204" s="15"/>
      <c r="H204" s="16"/>
      <c r="I204" s="16"/>
      <c r="J204" s="16"/>
      <c r="K204" s="16"/>
      <c r="L204" s="16"/>
      <c r="M204" s="16"/>
      <c r="N204" s="16"/>
      <c r="O204" s="16"/>
      <c r="P204" s="16"/>
      <c r="Q204" s="16"/>
      <c r="R204" s="16"/>
      <c r="S204" s="16"/>
      <c r="T204" s="16"/>
      <c r="U204" s="16"/>
      <c r="V204" s="16"/>
      <c r="W204" s="15"/>
      <c r="X204" s="15"/>
      <c r="Y204" s="15"/>
      <c r="Z204" s="15"/>
    </row>
    <row r="205" customHeight="1" spans="1:26">
      <c r="A205" s="17"/>
      <c r="B205" s="15"/>
      <c r="C205" s="15"/>
      <c r="D205" s="15"/>
      <c r="E205" s="15"/>
      <c r="F205" s="15"/>
      <c r="G205" s="15"/>
      <c r="H205" s="16"/>
      <c r="I205" s="16"/>
      <c r="J205" s="16"/>
      <c r="K205" s="16"/>
      <c r="L205" s="16"/>
      <c r="M205" s="16"/>
      <c r="N205" s="16"/>
      <c r="O205" s="16"/>
      <c r="P205" s="16"/>
      <c r="Q205" s="16"/>
      <c r="R205" s="16"/>
      <c r="S205" s="16"/>
      <c r="T205" s="16"/>
      <c r="U205" s="16"/>
      <c r="V205" s="16"/>
      <c r="W205" s="15"/>
      <c r="X205" s="15"/>
      <c r="Y205" s="15"/>
      <c r="Z205" s="15"/>
    </row>
    <row r="206" customHeight="1" spans="1:26">
      <c r="A206" s="17"/>
      <c r="B206" s="15"/>
      <c r="C206" s="15"/>
      <c r="D206" s="15"/>
      <c r="E206" s="15"/>
      <c r="F206" s="15"/>
      <c r="G206" s="15"/>
      <c r="H206" s="16"/>
      <c r="I206" s="16"/>
      <c r="J206" s="16"/>
      <c r="K206" s="16"/>
      <c r="L206" s="16"/>
      <c r="M206" s="16"/>
      <c r="N206" s="16"/>
      <c r="O206" s="16"/>
      <c r="P206" s="16"/>
      <c r="Q206" s="16"/>
      <c r="R206" s="16"/>
      <c r="S206" s="16"/>
      <c r="T206" s="16"/>
      <c r="U206" s="16"/>
      <c r="V206" s="16"/>
      <c r="W206" s="15"/>
      <c r="X206" s="15"/>
      <c r="Y206" s="15"/>
      <c r="Z206" s="15"/>
    </row>
    <row r="207" customHeight="1" spans="1:26">
      <c r="A207" s="17"/>
      <c r="B207" s="15"/>
      <c r="C207" s="15"/>
      <c r="D207" s="15"/>
      <c r="E207" s="15"/>
      <c r="F207" s="15"/>
      <c r="G207" s="15"/>
      <c r="H207" s="16"/>
      <c r="I207" s="16"/>
      <c r="J207" s="16"/>
      <c r="K207" s="16"/>
      <c r="L207" s="16"/>
      <c r="M207" s="16"/>
      <c r="N207" s="16"/>
      <c r="O207" s="16"/>
      <c r="P207" s="16"/>
      <c r="Q207" s="16"/>
      <c r="R207" s="16"/>
      <c r="S207" s="16"/>
      <c r="T207" s="16"/>
      <c r="U207" s="16"/>
      <c r="V207" s="16"/>
      <c r="W207" s="15"/>
      <c r="X207" s="15"/>
      <c r="Y207" s="15"/>
      <c r="Z207" s="15"/>
    </row>
    <row r="208" customHeight="1" spans="1:26">
      <c r="A208" s="17"/>
      <c r="B208" s="15"/>
      <c r="C208" s="15"/>
      <c r="D208" s="15"/>
      <c r="E208" s="15"/>
      <c r="F208" s="15"/>
      <c r="G208" s="15"/>
      <c r="H208" s="16"/>
      <c r="I208" s="16"/>
      <c r="J208" s="16"/>
      <c r="K208" s="16"/>
      <c r="L208" s="16"/>
      <c r="M208" s="16"/>
      <c r="N208" s="16"/>
      <c r="O208" s="16"/>
      <c r="P208" s="16"/>
      <c r="Q208" s="16"/>
      <c r="R208" s="16"/>
      <c r="S208" s="16"/>
      <c r="T208" s="16"/>
      <c r="U208" s="16"/>
      <c r="V208" s="16"/>
      <c r="W208" s="15"/>
      <c r="X208" s="15"/>
      <c r="Y208" s="15"/>
      <c r="Z208" s="15"/>
    </row>
    <row r="209" customHeight="1" spans="1:26">
      <c r="A209" s="17"/>
      <c r="B209" s="15"/>
      <c r="C209" s="15"/>
      <c r="D209" s="15"/>
      <c r="E209" s="15"/>
      <c r="F209" s="15"/>
      <c r="G209" s="15"/>
      <c r="H209" s="16"/>
      <c r="I209" s="16"/>
      <c r="J209" s="16"/>
      <c r="K209" s="16"/>
      <c r="L209" s="16"/>
      <c r="M209" s="16"/>
      <c r="N209" s="16"/>
      <c r="O209" s="16"/>
      <c r="P209" s="16"/>
      <c r="Q209" s="16"/>
      <c r="R209" s="16"/>
      <c r="S209" s="16"/>
      <c r="T209" s="16"/>
      <c r="U209" s="16"/>
      <c r="V209" s="16"/>
      <c r="W209" s="15"/>
      <c r="X209" s="15"/>
      <c r="Y209" s="15"/>
      <c r="Z209" s="15"/>
    </row>
    <row r="210" customHeight="1" spans="1:26">
      <c r="A210" s="17"/>
      <c r="B210" s="15"/>
      <c r="C210" s="15"/>
      <c r="D210" s="15"/>
      <c r="E210" s="15"/>
      <c r="F210" s="15"/>
      <c r="G210" s="15"/>
      <c r="H210" s="16"/>
      <c r="I210" s="16"/>
      <c r="J210" s="16"/>
      <c r="K210" s="16"/>
      <c r="L210" s="16"/>
      <c r="M210" s="16"/>
      <c r="N210" s="16"/>
      <c r="O210" s="16"/>
      <c r="P210" s="16"/>
      <c r="Q210" s="16"/>
      <c r="R210" s="16"/>
      <c r="S210" s="16"/>
      <c r="T210" s="16"/>
      <c r="U210" s="16"/>
      <c r="V210" s="16"/>
      <c r="W210" s="15"/>
      <c r="X210" s="15"/>
      <c r="Y210" s="15"/>
      <c r="Z210" s="15"/>
    </row>
    <row r="211" customHeight="1" spans="1:26">
      <c r="A211" s="17"/>
      <c r="B211" s="15"/>
      <c r="C211" s="15"/>
      <c r="D211" s="15"/>
      <c r="E211" s="15"/>
      <c r="F211" s="15"/>
      <c r="G211" s="15"/>
      <c r="H211" s="16"/>
      <c r="I211" s="16"/>
      <c r="J211" s="16"/>
      <c r="K211" s="16"/>
      <c r="L211" s="16"/>
      <c r="M211" s="16"/>
      <c r="N211" s="16"/>
      <c r="O211" s="16"/>
      <c r="P211" s="16"/>
      <c r="Q211" s="16"/>
      <c r="R211" s="16"/>
      <c r="S211" s="16"/>
      <c r="T211" s="16"/>
      <c r="U211" s="16"/>
      <c r="V211" s="16"/>
      <c r="W211" s="15"/>
      <c r="X211" s="15"/>
      <c r="Y211" s="15"/>
      <c r="Z211" s="15"/>
    </row>
    <row r="212" customHeight="1" spans="1:26">
      <c r="A212" s="17"/>
      <c r="B212" s="15"/>
      <c r="C212" s="15"/>
      <c r="D212" s="15"/>
      <c r="E212" s="15"/>
      <c r="F212" s="15"/>
      <c r="G212" s="15"/>
      <c r="H212" s="16"/>
      <c r="I212" s="16"/>
      <c r="J212" s="16"/>
      <c r="K212" s="16"/>
      <c r="L212" s="16"/>
      <c r="M212" s="16"/>
      <c r="N212" s="16"/>
      <c r="O212" s="16"/>
      <c r="P212" s="16"/>
      <c r="Q212" s="16"/>
      <c r="R212" s="16"/>
      <c r="S212" s="16"/>
      <c r="T212" s="16"/>
      <c r="U212" s="16"/>
      <c r="V212" s="16"/>
      <c r="W212" s="15"/>
      <c r="X212" s="15"/>
      <c r="Y212" s="15"/>
      <c r="Z212" s="15"/>
    </row>
    <row r="213" customHeight="1" spans="1:26">
      <c r="A213" s="17"/>
      <c r="B213" s="15"/>
      <c r="C213" s="15"/>
      <c r="D213" s="15"/>
      <c r="E213" s="15"/>
      <c r="F213" s="15"/>
      <c r="G213" s="15"/>
      <c r="H213" s="16"/>
      <c r="I213" s="16"/>
      <c r="J213" s="16"/>
      <c r="K213" s="16"/>
      <c r="L213" s="16"/>
      <c r="M213" s="16"/>
      <c r="N213" s="16"/>
      <c r="O213" s="16"/>
      <c r="P213" s="16"/>
      <c r="Q213" s="16"/>
      <c r="R213" s="16"/>
      <c r="S213" s="16"/>
      <c r="T213" s="16"/>
      <c r="U213" s="16"/>
      <c r="V213" s="16"/>
      <c r="W213" s="15"/>
      <c r="X213" s="15"/>
      <c r="Y213" s="15"/>
      <c r="Z213" s="15"/>
    </row>
    <row r="214" customHeight="1" spans="1:26">
      <c r="A214" s="17"/>
      <c r="B214" s="15"/>
      <c r="C214" s="15"/>
      <c r="D214" s="15"/>
      <c r="E214" s="15"/>
      <c r="F214" s="15"/>
      <c r="G214" s="15"/>
      <c r="H214" s="16"/>
      <c r="I214" s="16"/>
      <c r="J214" s="16"/>
      <c r="K214" s="16"/>
      <c r="L214" s="16"/>
      <c r="M214" s="16"/>
      <c r="N214" s="16"/>
      <c r="O214" s="16"/>
      <c r="P214" s="16"/>
      <c r="Q214" s="16"/>
      <c r="R214" s="16"/>
      <c r="S214" s="16"/>
      <c r="T214" s="16"/>
      <c r="U214" s="16"/>
      <c r="V214" s="16"/>
      <c r="W214" s="15"/>
      <c r="X214" s="15"/>
      <c r="Y214" s="15"/>
      <c r="Z214" s="15"/>
    </row>
    <row r="215" customHeight="1" spans="1:26">
      <c r="A215" s="17"/>
      <c r="B215" s="15"/>
      <c r="C215" s="15"/>
      <c r="D215" s="15"/>
      <c r="E215" s="15"/>
      <c r="F215" s="15"/>
      <c r="G215" s="15"/>
      <c r="H215" s="16"/>
      <c r="I215" s="16"/>
      <c r="J215" s="16"/>
      <c r="K215" s="16"/>
      <c r="L215" s="16"/>
      <c r="M215" s="16"/>
      <c r="N215" s="16"/>
      <c r="O215" s="16"/>
      <c r="P215" s="16"/>
      <c r="Q215" s="16"/>
      <c r="R215" s="16"/>
      <c r="S215" s="16"/>
      <c r="T215" s="16"/>
      <c r="U215" s="16"/>
      <c r="V215" s="16"/>
      <c r="W215" s="15"/>
      <c r="X215" s="15"/>
      <c r="Y215" s="15"/>
      <c r="Z215" s="15"/>
    </row>
    <row r="216" customHeight="1" spans="1:26">
      <c r="A216" s="17"/>
      <c r="B216" s="15"/>
      <c r="C216" s="15"/>
      <c r="D216" s="15"/>
      <c r="E216" s="15"/>
      <c r="F216" s="15"/>
      <c r="G216" s="15"/>
      <c r="H216" s="16"/>
      <c r="I216" s="16"/>
      <c r="J216" s="16"/>
      <c r="K216" s="16"/>
      <c r="L216" s="16"/>
      <c r="M216" s="16"/>
      <c r="N216" s="16"/>
      <c r="O216" s="16"/>
      <c r="P216" s="16"/>
      <c r="Q216" s="16"/>
      <c r="R216" s="16"/>
      <c r="S216" s="16"/>
      <c r="T216" s="16"/>
      <c r="U216" s="16"/>
      <c r="V216" s="16"/>
      <c r="W216" s="15"/>
      <c r="X216" s="15"/>
      <c r="Y216" s="15"/>
      <c r="Z216" s="15"/>
    </row>
    <row r="217" customHeight="1" spans="1:26">
      <c r="A217" s="17"/>
      <c r="B217" s="15"/>
      <c r="C217" s="15"/>
      <c r="D217" s="15"/>
      <c r="E217" s="15"/>
      <c r="F217" s="15"/>
      <c r="G217" s="15"/>
      <c r="H217" s="16"/>
      <c r="I217" s="16"/>
      <c r="J217" s="16"/>
      <c r="K217" s="16"/>
      <c r="L217" s="16"/>
      <c r="M217" s="16"/>
      <c r="N217" s="16"/>
      <c r="O217" s="16"/>
      <c r="P217" s="16"/>
      <c r="Q217" s="16"/>
      <c r="R217" s="16"/>
      <c r="S217" s="16"/>
      <c r="T217" s="16"/>
      <c r="U217" s="16"/>
      <c r="V217" s="16"/>
      <c r="W217" s="15"/>
      <c r="X217" s="15"/>
      <c r="Y217" s="15"/>
      <c r="Z217" s="15"/>
    </row>
    <row r="218" customHeight="1" spans="1:26">
      <c r="A218" s="17"/>
      <c r="B218" s="15"/>
      <c r="C218" s="15"/>
      <c r="D218" s="15"/>
      <c r="E218" s="15"/>
      <c r="F218" s="15"/>
      <c r="G218" s="15"/>
      <c r="H218" s="16"/>
      <c r="I218" s="16"/>
      <c r="J218" s="16"/>
      <c r="K218" s="16"/>
      <c r="L218" s="16"/>
      <c r="M218" s="16"/>
      <c r="N218" s="16"/>
      <c r="O218" s="16"/>
      <c r="P218" s="16"/>
      <c r="Q218" s="16"/>
      <c r="R218" s="16"/>
      <c r="S218" s="16"/>
      <c r="T218" s="16"/>
      <c r="U218" s="16"/>
      <c r="V218" s="16"/>
      <c r="W218" s="15"/>
      <c r="X218" s="15"/>
      <c r="Y218" s="15"/>
      <c r="Z218" s="15"/>
    </row>
    <row r="219" customHeight="1" spans="1:26">
      <c r="A219" s="17"/>
      <c r="B219" s="15"/>
      <c r="C219" s="15"/>
      <c r="D219" s="15"/>
      <c r="E219" s="15"/>
      <c r="F219" s="15"/>
      <c r="G219" s="15"/>
      <c r="H219" s="16"/>
      <c r="I219" s="16"/>
      <c r="J219" s="16"/>
      <c r="K219" s="16"/>
      <c r="L219" s="16"/>
      <c r="M219" s="16"/>
      <c r="N219" s="16"/>
      <c r="O219" s="16"/>
      <c r="P219" s="16"/>
      <c r="Q219" s="16"/>
      <c r="R219" s="16"/>
      <c r="S219" s="16"/>
      <c r="T219" s="16"/>
      <c r="U219" s="16"/>
      <c r="V219" s="16"/>
      <c r="W219" s="15"/>
      <c r="X219" s="15"/>
      <c r="Y219" s="15"/>
      <c r="Z219" s="15"/>
    </row>
    <row r="220" customHeight="1" spans="1:26">
      <c r="A220" s="17"/>
      <c r="B220" s="15"/>
      <c r="C220" s="15"/>
      <c r="D220" s="15"/>
      <c r="E220" s="15"/>
      <c r="F220" s="15"/>
      <c r="G220" s="15"/>
      <c r="H220" s="16"/>
      <c r="I220" s="16"/>
      <c r="J220" s="16"/>
      <c r="K220" s="16"/>
      <c r="L220" s="16"/>
      <c r="M220" s="16"/>
      <c r="N220" s="16"/>
      <c r="O220" s="16"/>
      <c r="P220" s="16"/>
      <c r="Q220" s="16"/>
      <c r="R220" s="16"/>
      <c r="S220" s="16"/>
      <c r="T220" s="16"/>
      <c r="U220" s="16"/>
      <c r="V220" s="16"/>
      <c r="W220" s="15"/>
      <c r="X220" s="15"/>
      <c r="Y220" s="15"/>
      <c r="Z220" s="15"/>
    </row>
    <row r="221" customHeight="1" spans="1:26">
      <c r="A221" s="17"/>
      <c r="B221" s="15"/>
      <c r="C221" s="15"/>
      <c r="D221" s="15"/>
      <c r="E221" s="15"/>
      <c r="F221" s="15"/>
      <c r="G221" s="15"/>
      <c r="H221" s="16"/>
      <c r="I221" s="16"/>
      <c r="J221" s="16"/>
      <c r="K221" s="16"/>
      <c r="L221" s="16"/>
      <c r="M221" s="16"/>
      <c r="N221" s="16"/>
      <c r="O221" s="16"/>
      <c r="P221" s="16"/>
      <c r="Q221" s="16"/>
      <c r="R221" s="16"/>
      <c r="S221" s="16"/>
      <c r="T221" s="16"/>
      <c r="U221" s="16"/>
      <c r="V221" s="16"/>
      <c r="W221" s="15"/>
      <c r="X221" s="15"/>
      <c r="Y221" s="15"/>
      <c r="Z221" s="15"/>
    </row>
    <row r="222" customHeight="1" spans="1:26">
      <c r="A222" s="17"/>
      <c r="B222" s="15"/>
      <c r="C222" s="15"/>
      <c r="D222" s="15"/>
      <c r="E222" s="15"/>
      <c r="F222" s="15"/>
      <c r="G222" s="15"/>
      <c r="H222" s="16"/>
      <c r="I222" s="16"/>
      <c r="J222" s="16"/>
      <c r="K222" s="16"/>
      <c r="L222" s="16"/>
      <c r="M222" s="16"/>
      <c r="N222" s="16"/>
      <c r="O222" s="16"/>
      <c r="P222" s="16"/>
      <c r="Q222" s="16"/>
      <c r="R222" s="16"/>
      <c r="S222" s="16"/>
      <c r="T222" s="16"/>
      <c r="U222" s="16"/>
      <c r="V222" s="16"/>
      <c r="W222" s="15"/>
      <c r="X222" s="15"/>
      <c r="Y222" s="15"/>
      <c r="Z222" s="15"/>
    </row>
    <row r="223" customHeight="1" spans="1:26">
      <c r="A223" s="17"/>
      <c r="B223" s="15"/>
      <c r="C223" s="15"/>
      <c r="D223" s="15"/>
      <c r="E223" s="15"/>
      <c r="F223" s="15"/>
      <c r="G223" s="15"/>
      <c r="H223" s="16"/>
      <c r="I223" s="16"/>
      <c r="J223" s="16"/>
      <c r="K223" s="16"/>
      <c r="L223" s="16"/>
      <c r="M223" s="16"/>
      <c r="N223" s="16"/>
      <c r="O223" s="16"/>
      <c r="P223" s="16"/>
      <c r="Q223" s="16"/>
      <c r="R223" s="16"/>
      <c r="S223" s="16"/>
      <c r="T223" s="16"/>
      <c r="U223" s="16"/>
      <c r="V223" s="16"/>
      <c r="W223" s="15"/>
      <c r="X223" s="15"/>
      <c r="Y223" s="15"/>
      <c r="Z223" s="15"/>
    </row>
    <row r="224" customHeight="1" spans="1:26">
      <c r="A224" s="17"/>
      <c r="B224" s="15"/>
      <c r="C224" s="15"/>
      <c r="D224" s="15"/>
      <c r="E224" s="15"/>
      <c r="F224" s="15"/>
      <c r="G224" s="15"/>
      <c r="H224" s="16"/>
      <c r="I224" s="16"/>
      <c r="J224" s="16"/>
      <c r="K224" s="16"/>
      <c r="L224" s="16"/>
      <c r="M224" s="16"/>
      <c r="N224" s="16"/>
      <c r="O224" s="16"/>
      <c r="P224" s="16"/>
      <c r="Q224" s="16"/>
      <c r="R224" s="16"/>
      <c r="S224" s="16"/>
      <c r="T224" s="16"/>
      <c r="U224" s="16"/>
      <c r="V224" s="16"/>
      <c r="W224" s="15"/>
      <c r="X224" s="15"/>
      <c r="Y224" s="15"/>
      <c r="Z224" s="15"/>
    </row>
    <row r="225" customHeight="1" spans="1:26">
      <c r="A225" s="17"/>
      <c r="B225" s="15"/>
      <c r="C225" s="15"/>
      <c r="D225" s="15"/>
      <c r="E225" s="15"/>
      <c r="F225" s="15"/>
      <c r="G225" s="15"/>
      <c r="H225" s="16"/>
      <c r="I225" s="16"/>
      <c r="J225" s="16"/>
      <c r="K225" s="16"/>
      <c r="L225" s="16"/>
      <c r="M225" s="16"/>
      <c r="N225" s="16"/>
      <c r="O225" s="16"/>
      <c r="P225" s="16"/>
      <c r="Q225" s="16"/>
      <c r="R225" s="16"/>
      <c r="S225" s="16"/>
      <c r="T225" s="16"/>
      <c r="U225" s="16"/>
      <c r="V225" s="16"/>
      <c r="W225" s="15"/>
      <c r="X225" s="15"/>
      <c r="Y225" s="15"/>
      <c r="Z225" s="15"/>
    </row>
    <row r="226" customHeight="1" spans="1:26">
      <c r="A226" s="17"/>
      <c r="B226" s="15"/>
      <c r="C226" s="15"/>
      <c r="D226" s="15"/>
      <c r="E226" s="15"/>
      <c r="F226" s="15"/>
      <c r="G226" s="15"/>
      <c r="H226" s="16"/>
      <c r="I226" s="16"/>
      <c r="J226" s="16"/>
      <c r="K226" s="16"/>
      <c r="L226" s="16"/>
      <c r="M226" s="16"/>
      <c r="N226" s="16"/>
      <c r="O226" s="16"/>
      <c r="P226" s="16"/>
      <c r="Q226" s="16"/>
      <c r="R226" s="16"/>
      <c r="S226" s="16"/>
      <c r="T226" s="16"/>
      <c r="U226" s="16"/>
      <c r="V226" s="16"/>
      <c r="W226" s="15"/>
      <c r="X226" s="15"/>
      <c r="Y226" s="15"/>
      <c r="Z226" s="15"/>
    </row>
    <row r="227" customHeight="1" spans="1:26">
      <c r="A227" s="17"/>
      <c r="B227" s="15"/>
      <c r="C227" s="15"/>
      <c r="D227" s="15"/>
      <c r="E227" s="15"/>
      <c r="F227" s="15"/>
      <c r="G227" s="15"/>
      <c r="H227" s="16"/>
      <c r="I227" s="16"/>
      <c r="J227" s="16"/>
      <c r="K227" s="16"/>
      <c r="L227" s="16"/>
      <c r="M227" s="16"/>
      <c r="N227" s="16"/>
      <c r="O227" s="16"/>
      <c r="P227" s="16"/>
      <c r="Q227" s="16"/>
      <c r="R227" s="16"/>
      <c r="S227" s="16"/>
      <c r="T227" s="16"/>
      <c r="U227" s="16"/>
      <c r="V227" s="16"/>
      <c r="W227" s="15"/>
      <c r="X227" s="15"/>
      <c r="Y227" s="15"/>
      <c r="Z227" s="15"/>
    </row>
    <row r="228" customHeight="1" spans="1:26">
      <c r="A228" s="17"/>
      <c r="B228" s="15"/>
      <c r="C228" s="15"/>
      <c r="D228" s="15"/>
      <c r="E228" s="15"/>
      <c r="F228" s="15"/>
      <c r="G228" s="15"/>
      <c r="H228" s="16"/>
      <c r="I228" s="16"/>
      <c r="J228" s="16"/>
      <c r="K228" s="16"/>
      <c r="L228" s="16"/>
      <c r="M228" s="16"/>
      <c r="N228" s="16"/>
      <c r="O228" s="16"/>
      <c r="P228" s="16"/>
      <c r="Q228" s="16"/>
      <c r="R228" s="16"/>
      <c r="S228" s="16"/>
      <c r="T228" s="16"/>
      <c r="U228" s="16"/>
      <c r="V228" s="16"/>
      <c r="W228" s="15"/>
      <c r="X228" s="15"/>
      <c r="Y228" s="15"/>
      <c r="Z228" s="15"/>
    </row>
    <row r="229" customHeight="1" spans="1:26">
      <c r="A229" s="17"/>
      <c r="B229" s="15"/>
      <c r="C229" s="15"/>
      <c r="D229" s="15"/>
      <c r="E229" s="15"/>
      <c r="F229" s="15"/>
      <c r="G229" s="15"/>
      <c r="H229" s="16"/>
      <c r="I229" s="16"/>
      <c r="J229" s="16"/>
      <c r="K229" s="16"/>
      <c r="L229" s="16"/>
      <c r="M229" s="16"/>
      <c r="N229" s="16"/>
      <c r="O229" s="16"/>
      <c r="P229" s="16"/>
      <c r="Q229" s="16"/>
      <c r="R229" s="16"/>
      <c r="S229" s="16"/>
      <c r="T229" s="16"/>
      <c r="U229" s="16"/>
      <c r="V229" s="16"/>
      <c r="W229" s="15"/>
      <c r="X229" s="15"/>
      <c r="Y229" s="15"/>
      <c r="Z229" s="15"/>
    </row>
    <row r="230" customHeight="1" spans="1:26">
      <c r="A230" s="17"/>
      <c r="B230" s="15"/>
      <c r="C230" s="15"/>
      <c r="D230" s="15"/>
      <c r="E230" s="15"/>
      <c r="F230" s="15"/>
      <c r="G230" s="15"/>
      <c r="H230" s="16"/>
      <c r="I230" s="16"/>
      <c r="J230" s="16"/>
      <c r="K230" s="16"/>
      <c r="L230" s="16"/>
      <c r="M230" s="16"/>
      <c r="N230" s="16"/>
      <c r="O230" s="16"/>
      <c r="P230" s="16"/>
      <c r="Q230" s="16"/>
      <c r="R230" s="16"/>
      <c r="S230" s="16"/>
      <c r="T230" s="16"/>
      <c r="U230" s="16"/>
      <c r="V230" s="16"/>
      <c r="W230" s="15"/>
      <c r="X230" s="15"/>
      <c r="Y230" s="15"/>
      <c r="Z230" s="15"/>
    </row>
    <row r="231" customHeight="1" spans="1:26">
      <c r="A231" s="17"/>
      <c r="B231" s="15"/>
      <c r="C231" s="15"/>
      <c r="D231" s="15"/>
      <c r="E231" s="15"/>
      <c r="F231" s="15"/>
      <c r="G231" s="15"/>
      <c r="H231" s="16"/>
      <c r="I231" s="16"/>
      <c r="J231" s="16"/>
      <c r="K231" s="16"/>
      <c r="L231" s="16"/>
      <c r="M231" s="16"/>
      <c r="N231" s="16"/>
      <c r="O231" s="16"/>
      <c r="P231" s="16"/>
      <c r="Q231" s="16"/>
      <c r="R231" s="16"/>
      <c r="S231" s="16"/>
      <c r="T231" s="16"/>
      <c r="U231" s="16"/>
      <c r="V231" s="16"/>
      <c r="W231" s="15"/>
      <c r="X231" s="15"/>
      <c r="Y231" s="15"/>
      <c r="Z231" s="15"/>
    </row>
    <row r="232" customHeight="1" spans="1:26">
      <c r="A232" s="17"/>
      <c r="B232" s="15"/>
      <c r="C232" s="15"/>
      <c r="D232" s="15"/>
      <c r="E232" s="15"/>
      <c r="F232" s="15"/>
      <c r="G232" s="15"/>
      <c r="H232" s="16"/>
      <c r="I232" s="16"/>
      <c r="J232" s="16"/>
      <c r="K232" s="16"/>
      <c r="L232" s="16"/>
      <c r="M232" s="16"/>
      <c r="N232" s="16"/>
      <c r="O232" s="16"/>
      <c r="P232" s="16"/>
      <c r="Q232" s="16"/>
      <c r="R232" s="16"/>
      <c r="S232" s="16"/>
      <c r="T232" s="16"/>
      <c r="U232" s="16"/>
      <c r="V232" s="16"/>
      <c r="W232" s="15"/>
      <c r="X232" s="15"/>
      <c r="Y232" s="15"/>
      <c r="Z232" s="15"/>
    </row>
    <row r="233" customHeight="1" spans="1:26">
      <c r="A233" s="17"/>
      <c r="B233" s="15"/>
      <c r="C233" s="15"/>
      <c r="D233" s="15"/>
      <c r="E233" s="15"/>
      <c r="F233" s="15"/>
      <c r="G233" s="15"/>
      <c r="H233" s="16"/>
      <c r="I233" s="16"/>
      <c r="J233" s="16"/>
      <c r="K233" s="16"/>
      <c r="L233" s="16"/>
      <c r="M233" s="16"/>
      <c r="N233" s="16"/>
      <c r="O233" s="16"/>
      <c r="P233" s="16"/>
      <c r="Q233" s="16"/>
      <c r="R233" s="16"/>
      <c r="S233" s="16"/>
      <c r="T233" s="16"/>
      <c r="U233" s="16"/>
      <c r="V233" s="16"/>
      <c r="W233" s="15"/>
      <c r="X233" s="15"/>
      <c r="Y233" s="15"/>
      <c r="Z233" s="15"/>
    </row>
    <row r="234" customHeight="1" spans="1:26">
      <c r="A234" s="17"/>
      <c r="B234" s="15"/>
      <c r="C234" s="15"/>
      <c r="D234" s="15"/>
      <c r="E234" s="15"/>
      <c r="F234" s="15"/>
      <c r="G234" s="15"/>
      <c r="H234" s="16"/>
      <c r="I234" s="16"/>
      <c r="J234" s="16"/>
      <c r="K234" s="16"/>
      <c r="L234" s="16"/>
      <c r="M234" s="16"/>
      <c r="N234" s="16"/>
      <c r="O234" s="16"/>
      <c r="P234" s="16"/>
      <c r="Q234" s="16"/>
      <c r="R234" s="16"/>
      <c r="S234" s="16"/>
      <c r="T234" s="16"/>
      <c r="U234" s="16"/>
      <c r="V234" s="16"/>
      <c r="W234" s="15"/>
      <c r="X234" s="15"/>
      <c r="Y234" s="15"/>
      <c r="Z234" s="15"/>
    </row>
    <row r="235" customHeight="1" spans="1:26">
      <c r="A235" s="17"/>
      <c r="B235" s="15"/>
      <c r="C235" s="15"/>
      <c r="D235" s="15"/>
      <c r="E235" s="15"/>
      <c r="F235" s="15"/>
      <c r="G235" s="15"/>
      <c r="H235" s="16"/>
      <c r="I235" s="16"/>
      <c r="J235" s="16"/>
      <c r="K235" s="16"/>
      <c r="L235" s="16"/>
      <c r="M235" s="16"/>
      <c r="N235" s="16"/>
      <c r="O235" s="16"/>
      <c r="P235" s="16"/>
      <c r="Q235" s="16"/>
      <c r="R235" s="16"/>
      <c r="S235" s="16"/>
      <c r="T235" s="16"/>
      <c r="U235" s="16"/>
      <c r="V235" s="16"/>
      <c r="W235" s="15"/>
      <c r="X235" s="15"/>
      <c r="Y235" s="15"/>
      <c r="Z235" s="15"/>
    </row>
    <row r="236" customHeight="1" spans="1:26">
      <c r="A236" s="17"/>
      <c r="B236" s="15"/>
      <c r="C236" s="15"/>
      <c r="D236" s="15"/>
      <c r="E236" s="15"/>
      <c r="F236" s="15"/>
      <c r="G236" s="15"/>
      <c r="H236" s="16"/>
      <c r="I236" s="16"/>
      <c r="J236" s="16"/>
      <c r="K236" s="16"/>
      <c r="L236" s="16"/>
      <c r="M236" s="16"/>
      <c r="N236" s="16"/>
      <c r="O236" s="16"/>
      <c r="P236" s="16"/>
      <c r="Q236" s="16"/>
      <c r="R236" s="16"/>
      <c r="S236" s="16"/>
      <c r="T236" s="16"/>
      <c r="U236" s="16"/>
      <c r="V236" s="16"/>
      <c r="W236" s="15"/>
      <c r="X236" s="15"/>
      <c r="Y236" s="15"/>
      <c r="Z236" s="15"/>
    </row>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24">
    <mergeCell ref="H2:I2"/>
    <mergeCell ref="J2:K2"/>
    <mergeCell ref="L2:M2"/>
    <mergeCell ref="H10:L10"/>
    <mergeCell ref="M10:Q10"/>
    <mergeCell ref="R10:V10"/>
    <mergeCell ref="H11:J11"/>
    <mergeCell ref="M11:O11"/>
    <mergeCell ref="R11:T11"/>
    <mergeCell ref="A10:A12"/>
    <mergeCell ref="B10:B12"/>
    <mergeCell ref="C10:C12"/>
    <mergeCell ref="D10:D12"/>
    <mergeCell ref="E10:E12"/>
    <mergeCell ref="F10:F12"/>
    <mergeCell ref="G10:G12"/>
    <mergeCell ref="K11:K12"/>
    <mergeCell ref="L11:L12"/>
    <mergeCell ref="N2:N3"/>
    <mergeCell ref="P11:P12"/>
    <mergeCell ref="Q11:Q12"/>
    <mergeCell ref="U11:U12"/>
    <mergeCell ref="V11:V12"/>
    <mergeCell ref="W10:W12"/>
  </mergeCells>
  <dataValidations count="1">
    <dataValidation type="list" allowBlank="1" showErrorMessage="1" sqref="H13:I36 R13:S36 M13:N36">
      <formula1>"Passed,Failed,Blocked,Not Run"</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showGridLines="0" workbookViewId="0">
      <selection activeCell="A1" sqref="A1"/>
    </sheetView>
  </sheetViews>
  <sheetFormatPr defaultColWidth="12.6296296296296" defaultRowHeight="15.75" customHeight="1"/>
  <cols>
    <col min="1" max="1" width="12.6296296296296" customWidth="1"/>
    <col min="2" max="2" width="15.6296296296296" customWidth="1"/>
    <col min="3" max="3" width="18.75" customWidth="1"/>
    <col min="4" max="4" width="25.1296296296296" customWidth="1"/>
    <col min="5" max="5" width="28.3796296296296" customWidth="1"/>
    <col min="6" max="7" width="37.6296296296296" customWidth="1"/>
    <col min="8" max="9" width="18.5" customWidth="1"/>
    <col min="10" max="10" width="19.5" customWidth="1"/>
    <col min="11" max="11" width="23.75" customWidth="1"/>
    <col min="12" max="12" width="14.75" customWidth="1"/>
    <col min="13" max="14" width="18.5" customWidth="1"/>
    <col min="15" max="15" width="19.5" customWidth="1"/>
    <col min="16" max="16" width="27.75" customWidth="1"/>
    <col min="17" max="17" width="15.3796296296296" customWidth="1"/>
    <col min="18" max="19" width="18.5" customWidth="1"/>
    <col min="20" max="20" width="19.5" customWidth="1"/>
    <col min="21" max="21" width="26.3796296296296" customWidth="1"/>
    <col min="22" max="22" width="15" customWidth="1"/>
    <col min="23" max="23" width="27" customWidth="1"/>
    <col min="24" max="26" width="11.8796296296296" customWidth="1"/>
  </cols>
  <sheetData>
    <row r="1" customHeight="1" spans="1:26">
      <c r="A1" s="14" t="s">
        <v>86</v>
      </c>
      <c r="B1" s="15"/>
      <c r="C1" s="15"/>
      <c r="D1" s="15"/>
      <c r="E1" s="15"/>
      <c r="F1" s="15"/>
      <c r="G1" s="15"/>
      <c r="H1" s="16"/>
      <c r="I1" s="16"/>
      <c r="J1" s="16"/>
      <c r="K1" s="16"/>
      <c r="L1" s="16"/>
      <c r="M1" s="16"/>
      <c r="N1" s="16"/>
      <c r="O1" s="16"/>
      <c r="P1" s="16"/>
      <c r="Q1" s="16"/>
      <c r="R1" s="16"/>
      <c r="S1" s="16"/>
      <c r="T1" s="16"/>
      <c r="U1" s="16"/>
      <c r="V1" s="16"/>
      <c r="W1" s="15"/>
      <c r="X1" s="15"/>
      <c r="Y1" s="15"/>
      <c r="Z1" s="15"/>
    </row>
    <row r="2" customHeight="1" spans="1:26">
      <c r="A2" s="17"/>
      <c r="B2" s="15"/>
      <c r="C2" s="15"/>
      <c r="D2" s="15"/>
      <c r="E2" s="15"/>
      <c r="F2" s="15"/>
      <c r="G2" s="15"/>
      <c r="H2" s="18" t="s">
        <v>64</v>
      </c>
      <c r="I2" s="31"/>
      <c r="J2" s="18" t="s">
        <v>65</v>
      </c>
      <c r="K2" s="31"/>
      <c r="L2" s="18" t="s">
        <v>66</v>
      </c>
      <c r="M2" s="31"/>
      <c r="N2" s="23" t="s">
        <v>87</v>
      </c>
      <c r="O2" s="16"/>
      <c r="P2" s="16"/>
      <c r="Q2" s="16"/>
      <c r="R2" s="16"/>
      <c r="S2" s="16"/>
      <c r="T2" s="16"/>
      <c r="U2" s="16"/>
      <c r="V2" s="16"/>
      <c r="W2" s="15"/>
      <c r="X2" s="15"/>
      <c r="Y2" s="15"/>
      <c r="Z2" s="15"/>
    </row>
    <row r="3" customHeight="1" spans="1:26">
      <c r="A3" s="6" t="s">
        <v>26</v>
      </c>
      <c r="B3" s="6" t="s">
        <v>88</v>
      </c>
      <c r="C3" s="15"/>
      <c r="D3" s="6" t="s">
        <v>89</v>
      </c>
      <c r="E3" s="6" t="s">
        <v>90</v>
      </c>
      <c r="F3" s="15"/>
      <c r="G3" s="19"/>
      <c r="H3" s="6" t="s">
        <v>67</v>
      </c>
      <c r="I3" s="6" t="s">
        <v>68</v>
      </c>
      <c r="J3" s="6" t="s">
        <v>67</v>
      </c>
      <c r="K3" s="6" t="s">
        <v>68</v>
      </c>
      <c r="L3" s="6" t="s">
        <v>67</v>
      </c>
      <c r="M3" s="6" t="s">
        <v>68</v>
      </c>
      <c r="N3" s="25"/>
      <c r="O3" s="16"/>
      <c r="P3" s="16"/>
      <c r="Q3" s="16"/>
      <c r="R3" s="16"/>
      <c r="S3" s="16"/>
      <c r="T3" s="16"/>
      <c r="U3" s="16"/>
      <c r="V3" s="16"/>
      <c r="W3" s="15"/>
      <c r="X3" s="15"/>
      <c r="Y3" s="15"/>
      <c r="Z3" s="15"/>
    </row>
    <row r="4" customHeight="1" spans="1:26">
      <c r="A4" s="20" t="s">
        <v>13</v>
      </c>
      <c r="B4" s="21" t="s">
        <v>41</v>
      </c>
      <c r="C4" s="15"/>
      <c r="D4" s="20" t="s">
        <v>344</v>
      </c>
      <c r="E4" s="21" t="s">
        <v>345</v>
      </c>
      <c r="F4" s="15"/>
      <c r="G4" s="6" t="s">
        <v>96</v>
      </c>
      <c r="H4" s="22">
        <f t="shared" ref="H4:I4" si="0">COUNTIF(H13:H215,"PASSED")</f>
        <v>13</v>
      </c>
      <c r="I4" s="22">
        <f t="shared" si="0"/>
        <v>15</v>
      </c>
      <c r="J4" s="22">
        <f t="shared" ref="J4:K4" si="1">COUNTIF(M13:M215,"PASSED")</f>
        <v>15</v>
      </c>
      <c r="K4" s="22">
        <f t="shared" si="1"/>
        <v>14</v>
      </c>
      <c r="L4" s="22">
        <f t="shared" ref="L4:M4" si="2">COUNTIF(R13:R215,"PASSED")</f>
        <v>16</v>
      </c>
      <c r="M4" s="22">
        <f t="shared" si="2"/>
        <v>16</v>
      </c>
      <c r="N4" s="22">
        <f t="shared" ref="N4:N8" si="3">SUM(H4:M4)</f>
        <v>89</v>
      </c>
      <c r="O4" s="16"/>
      <c r="P4" s="16"/>
      <c r="Q4" s="16"/>
      <c r="R4" s="16"/>
      <c r="S4" s="16"/>
      <c r="T4" s="16"/>
      <c r="U4" s="16"/>
      <c r="V4" s="16"/>
      <c r="W4" s="15"/>
      <c r="X4" s="15"/>
      <c r="Y4" s="15"/>
      <c r="Z4" s="15"/>
    </row>
    <row r="5" customHeight="1" spans="1:26">
      <c r="A5" s="20"/>
      <c r="B5" s="20"/>
      <c r="C5" s="15"/>
      <c r="D5" s="20" t="s">
        <v>346</v>
      </c>
      <c r="E5" s="21" t="s">
        <v>347</v>
      </c>
      <c r="F5" s="15"/>
      <c r="G5" s="6" t="s">
        <v>97</v>
      </c>
      <c r="H5" s="22">
        <f t="shared" ref="H5:I5" si="4">COUNTIF(H13:H225,"FAILED")</f>
        <v>3</v>
      </c>
      <c r="I5" s="22">
        <f t="shared" si="4"/>
        <v>1</v>
      </c>
      <c r="J5" s="22">
        <f t="shared" ref="J5:K5" si="5">COUNTIF(M14:M216,"FAILED")</f>
        <v>1</v>
      </c>
      <c r="K5" s="22">
        <f t="shared" si="5"/>
        <v>2</v>
      </c>
      <c r="L5" s="22">
        <f t="shared" ref="L5:M5" si="6">COUNTIF(R14:R216,"FAILED")</f>
        <v>0</v>
      </c>
      <c r="M5" s="22">
        <f t="shared" si="6"/>
        <v>0</v>
      </c>
      <c r="N5" s="22">
        <f t="shared" si="3"/>
        <v>7</v>
      </c>
      <c r="O5" s="16"/>
      <c r="P5" s="16"/>
      <c r="Q5" s="16"/>
      <c r="R5" s="16"/>
      <c r="S5" s="16"/>
      <c r="T5" s="16"/>
      <c r="U5" s="16"/>
      <c r="V5" s="16"/>
      <c r="W5" s="15"/>
      <c r="X5" s="15"/>
      <c r="Y5" s="15"/>
      <c r="Z5" s="15"/>
    </row>
    <row r="6" customHeight="1" spans="1:26">
      <c r="A6" s="20"/>
      <c r="B6" s="20"/>
      <c r="C6" s="15"/>
      <c r="D6" s="20" t="s">
        <v>348</v>
      </c>
      <c r="E6" s="21" t="s">
        <v>349</v>
      </c>
      <c r="F6" s="15"/>
      <c r="G6" s="6" t="s">
        <v>98</v>
      </c>
      <c r="H6" s="22">
        <f t="shared" ref="H6:I6" si="7">COUNTIF(H13:H235,"BLOCKED")</f>
        <v>0</v>
      </c>
      <c r="I6" s="22">
        <f t="shared" si="7"/>
        <v>0</v>
      </c>
      <c r="J6" s="22">
        <f t="shared" ref="J6:K6" si="8">COUNTIF(M15:M217,"BLOCKED")</f>
        <v>0</v>
      </c>
      <c r="K6" s="22">
        <f t="shared" si="8"/>
        <v>0</v>
      </c>
      <c r="L6" s="22">
        <f t="shared" ref="L6:M6" si="9">COUNTIF(R15:R217,"BLOCKED")</f>
        <v>0</v>
      </c>
      <c r="M6" s="22">
        <f t="shared" si="9"/>
        <v>0</v>
      </c>
      <c r="N6" s="22">
        <f t="shared" si="3"/>
        <v>0</v>
      </c>
      <c r="O6" s="16"/>
      <c r="P6" s="16"/>
      <c r="Q6" s="16"/>
      <c r="R6" s="16"/>
      <c r="S6" s="16"/>
      <c r="T6" s="16"/>
      <c r="U6" s="16"/>
      <c r="V6" s="16"/>
      <c r="W6" s="15"/>
      <c r="X6" s="15"/>
      <c r="Y6" s="15"/>
      <c r="Z6" s="15"/>
    </row>
    <row r="7" customHeight="1" spans="1:26">
      <c r="A7" s="20"/>
      <c r="B7" s="20"/>
      <c r="C7" s="15"/>
      <c r="D7" s="20"/>
      <c r="E7" s="20"/>
      <c r="F7" s="15"/>
      <c r="G7" s="6" t="s">
        <v>99</v>
      </c>
      <c r="H7" s="22">
        <f t="shared" ref="H7:I7" si="10">COUNTIF(H13:H245,"NOT RUN")</f>
        <v>0</v>
      </c>
      <c r="I7" s="22">
        <f t="shared" si="10"/>
        <v>0</v>
      </c>
      <c r="J7" s="22">
        <f t="shared" ref="J7:K7" si="11">COUNTIF(M16:M218,"NOT RUN")</f>
        <v>0</v>
      </c>
      <c r="K7" s="22">
        <f t="shared" si="11"/>
        <v>0</v>
      </c>
      <c r="L7" s="22">
        <f t="shared" ref="L7:M7" si="12">COUNTIF(R16:R218,"NOT RUN")</f>
        <v>0</v>
      </c>
      <c r="M7" s="22">
        <f t="shared" si="12"/>
        <v>0</v>
      </c>
      <c r="N7" s="22">
        <f t="shared" si="3"/>
        <v>0</v>
      </c>
      <c r="O7" s="16"/>
      <c r="P7" s="16"/>
      <c r="Q7" s="16"/>
      <c r="R7" s="16"/>
      <c r="S7" s="16"/>
      <c r="T7" s="16"/>
      <c r="U7" s="16"/>
      <c r="V7" s="16"/>
      <c r="W7" s="15"/>
      <c r="X7" s="15"/>
      <c r="Y7" s="15"/>
      <c r="Z7" s="15"/>
    </row>
    <row r="8" customHeight="1" spans="1:26">
      <c r="A8" s="20"/>
      <c r="B8" s="20"/>
      <c r="C8" s="15"/>
      <c r="D8" s="20"/>
      <c r="E8" s="20"/>
      <c r="F8" s="15"/>
      <c r="G8" s="6" t="s">
        <v>100</v>
      </c>
      <c r="H8" s="22">
        <f t="shared" ref="H8:M8" si="13">COUNTA($G13:$G227)</f>
        <v>16</v>
      </c>
      <c r="I8" s="22">
        <f t="shared" si="13"/>
        <v>16</v>
      </c>
      <c r="J8" s="22">
        <f t="shared" si="13"/>
        <v>16</v>
      </c>
      <c r="K8" s="22">
        <f t="shared" si="13"/>
        <v>16</v>
      </c>
      <c r="L8" s="22">
        <f t="shared" si="13"/>
        <v>16</v>
      </c>
      <c r="M8" s="22">
        <f t="shared" si="13"/>
        <v>16</v>
      </c>
      <c r="N8" s="22">
        <f t="shared" si="3"/>
        <v>96</v>
      </c>
      <c r="O8" s="16"/>
      <c r="P8" s="16"/>
      <c r="Q8" s="16"/>
      <c r="R8" s="16"/>
      <c r="S8" s="16"/>
      <c r="T8" s="16"/>
      <c r="U8" s="16"/>
      <c r="V8" s="16"/>
      <c r="W8" s="15"/>
      <c r="X8" s="15"/>
      <c r="Y8" s="15"/>
      <c r="Z8" s="15"/>
    </row>
    <row r="9" customHeight="1" spans="1:26">
      <c r="A9" s="17"/>
      <c r="B9" s="15"/>
      <c r="C9" s="15"/>
      <c r="D9" s="15"/>
      <c r="E9" s="15"/>
      <c r="F9" s="15"/>
      <c r="G9" s="15"/>
      <c r="H9" s="16"/>
      <c r="I9" s="16"/>
      <c r="J9" s="16"/>
      <c r="K9" s="16"/>
      <c r="L9" s="16"/>
      <c r="M9" s="16"/>
      <c r="N9" s="16"/>
      <c r="O9" s="16"/>
      <c r="P9" s="16"/>
      <c r="Q9" s="16"/>
      <c r="R9" s="16"/>
      <c r="S9" s="16"/>
      <c r="T9" s="16"/>
      <c r="U9" s="16"/>
      <c r="V9" s="16"/>
      <c r="W9" s="15"/>
      <c r="X9" s="15"/>
      <c r="Y9" s="15"/>
      <c r="Z9" s="15"/>
    </row>
    <row r="10" customHeight="1" spans="1:26">
      <c r="A10" s="23" t="s">
        <v>22</v>
      </c>
      <c r="B10" s="23" t="s">
        <v>101</v>
      </c>
      <c r="C10" s="23" t="s">
        <v>102</v>
      </c>
      <c r="D10" s="23" t="s">
        <v>103</v>
      </c>
      <c r="E10" s="23" t="s">
        <v>104</v>
      </c>
      <c r="F10" s="23" t="s">
        <v>105</v>
      </c>
      <c r="G10" s="23" t="s">
        <v>106</v>
      </c>
      <c r="H10" s="18" t="s">
        <v>64</v>
      </c>
      <c r="I10" s="32"/>
      <c r="J10" s="32"/>
      <c r="K10" s="32"/>
      <c r="L10" s="31"/>
      <c r="M10" s="18" t="s">
        <v>65</v>
      </c>
      <c r="N10" s="32"/>
      <c r="O10" s="32"/>
      <c r="P10" s="32"/>
      <c r="Q10" s="31"/>
      <c r="R10" s="18" t="s">
        <v>66</v>
      </c>
      <c r="S10" s="32"/>
      <c r="T10" s="32"/>
      <c r="U10" s="32"/>
      <c r="V10" s="31"/>
      <c r="W10" s="23" t="s">
        <v>29</v>
      </c>
      <c r="X10" s="13"/>
      <c r="Y10" s="13"/>
      <c r="Z10" s="13"/>
    </row>
    <row r="11" customHeight="1" spans="1:26">
      <c r="A11" s="24"/>
      <c r="B11" s="24"/>
      <c r="C11" s="24"/>
      <c r="D11" s="24"/>
      <c r="E11" s="24"/>
      <c r="F11" s="24"/>
      <c r="G11" s="24"/>
      <c r="H11" s="18" t="s">
        <v>107</v>
      </c>
      <c r="I11" s="32"/>
      <c r="J11" s="31"/>
      <c r="K11" s="23" t="s">
        <v>108</v>
      </c>
      <c r="L11" s="23" t="s">
        <v>109</v>
      </c>
      <c r="M11" s="18" t="s">
        <v>107</v>
      </c>
      <c r="N11" s="32"/>
      <c r="O11" s="31"/>
      <c r="P11" s="23" t="s">
        <v>108</v>
      </c>
      <c r="Q11" s="23" t="s">
        <v>109</v>
      </c>
      <c r="R11" s="18" t="s">
        <v>107</v>
      </c>
      <c r="S11" s="32"/>
      <c r="T11" s="31"/>
      <c r="U11" s="23" t="s">
        <v>108</v>
      </c>
      <c r="V11" s="23" t="s">
        <v>109</v>
      </c>
      <c r="W11" s="24"/>
      <c r="X11" s="15"/>
      <c r="Y11" s="15"/>
      <c r="Z11" s="15"/>
    </row>
    <row r="12" customHeight="1" spans="1:26">
      <c r="A12" s="25"/>
      <c r="B12" s="25"/>
      <c r="C12" s="25"/>
      <c r="D12" s="25"/>
      <c r="E12" s="25"/>
      <c r="F12" s="25"/>
      <c r="G12" s="25"/>
      <c r="H12" s="6" t="s">
        <v>67</v>
      </c>
      <c r="I12" s="6" t="s">
        <v>68</v>
      </c>
      <c r="J12" s="6" t="s">
        <v>110</v>
      </c>
      <c r="K12" s="25"/>
      <c r="L12" s="25"/>
      <c r="M12" s="6" t="s">
        <v>67</v>
      </c>
      <c r="N12" s="6" t="s">
        <v>68</v>
      </c>
      <c r="O12" s="6" t="s">
        <v>110</v>
      </c>
      <c r="P12" s="25"/>
      <c r="Q12" s="25"/>
      <c r="R12" s="6" t="s">
        <v>67</v>
      </c>
      <c r="S12" s="6" t="s">
        <v>68</v>
      </c>
      <c r="T12" s="6" t="s">
        <v>110</v>
      </c>
      <c r="U12" s="25"/>
      <c r="V12" s="25"/>
      <c r="W12" s="25"/>
      <c r="X12" s="15"/>
      <c r="Y12" s="15"/>
      <c r="Z12" s="15"/>
    </row>
    <row r="13" ht="66" spans="1:26">
      <c r="A13" s="26" t="str">
        <f t="shared" ref="A13:A36" si="14">"ID-00"&amp;(ROW()-(ROW($A$12)))</f>
        <v>ID-001</v>
      </c>
      <c r="B13" s="34" t="s">
        <v>77</v>
      </c>
      <c r="C13" s="27" t="s">
        <v>191</v>
      </c>
      <c r="D13" s="27" t="s">
        <v>350</v>
      </c>
      <c r="E13" s="27" t="s">
        <v>193</v>
      </c>
      <c r="F13" s="34" t="s">
        <v>351</v>
      </c>
      <c r="G13" s="27" t="s">
        <v>352</v>
      </c>
      <c r="H13" s="8" t="s">
        <v>69</v>
      </c>
      <c r="I13" s="8" t="s">
        <v>69</v>
      </c>
      <c r="J13" s="8"/>
      <c r="K13" s="33" t="s">
        <v>353</v>
      </c>
      <c r="L13" s="8" t="s">
        <v>117</v>
      </c>
      <c r="M13" s="8" t="s">
        <v>69</v>
      </c>
      <c r="N13" s="8" t="s">
        <v>69</v>
      </c>
      <c r="O13" s="8"/>
      <c r="P13" s="33" t="s">
        <v>354</v>
      </c>
      <c r="Q13" s="8" t="s">
        <v>117</v>
      </c>
      <c r="R13" s="8" t="s">
        <v>69</v>
      </c>
      <c r="S13" s="8" t="s">
        <v>69</v>
      </c>
      <c r="T13" s="8"/>
      <c r="U13" s="33" t="s">
        <v>355</v>
      </c>
      <c r="V13" s="8" t="s">
        <v>117</v>
      </c>
      <c r="W13" s="30"/>
      <c r="X13" s="15"/>
      <c r="Y13" s="15"/>
      <c r="Z13" s="15"/>
    </row>
    <row r="14" ht="66" spans="1:26">
      <c r="A14" s="26" t="str">
        <f t="shared" si="14"/>
        <v>ID-002</v>
      </c>
      <c r="B14" s="34" t="s">
        <v>77</v>
      </c>
      <c r="C14" s="27" t="s">
        <v>198</v>
      </c>
      <c r="D14" s="27" t="s">
        <v>350</v>
      </c>
      <c r="E14" s="27" t="s">
        <v>356</v>
      </c>
      <c r="F14" s="34" t="s">
        <v>357</v>
      </c>
      <c r="G14" s="27" t="s">
        <v>358</v>
      </c>
      <c r="H14" s="8" t="s">
        <v>70</v>
      </c>
      <c r="I14" s="8" t="s">
        <v>69</v>
      </c>
      <c r="J14" s="8" t="s">
        <v>359</v>
      </c>
      <c r="K14" s="33" t="s">
        <v>353</v>
      </c>
      <c r="L14" s="8" t="s">
        <v>117</v>
      </c>
      <c r="M14" s="8" t="s">
        <v>69</v>
      </c>
      <c r="N14" s="8" t="s">
        <v>69</v>
      </c>
      <c r="O14" s="8"/>
      <c r="P14" s="33" t="s">
        <v>354</v>
      </c>
      <c r="Q14" s="8" t="s">
        <v>117</v>
      </c>
      <c r="R14" s="8" t="s">
        <v>69</v>
      </c>
      <c r="S14" s="8" t="s">
        <v>69</v>
      </c>
      <c r="T14" s="8"/>
      <c r="U14" s="8" t="s">
        <v>355</v>
      </c>
      <c r="V14" s="8" t="s">
        <v>117</v>
      </c>
      <c r="W14" s="30"/>
      <c r="X14" s="15"/>
      <c r="Y14" s="15"/>
      <c r="Z14" s="15"/>
    </row>
    <row r="15" ht="39.6" spans="1:26">
      <c r="A15" s="26" t="str">
        <f t="shared" si="14"/>
        <v>ID-003</v>
      </c>
      <c r="B15" s="34" t="s">
        <v>77</v>
      </c>
      <c r="C15" s="27" t="s">
        <v>198</v>
      </c>
      <c r="D15" s="27" t="s">
        <v>350</v>
      </c>
      <c r="E15" s="27" t="s">
        <v>360</v>
      </c>
      <c r="F15" s="34" t="s">
        <v>361</v>
      </c>
      <c r="G15" s="27" t="s">
        <v>362</v>
      </c>
      <c r="H15" s="8" t="s">
        <v>69</v>
      </c>
      <c r="I15" s="8" t="s">
        <v>69</v>
      </c>
      <c r="J15" s="8"/>
      <c r="K15" s="33" t="s">
        <v>353</v>
      </c>
      <c r="L15" s="8" t="s">
        <v>117</v>
      </c>
      <c r="M15" s="8" t="s">
        <v>69</v>
      </c>
      <c r="N15" s="8" t="s">
        <v>69</v>
      </c>
      <c r="O15" s="8"/>
      <c r="P15" s="33" t="s">
        <v>354</v>
      </c>
      <c r="Q15" s="8" t="s">
        <v>117</v>
      </c>
      <c r="R15" s="8" t="s">
        <v>69</v>
      </c>
      <c r="S15" s="8" t="s">
        <v>69</v>
      </c>
      <c r="T15" s="8"/>
      <c r="U15" s="8" t="s">
        <v>355</v>
      </c>
      <c r="V15" s="8" t="s">
        <v>117</v>
      </c>
      <c r="W15" s="30"/>
      <c r="X15" s="15"/>
      <c r="Y15" s="15"/>
      <c r="Z15" s="15"/>
    </row>
    <row r="16" ht="52.8" spans="1:26">
      <c r="A16" s="26" t="str">
        <f t="shared" si="14"/>
        <v>ID-004</v>
      </c>
      <c r="B16" s="34" t="s">
        <v>77</v>
      </c>
      <c r="C16" s="27" t="s">
        <v>198</v>
      </c>
      <c r="D16" s="27" t="s">
        <v>350</v>
      </c>
      <c r="E16" s="27" t="s">
        <v>363</v>
      </c>
      <c r="F16" s="34" t="s">
        <v>364</v>
      </c>
      <c r="G16" s="27" t="s">
        <v>365</v>
      </c>
      <c r="H16" s="8" t="s">
        <v>70</v>
      </c>
      <c r="I16" s="8" t="s">
        <v>69</v>
      </c>
      <c r="J16" s="8" t="s">
        <v>366</v>
      </c>
      <c r="K16" s="33" t="s">
        <v>353</v>
      </c>
      <c r="L16" s="8" t="s">
        <v>117</v>
      </c>
      <c r="M16" s="8" t="s">
        <v>70</v>
      </c>
      <c r="N16" s="8" t="s">
        <v>69</v>
      </c>
      <c r="O16" s="8" t="s">
        <v>367</v>
      </c>
      <c r="P16" s="33" t="s">
        <v>354</v>
      </c>
      <c r="Q16" s="8" t="s">
        <v>117</v>
      </c>
      <c r="R16" s="8" t="s">
        <v>69</v>
      </c>
      <c r="S16" s="8" t="s">
        <v>69</v>
      </c>
      <c r="T16" s="8"/>
      <c r="U16" s="8" t="s">
        <v>355</v>
      </c>
      <c r="V16" s="8" t="s">
        <v>117</v>
      </c>
      <c r="W16" s="30"/>
      <c r="X16" s="15"/>
      <c r="Y16" s="15"/>
      <c r="Z16" s="15"/>
    </row>
    <row r="17" ht="39.6" spans="1:26">
      <c r="A17" s="26" t="str">
        <f t="shared" si="14"/>
        <v>ID-005</v>
      </c>
      <c r="B17" s="34" t="s">
        <v>77</v>
      </c>
      <c r="C17" s="27" t="s">
        <v>198</v>
      </c>
      <c r="D17" s="27" t="s">
        <v>350</v>
      </c>
      <c r="E17" s="27" t="s">
        <v>368</v>
      </c>
      <c r="F17" s="34" t="s">
        <v>369</v>
      </c>
      <c r="G17" s="27" t="s">
        <v>370</v>
      </c>
      <c r="H17" s="8" t="s">
        <v>69</v>
      </c>
      <c r="I17" s="8" t="s">
        <v>69</v>
      </c>
      <c r="J17" s="8"/>
      <c r="K17" s="33" t="s">
        <v>353</v>
      </c>
      <c r="L17" s="8" t="s">
        <v>117</v>
      </c>
      <c r="M17" s="8" t="s">
        <v>69</v>
      </c>
      <c r="N17" s="8" t="s">
        <v>70</v>
      </c>
      <c r="O17" s="8" t="s">
        <v>371</v>
      </c>
      <c r="P17" s="33" t="s">
        <v>354</v>
      </c>
      <c r="Q17" s="8" t="s">
        <v>117</v>
      </c>
      <c r="R17" s="8" t="s">
        <v>69</v>
      </c>
      <c r="S17" s="8" t="s">
        <v>69</v>
      </c>
      <c r="T17" s="8"/>
      <c r="U17" s="8" t="s">
        <v>355</v>
      </c>
      <c r="V17" s="8" t="s">
        <v>117</v>
      </c>
      <c r="W17" s="30"/>
      <c r="X17" s="15"/>
      <c r="Y17" s="15"/>
      <c r="Z17" s="15"/>
    </row>
    <row r="18" ht="39.6" spans="1:26">
      <c r="A18" s="26" t="str">
        <f t="shared" si="14"/>
        <v>ID-006</v>
      </c>
      <c r="B18" s="34" t="s">
        <v>77</v>
      </c>
      <c r="C18" s="27" t="s">
        <v>372</v>
      </c>
      <c r="D18" s="27" t="s">
        <v>350</v>
      </c>
      <c r="E18" s="27" t="s">
        <v>373</v>
      </c>
      <c r="F18" s="34" t="s">
        <v>374</v>
      </c>
      <c r="G18" s="27" t="s">
        <v>375</v>
      </c>
      <c r="H18" s="8" t="s">
        <v>70</v>
      </c>
      <c r="I18" s="8" t="s">
        <v>69</v>
      </c>
      <c r="J18" s="8" t="s">
        <v>376</v>
      </c>
      <c r="K18" s="33" t="s">
        <v>353</v>
      </c>
      <c r="L18" s="8" t="s">
        <v>117</v>
      </c>
      <c r="M18" s="8" t="s">
        <v>69</v>
      </c>
      <c r="N18" s="8" t="s">
        <v>69</v>
      </c>
      <c r="O18" s="8"/>
      <c r="P18" s="33" t="s">
        <v>354</v>
      </c>
      <c r="Q18" s="8" t="s">
        <v>117</v>
      </c>
      <c r="R18" s="8" t="s">
        <v>69</v>
      </c>
      <c r="S18" s="8" t="s">
        <v>69</v>
      </c>
      <c r="T18" s="8"/>
      <c r="U18" s="8" t="s">
        <v>355</v>
      </c>
      <c r="V18" s="8" t="s">
        <v>117</v>
      </c>
      <c r="W18" s="30"/>
      <c r="X18" s="15"/>
      <c r="Y18" s="15"/>
      <c r="Z18" s="15"/>
    </row>
    <row r="19" ht="85.5" customHeight="1" spans="1:26">
      <c r="A19" s="26" t="str">
        <f t="shared" si="14"/>
        <v>ID-007</v>
      </c>
      <c r="B19" s="34" t="s">
        <v>77</v>
      </c>
      <c r="C19" s="27" t="s">
        <v>377</v>
      </c>
      <c r="D19" s="27" t="s">
        <v>350</v>
      </c>
      <c r="E19" s="27" t="s">
        <v>378</v>
      </c>
      <c r="F19" s="28" t="s">
        <v>379</v>
      </c>
      <c r="G19" s="28" t="s">
        <v>380</v>
      </c>
      <c r="H19" s="8" t="s">
        <v>69</v>
      </c>
      <c r="I19" s="8" t="s">
        <v>69</v>
      </c>
      <c r="J19" s="8"/>
      <c r="K19" s="36">
        <v>45667</v>
      </c>
      <c r="L19" s="8" t="s">
        <v>117</v>
      </c>
      <c r="M19" s="8" t="s">
        <v>69</v>
      </c>
      <c r="N19" s="8" t="s">
        <v>69</v>
      </c>
      <c r="O19" s="8"/>
      <c r="P19" s="8" t="s">
        <v>55</v>
      </c>
      <c r="Q19" s="8" t="s">
        <v>117</v>
      </c>
      <c r="R19" s="8" t="s">
        <v>69</v>
      </c>
      <c r="S19" s="8" t="s">
        <v>69</v>
      </c>
      <c r="T19" s="8"/>
      <c r="U19" s="8" t="s">
        <v>355</v>
      </c>
      <c r="V19" s="8" t="s">
        <v>117</v>
      </c>
      <c r="W19" s="30"/>
      <c r="X19" s="15"/>
      <c r="Y19" s="15"/>
      <c r="Z19" s="15"/>
    </row>
    <row r="20" ht="87.75" customHeight="1" spans="1:26">
      <c r="A20" s="26" t="str">
        <f t="shared" si="14"/>
        <v>ID-008</v>
      </c>
      <c r="B20" s="34" t="s">
        <v>77</v>
      </c>
      <c r="C20" s="27" t="s">
        <v>381</v>
      </c>
      <c r="D20" s="27" t="s">
        <v>350</v>
      </c>
      <c r="E20" s="27" t="s">
        <v>382</v>
      </c>
      <c r="F20" s="28" t="s">
        <v>383</v>
      </c>
      <c r="G20" s="28" t="s">
        <v>384</v>
      </c>
      <c r="H20" s="8" t="s">
        <v>69</v>
      </c>
      <c r="I20" s="8" t="s">
        <v>69</v>
      </c>
      <c r="J20" s="8"/>
      <c r="K20" s="36">
        <v>45667</v>
      </c>
      <c r="L20" s="8" t="s">
        <v>117</v>
      </c>
      <c r="M20" s="8" t="s">
        <v>69</v>
      </c>
      <c r="N20" s="8" t="s">
        <v>69</v>
      </c>
      <c r="O20" s="8"/>
      <c r="P20" s="8" t="s">
        <v>55</v>
      </c>
      <c r="Q20" s="8" t="s">
        <v>117</v>
      </c>
      <c r="R20" s="8" t="s">
        <v>69</v>
      </c>
      <c r="S20" s="8" t="s">
        <v>69</v>
      </c>
      <c r="T20" s="8"/>
      <c r="U20" s="8" t="s">
        <v>355</v>
      </c>
      <c r="V20" s="8" t="s">
        <v>117</v>
      </c>
      <c r="W20" s="30"/>
      <c r="X20" s="15"/>
      <c r="Y20" s="15"/>
      <c r="Z20" s="15"/>
    </row>
    <row r="21" ht="145.2" spans="1:26">
      <c r="A21" s="26" t="str">
        <f t="shared" si="14"/>
        <v>ID-009</v>
      </c>
      <c r="B21" s="34" t="s">
        <v>77</v>
      </c>
      <c r="C21" s="27" t="s">
        <v>385</v>
      </c>
      <c r="D21" s="27" t="s">
        <v>350</v>
      </c>
      <c r="E21" s="27" t="s">
        <v>386</v>
      </c>
      <c r="F21" s="28" t="s">
        <v>387</v>
      </c>
      <c r="G21" s="28" t="s">
        <v>388</v>
      </c>
      <c r="H21" s="8" t="s">
        <v>69</v>
      </c>
      <c r="I21" s="8" t="s">
        <v>70</v>
      </c>
      <c r="J21" s="8" t="s">
        <v>389</v>
      </c>
      <c r="K21" s="36">
        <v>45698</v>
      </c>
      <c r="L21" s="8" t="s">
        <v>117</v>
      </c>
      <c r="M21" s="8" t="s">
        <v>69</v>
      </c>
      <c r="N21" s="8" t="s">
        <v>70</v>
      </c>
      <c r="O21" s="8" t="s">
        <v>390</v>
      </c>
      <c r="P21" s="8" t="s">
        <v>55</v>
      </c>
      <c r="Q21" s="8" t="s">
        <v>117</v>
      </c>
      <c r="R21" s="8" t="s">
        <v>69</v>
      </c>
      <c r="S21" s="8" t="s">
        <v>69</v>
      </c>
      <c r="T21" s="8"/>
      <c r="U21" s="8" t="s">
        <v>355</v>
      </c>
      <c r="V21" s="8" t="s">
        <v>117</v>
      </c>
      <c r="W21" s="30"/>
      <c r="X21" s="15"/>
      <c r="Y21" s="15"/>
      <c r="Z21" s="15"/>
    </row>
    <row r="22" ht="92.4" spans="1:26">
      <c r="A22" s="26" t="str">
        <f t="shared" si="14"/>
        <v>ID-0010</v>
      </c>
      <c r="B22" s="34" t="s">
        <v>77</v>
      </c>
      <c r="C22" s="27" t="s">
        <v>391</v>
      </c>
      <c r="D22" s="27" t="s">
        <v>350</v>
      </c>
      <c r="E22" s="27" t="s">
        <v>392</v>
      </c>
      <c r="F22" s="28" t="s">
        <v>393</v>
      </c>
      <c r="G22" s="28" t="s">
        <v>394</v>
      </c>
      <c r="H22" s="8" t="s">
        <v>69</v>
      </c>
      <c r="I22" s="8" t="s">
        <v>69</v>
      </c>
      <c r="J22" s="8"/>
      <c r="K22" s="36">
        <v>45698</v>
      </c>
      <c r="L22" s="8" t="s">
        <v>117</v>
      </c>
      <c r="M22" s="8" t="s">
        <v>69</v>
      </c>
      <c r="N22" s="8" t="s">
        <v>69</v>
      </c>
      <c r="O22" s="8"/>
      <c r="P22" s="8" t="s">
        <v>55</v>
      </c>
      <c r="Q22" s="8" t="s">
        <v>117</v>
      </c>
      <c r="R22" s="8" t="s">
        <v>69</v>
      </c>
      <c r="S22" s="8" t="s">
        <v>69</v>
      </c>
      <c r="T22" s="8"/>
      <c r="U22" s="8" t="s">
        <v>78</v>
      </c>
      <c r="V22" s="8" t="s">
        <v>117</v>
      </c>
      <c r="W22" s="30"/>
      <c r="X22" s="15"/>
      <c r="Y22" s="15"/>
      <c r="Z22" s="15"/>
    </row>
    <row r="23" ht="39.75" customHeight="1" spans="1:26">
      <c r="A23" s="26" t="str">
        <f t="shared" si="14"/>
        <v>ID-0011</v>
      </c>
      <c r="B23" s="27" t="s">
        <v>77</v>
      </c>
      <c r="C23" s="28" t="s">
        <v>395</v>
      </c>
      <c r="D23" s="27" t="s">
        <v>396</v>
      </c>
      <c r="E23" s="28" t="s">
        <v>397</v>
      </c>
      <c r="F23" s="27" t="s">
        <v>398</v>
      </c>
      <c r="G23" s="28" t="s">
        <v>399</v>
      </c>
      <c r="H23" s="8" t="s">
        <v>69</v>
      </c>
      <c r="I23" s="8" t="s">
        <v>69</v>
      </c>
      <c r="J23" s="8"/>
      <c r="K23" s="36">
        <v>45698</v>
      </c>
      <c r="L23" s="8" t="s">
        <v>117</v>
      </c>
      <c r="M23" s="8" t="s">
        <v>69</v>
      </c>
      <c r="N23" s="8" t="s">
        <v>69</v>
      </c>
      <c r="O23" s="8"/>
      <c r="P23" s="8" t="s">
        <v>55</v>
      </c>
      <c r="Q23" s="8" t="s">
        <v>117</v>
      </c>
      <c r="R23" s="8" t="s">
        <v>69</v>
      </c>
      <c r="S23" s="8" t="s">
        <v>69</v>
      </c>
      <c r="T23" s="8"/>
      <c r="U23" s="8" t="s">
        <v>78</v>
      </c>
      <c r="V23" s="8" t="s">
        <v>117</v>
      </c>
      <c r="W23" s="30"/>
      <c r="X23" s="15"/>
      <c r="Y23" s="15"/>
      <c r="Z23" s="15"/>
    </row>
    <row r="24" ht="43.5" customHeight="1" spans="1:26">
      <c r="A24" s="26" t="str">
        <f t="shared" si="14"/>
        <v>ID-0012</v>
      </c>
      <c r="B24" s="27" t="s">
        <v>77</v>
      </c>
      <c r="C24" s="28" t="s">
        <v>395</v>
      </c>
      <c r="D24" s="27" t="s">
        <v>396</v>
      </c>
      <c r="E24" s="28" t="s">
        <v>400</v>
      </c>
      <c r="F24" s="27" t="s">
        <v>401</v>
      </c>
      <c r="G24" s="28" t="s">
        <v>402</v>
      </c>
      <c r="H24" s="8" t="s">
        <v>69</v>
      </c>
      <c r="I24" s="8" t="s">
        <v>69</v>
      </c>
      <c r="J24" s="8"/>
      <c r="K24" s="36">
        <v>45698</v>
      </c>
      <c r="L24" s="8" t="s">
        <v>117</v>
      </c>
      <c r="M24" s="8" t="s">
        <v>69</v>
      </c>
      <c r="N24" s="8" t="s">
        <v>69</v>
      </c>
      <c r="O24" s="8"/>
      <c r="P24" s="8" t="s">
        <v>55</v>
      </c>
      <c r="Q24" s="8" t="s">
        <v>117</v>
      </c>
      <c r="R24" s="8" t="s">
        <v>69</v>
      </c>
      <c r="S24" s="8" t="s">
        <v>69</v>
      </c>
      <c r="T24" s="8"/>
      <c r="U24" s="8" t="s">
        <v>78</v>
      </c>
      <c r="V24" s="8" t="s">
        <v>117</v>
      </c>
      <c r="W24" s="30"/>
      <c r="X24" s="15"/>
      <c r="Y24" s="15"/>
      <c r="Z24" s="15"/>
    </row>
    <row r="25" ht="38.25" customHeight="1" spans="1:26">
      <c r="A25" s="26" t="str">
        <f t="shared" si="14"/>
        <v>ID-0013</v>
      </c>
      <c r="B25" s="28" t="s">
        <v>77</v>
      </c>
      <c r="C25" s="28" t="s">
        <v>403</v>
      </c>
      <c r="D25" s="28" t="s">
        <v>404</v>
      </c>
      <c r="E25" s="28" t="s">
        <v>405</v>
      </c>
      <c r="F25" s="28" t="s">
        <v>406</v>
      </c>
      <c r="G25" s="28" t="s">
        <v>407</v>
      </c>
      <c r="H25" s="8" t="s">
        <v>69</v>
      </c>
      <c r="I25" s="8" t="s">
        <v>69</v>
      </c>
      <c r="J25" s="8"/>
      <c r="K25" s="36">
        <v>45698</v>
      </c>
      <c r="L25" s="8" t="s">
        <v>117</v>
      </c>
      <c r="M25" s="8" t="s">
        <v>69</v>
      </c>
      <c r="N25" s="8" t="s">
        <v>69</v>
      </c>
      <c r="O25" s="8"/>
      <c r="P25" s="8" t="s">
        <v>55</v>
      </c>
      <c r="Q25" s="8" t="s">
        <v>117</v>
      </c>
      <c r="R25" s="8" t="s">
        <v>69</v>
      </c>
      <c r="S25" s="8" t="s">
        <v>69</v>
      </c>
      <c r="T25" s="8"/>
      <c r="U25" s="8" t="s">
        <v>78</v>
      </c>
      <c r="V25" s="8" t="s">
        <v>117</v>
      </c>
      <c r="W25" s="30"/>
      <c r="X25" s="15"/>
      <c r="Y25" s="15"/>
      <c r="Z25" s="15"/>
    </row>
    <row r="26" ht="44.25" customHeight="1" spans="1:26">
      <c r="A26" s="26" t="str">
        <f t="shared" si="14"/>
        <v>ID-0014</v>
      </c>
      <c r="B26" s="28" t="s">
        <v>77</v>
      </c>
      <c r="C26" s="28" t="s">
        <v>176</v>
      </c>
      <c r="D26" s="28" t="s">
        <v>396</v>
      </c>
      <c r="E26" s="28" t="s">
        <v>408</v>
      </c>
      <c r="F26" s="28" t="s">
        <v>409</v>
      </c>
      <c r="G26" s="28" t="s">
        <v>410</v>
      </c>
      <c r="H26" s="8" t="s">
        <v>69</v>
      </c>
      <c r="I26" s="8" t="s">
        <v>69</v>
      </c>
      <c r="J26" s="8"/>
      <c r="K26" s="36">
        <v>45698</v>
      </c>
      <c r="L26" s="8" t="s">
        <v>117</v>
      </c>
      <c r="M26" s="8" t="s">
        <v>69</v>
      </c>
      <c r="N26" s="8" t="s">
        <v>69</v>
      </c>
      <c r="O26" s="8"/>
      <c r="P26" s="8" t="s">
        <v>55</v>
      </c>
      <c r="Q26" s="8" t="s">
        <v>117</v>
      </c>
      <c r="R26" s="8" t="s">
        <v>69</v>
      </c>
      <c r="S26" s="8" t="s">
        <v>69</v>
      </c>
      <c r="T26" s="8"/>
      <c r="U26" s="8" t="s">
        <v>78</v>
      </c>
      <c r="V26" s="8" t="s">
        <v>117</v>
      </c>
      <c r="W26" s="30"/>
      <c r="X26" s="15"/>
      <c r="Y26" s="15"/>
      <c r="Z26" s="15"/>
    </row>
    <row r="27" ht="106.5" customHeight="1" spans="1:26">
      <c r="A27" s="27" t="str">
        <f t="shared" si="14"/>
        <v>ID-0015</v>
      </c>
      <c r="B27" s="27" t="s">
        <v>77</v>
      </c>
      <c r="C27" s="27" t="s">
        <v>411</v>
      </c>
      <c r="D27" s="27" t="s">
        <v>412</v>
      </c>
      <c r="E27" s="27" t="s">
        <v>413</v>
      </c>
      <c r="F27" s="27" t="s">
        <v>414</v>
      </c>
      <c r="G27" s="27" t="s">
        <v>415</v>
      </c>
      <c r="H27" s="8" t="s">
        <v>69</v>
      </c>
      <c r="I27" s="8" t="s">
        <v>69</v>
      </c>
      <c r="J27" s="8"/>
      <c r="K27" s="36">
        <v>45698</v>
      </c>
      <c r="L27" s="8" t="s">
        <v>117</v>
      </c>
      <c r="M27" s="8" t="s">
        <v>69</v>
      </c>
      <c r="N27" s="8" t="s">
        <v>69</v>
      </c>
      <c r="O27" s="8"/>
      <c r="P27" s="8" t="s">
        <v>55</v>
      </c>
      <c r="Q27" s="8" t="s">
        <v>117</v>
      </c>
      <c r="R27" s="8" t="s">
        <v>69</v>
      </c>
      <c r="S27" s="8" t="s">
        <v>69</v>
      </c>
      <c r="T27" s="8"/>
      <c r="U27" s="8" t="s">
        <v>78</v>
      </c>
      <c r="V27" s="8" t="s">
        <v>117</v>
      </c>
      <c r="W27" s="30"/>
      <c r="X27" s="15"/>
      <c r="Y27" s="15"/>
      <c r="Z27" s="15"/>
    </row>
    <row r="28" ht="75.75" customHeight="1" spans="1:26">
      <c r="A28" s="27" t="str">
        <f t="shared" si="14"/>
        <v>ID-0016</v>
      </c>
      <c r="B28" s="27" t="s">
        <v>77</v>
      </c>
      <c r="C28" s="27" t="s">
        <v>416</v>
      </c>
      <c r="D28" s="27" t="s">
        <v>396</v>
      </c>
      <c r="E28" s="27" t="s">
        <v>417</v>
      </c>
      <c r="F28" s="27" t="s">
        <v>418</v>
      </c>
      <c r="G28" s="27" t="s">
        <v>419</v>
      </c>
      <c r="H28" s="8" t="s">
        <v>69</v>
      </c>
      <c r="I28" s="8" t="s">
        <v>69</v>
      </c>
      <c r="J28" s="8"/>
      <c r="K28" s="36">
        <v>45698</v>
      </c>
      <c r="L28" s="8" t="s">
        <v>117</v>
      </c>
      <c r="M28" s="8" t="s">
        <v>69</v>
      </c>
      <c r="N28" s="8" t="s">
        <v>69</v>
      </c>
      <c r="O28" s="8"/>
      <c r="P28" s="8" t="s">
        <v>55</v>
      </c>
      <c r="Q28" s="8" t="s">
        <v>117</v>
      </c>
      <c r="R28" s="8" t="s">
        <v>69</v>
      </c>
      <c r="S28" s="8" t="s">
        <v>69</v>
      </c>
      <c r="T28" s="8"/>
      <c r="U28" s="8" t="s">
        <v>78</v>
      </c>
      <c r="V28" s="8" t="s">
        <v>117</v>
      </c>
      <c r="W28" s="30"/>
      <c r="X28" s="15"/>
      <c r="Y28" s="15"/>
      <c r="Z28" s="15"/>
    </row>
    <row r="29" customHeight="1" spans="1:26">
      <c r="A29" s="28" t="str">
        <f t="shared" si="14"/>
        <v>ID-0017</v>
      </c>
      <c r="B29" s="28"/>
      <c r="C29" s="28"/>
      <c r="D29" s="28"/>
      <c r="E29" s="28"/>
      <c r="F29" s="28"/>
      <c r="G29" s="28"/>
      <c r="H29" s="8"/>
      <c r="I29" s="8"/>
      <c r="J29" s="8"/>
      <c r="K29" s="8"/>
      <c r="L29" s="8"/>
      <c r="M29" s="8"/>
      <c r="N29" s="8"/>
      <c r="O29" s="8"/>
      <c r="P29" s="8"/>
      <c r="Q29" s="8"/>
      <c r="R29" s="8"/>
      <c r="S29" s="8"/>
      <c r="T29" s="8"/>
      <c r="U29" s="8"/>
      <c r="V29" s="8"/>
      <c r="W29" s="30"/>
      <c r="X29" s="15"/>
      <c r="Y29" s="15"/>
      <c r="Z29" s="15"/>
    </row>
    <row r="30" customHeight="1" spans="1:26">
      <c r="A30" s="26" t="str">
        <f t="shared" si="14"/>
        <v>ID-0018</v>
      </c>
      <c r="B30" s="30"/>
      <c r="C30" s="30"/>
      <c r="D30" s="30"/>
      <c r="E30" s="30"/>
      <c r="F30" s="30"/>
      <c r="G30" s="30"/>
      <c r="H30" s="8"/>
      <c r="I30" s="8"/>
      <c r="J30" s="8"/>
      <c r="K30" s="8"/>
      <c r="L30" s="8"/>
      <c r="M30" s="8"/>
      <c r="N30" s="8"/>
      <c r="O30" s="8"/>
      <c r="P30" s="8"/>
      <c r="Q30" s="8"/>
      <c r="R30" s="8"/>
      <c r="S30" s="8"/>
      <c r="T30" s="8"/>
      <c r="U30" s="8"/>
      <c r="V30" s="8"/>
      <c r="W30" s="30"/>
      <c r="X30" s="15"/>
      <c r="Y30" s="15"/>
      <c r="Z30" s="15"/>
    </row>
    <row r="31" customHeight="1" spans="1:26">
      <c r="A31" s="26" t="str">
        <f t="shared" si="14"/>
        <v>ID-0019</v>
      </c>
      <c r="B31" s="30"/>
      <c r="C31" s="30"/>
      <c r="D31" s="30"/>
      <c r="E31" s="30"/>
      <c r="F31" s="30"/>
      <c r="G31" s="30"/>
      <c r="H31" s="8"/>
      <c r="I31" s="8"/>
      <c r="J31" s="8"/>
      <c r="K31" s="8"/>
      <c r="L31" s="8"/>
      <c r="M31" s="8"/>
      <c r="N31" s="8"/>
      <c r="O31" s="8"/>
      <c r="P31" s="8"/>
      <c r="Q31" s="8"/>
      <c r="R31" s="8"/>
      <c r="S31" s="8"/>
      <c r="T31" s="8"/>
      <c r="U31" s="8"/>
      <c r="V31" s="8"/>
      <c r="W31" s="30"/>
      <c r="X31" s="15"/>
      <c r="Y31" s="15"/>
      <c r="Z31" s="15"/>
    </row>
    <row r="32" customHeight="1" spans="1:26">
      <c r="A32" s="26" t="str">
        <f t="shared" si="14"/>
        <v>ID-0020</v>
      </c>
      <c r="B32" s="30"/>
      <c r="C32" s="30"/>
      <c r="D32" s="30"/>
      <c r="E32" s="30"/>
      <c r="F32" s="30"/>
      <c r="G32" s="30"/>
      <c r="H32" s="8"/>
      <c r="I32" s="8"/>
      <c r="J32" s="8"/>
      <c r="K32" s="8"/>
      <c r="L32" s="8"/>
      <c r="M32" s="8"/>
      <c r="N32" s="8"/>
      <c r="O32" s="8"/>
      <c r="P32" s="8"/>
      <c r="Q32" s="8"/>
      <c r="R32" s="8"/>
      <c r="S32" s="8"/>
      <c r="T32" s="8"/>
      <c r="U32" s="8"/>
      <c r="V32" s="8"/>
      <c r="W32" s="30"/>
      <c r="X32" s="15"/>
      <c r="Y32" s="15"/>
      <c r="Z32" s="15"/>
    </row>
    <row r="33" customHeight="1" spans="1:26">
      <c r="A33" s="26" t="str">
        <f t="shared" si="14"/>
        <v>ID-0021</v>
      </c>
      <c r="B33" s="30"/>
      <c r="C33" s="30"/>
      <c r="D33" s="30"/>
      <c r="E33" s="30"/>
      <c r="F33" s="30"/>
      <c r="G33" s="30"/>
      <c r="H33" s="8"/>
      <c r="I33" s="8"/>
      <c r="J33" s="8"/>
      <c r="K33" s="8"/>
      <c r="L33" s="8"/>
      <c r="M33" s="8"/>
      <c r="N33" s="8"/>
      <c r="O33" s="8"/>
      <c r="P33" s="8"/>
      <c r="Q33" s="8"/>
      <c r="R33" s="8"/>
      <c r="S33" s="8"/>
      <c r="T33" s="8"/>
      <c r="U33" s="8"/>
      <c r="V33" s="8"/>
      <c r="W33" s="30"/>
      <c r="X33" s="15"/>
      <c r="Y33" s="15"/>
      <c r="Z33" s="15"/>
    </row>
    <row r="34" customHeight="1" spans="1:26">
      <c r="A34" s="26" t="str">
        <f t="shared" si="14"/>
        <v>ID-0022</v>
      </c>
      <c r="B34" s="30"/>
      <c r="C34" s="30"/>
      <c r="D34" s="30"/>
      <c r="E34" s="30"/>
      <c r="F34" s="30"/>
      <c r="G34" s="30"/>
      <c r="H34" s="8"/>
      <c r="I34" s="8"/>
      <c r="J34" s="8"/>
      <c r="K34" s="8"/>
      <c r="L34" s="8"/>
      <c r="M34" s="8"/>
      <c r="N34" s="8"/>
      <c r="O34" s="8"/>
      <c r="P34" s="8"/>
      <c r="Q34" s="8"/>
      <c r="R34" s="8"/>
      <c r="S34" s="8"/>
      <c r="T34" s="8"/>
      <c r="U34" s="8"/>
      <c r="V34" s="8"/>
      <c r="W34" s="30"/>
      <c r="X34" s="15"/>
      <c r="Y34" s="15"/>
      <c r="Z34" s="15"/>
    </row>
    <row r="35" customHeight="1" spans="1:26">
      <c r="A35" s="26" t="str">
        <f t="shared" si="14"/>
        <v>ID-0023</v>
      </c>
      <c r="B35" s="30"/>
      <c r="C35" s="30"/>
      <c r="D35" s="30"/>
      <c r="E35" s="30"/>
      <c r="F35" s="30"/>
      <c r="G35" s="30"/>
      <c r="H35" s="8"/>
      <c r="I35" s="8"/>
      <c r="J35" s="8"/>
      <c r="K35" s="8"/>
      <c r="L35" s="8"/>
      <c r="M35" s="8"/>
      <c r="N35" s="8"/>
      <c r="O35" s="8"/>
      <c r="P35" s="8"/>
      <c r="Q35" s="8"/>
      <c r="R35" s="8"/>
      <c r="S35" s="8"/>
      <c r="T35" s="8"/>
      <c r="U35" s="8"/>
      <c r="V35" s="8"/>
      <c r="W35" s="30"/>
      <c r="X35" s="15"/>
      <c r="Y35" s="15"/>
      <c r="Z35" s="15"/>
    </row>
    <row r="36" customHeight="1" spans="1:26">
      <c r="A36" s="26" t="str">
        <f t="shared" si="14"/>
        <v>ID-0024</v>
      </c>
      <c r="B36" s="30"/>
      <c r="C36" s="30"/>
      <c r="D36" s="30"/>
      <c r="E36" s="30"/>
      <c r="F36" s="30"/>
      <c r="G36" s="30"/>
      <c r="H36" s="8"/>
      <c r="I36" s="8"/>
      <c r="J36" s="8"/>
      <c r="K36" s="8"/>
      <c r="L36" s="8"/>
      <c r="M36" s="8"/>
      <c r="N36" s="8"/>
      <c r="O36" s="8"/>
      <c r="P36" s="8"/>
      <c r="Q36" s="8"/>
      <c r="R36" s="8"/>
      <c r="S36" s="8"/>
      <c r="T36" s="8"/>
      <c r="U36" s="8"/>
      <c r="V36" s="8"/>
      <c r="W36" s="30"/>
      <c r="X36" s="15"/>
      <c r="Y36" s="15"/>
      <c r="Z36" s="15"/>
    </row>
    <row r="37" customHeight="1" spans="1:26">
      <c r="A37" s="17"/>
      <c r="B37" s="15"/>
      <c r="C37" s="15"/>
      <c r="D37" s="15"/>
      <c r="E37" s="15"/>
      <c r="F37" s="15"/>
      <c r="G37" s="15"/>
      <c r="H37" s="16"/>
      <c r="I37" s="16"/>
      <c r="J37" s="16"/>
      <c r="K37" s="16"/>
      <c r="L37" s="16"/>
      <c r="M37" s="16"/>
      <c r="N37" s="16"/>
      <c r="O37" s="16"/>
      <c r="P37" s="16"/>
      <c r="Q37" s="16"/>
      <c r="R37" s="16"/>
      <c r="S37" s="16"/>
      <c r="T37" s="16"/>
      <c r="U37" s="16"/>
      <c r="V37" s="16"/>
      <c r="W37" s="15"/>
      <c r="X37" s="15"/>
      <c r="Y37" s="15"/>
      <c r="Z37" s="15"/>
    </row>
    <row r="38" customHeight="1" spans="1:26">
      <c r="A38" s="17"/>
      <c r="B38" s="15"/>
      <c r="C38" s="15"/>
      <c r="D38" s="15"/>
      <c r="E38" s="15"/>
      <c r="F38" s="15"/>
      <c r="G38" s="15"/>
      <c r="H38" s="16"/>
      <c r="I38" s="16"/>
      <c r="J38" s="16"/>
      <c r="K38" s="16"/>
      <c r="L38" s="16"/>
      <c r="M38" s="16"/>
      <c r="N38" s="16"/>
      <c r="O38" s="16"/>
      <c r="P38" s="16"/>
      <c r="Q38" s="16"/>
      <c r="R38" s="16"/>
      <c r="S38" s="16"/>
      <c r="T38" s="16"/>
      <c r="U38" s="16"/>
      <c r="V38" s="16"/>
      <c r="W38" s="15"/>
      <c r="X38" s="15"/>
      <c r="Y38" s="15"/>
      <c r="Z38" s="15"/>
    </row>
    <row r="39" customHeight="1" spans="1:26">
      <c r="A39" s="17"/>
      <c r="B39" s="15"/>
      <c r="C39" s="15"/>
      <c r="D39" s="15"/>
      <c r="E39" s="15"/>
      <c r="F39" s="15"/>
      <c r="G39" s="15"/>
      <c r="H39" s="16"/>
      <c r="I39" s="16"/>
      <c r="J39" s="16"/>
      <c r="K39" s="16"/>
      <c r="L39" s="16"/>
      <c r="M39" s="16"/>
      <c r="N39" s="16"/>
      <c r="O39" s="16"/>
      <c r="P39" s="16"/>
      <c r="Q39" s="16"/>
      <c r="R39" s="16"/>
      <c r="S39" s="16"/>
      <c r="T39" s="16"/>
      <c r="U39" s="16"/>
      <c r="V39" s="16"/>
      <c r="W39" s="15"/>
      <c r="X39" s="15"/>
      <c r="Y39" s="15"/>
      <c r="Z39" s="15"/>
    </row>
    <row r="40" customHeight="1" spans="1:26">
      <c r="A40" s="17"/>
      <c r="B40" s="15"/>
      <c r="C40" s="15"/>
      <c r="D40" s="15"/>
      <c r="E40" s="15"/>
      <c r="F40" s="15"/>
      <c r="G40" s="15"/>
      <c r="H40" s="16"/>
      <c r="I40" s="16"/>
      <c r="J40" s="16"/>
      <c r="K40" s="16"/>
      <c r="L40" s="16"/>
      <c r="M40" s="16"/>
      <c r="N40" s="16"/>
      <c r="O40" s="16"/>
      <c r="P40" s="16"/>
      <c r="Q40" s="16"/>
      <c r="R40" s="16"/>
      <c r="S40" s="16"/>
      <c r="T40" s="16"/>
      <c r="U40" s="16"/>
      <c r="V40" s="16"/>
      <c r="W40" s="15"/>
      <c r="X40" s="15"/>
      <c r="Y40" s="15"/>
      <c r="Z40" s="15"/>
    </row>
    <row r="41" customHeight="1" spans="1:26">
      <c r="A41" s="17"/>
      <c r="B41" s="15"/>
      <c r="C41" s="15"/>
      <c r="D41" s="15"/>
      <c r="E41" s="15"/>
      <c r="F41" s="15"/>
      <c r="G41" s="15"/>
      <c r="H41" s="16"/>
      <c r="I41" s="16"/>
      <c r="J41" s="16"/>
      <c r="K41" s="16"/>
      <c r="L41" s="16"/>
      <c r="M41" s="16"/>
      <c r="N41" s="16"/>
      <c r="O41" s="16"/>
      <c r="P41" s="16"/>
      <c r="Q41" s="16"/>
      <c r="R41" s="16"/>
      <c r="S41" s="16"/>
      <c r="T41" s="16"/>
      <c r="U41" s="16"/>
      <c r="V41" s="16"/>
      <c r="W41" s="15"/>
      <c r="X41" s="15"/>
      <c r="Y41" s="15"/>
      <c r="Z41" s="15"/>
    </row>
    <row r="42" customHeight="1" spans="1:26">
      <c r="A42" s="17"/>
      <c r="B42" s="15"/>
      <c r="C42" s="15"/>
      <c r="D42" s="15"/>
      <c r="E42" s="15"/>
      <c r="F42" s="15"/>
      <c r="G42" s="15"/>
      <c r="H42" s="16"/>
      <c r="I42" s="16"/>
      <c r="J42" s="16"/>
      <c r="K42" s="16"/>
      <c r="L42" s="16"/>
      <c r="M42" s="16"/>
      <c r="N42" s="16"/>
      <c r="O42" s="16"/>
      <c r="P42" s="16"/>
      <c r="Q42" s="16"/>
      <c r="R42" s="16"/>
      <c r="S42" s="16"/>
      <c r="T42" s="16"/>
      <c r="U42" s="16"/>
      <c r="V42" s="16"/>
      <c r="W42" s="15"/>
      <c r="X42" s="15"/>
      <c r="Y42" s="15"/>
      <c r="Z42" s="15"/>
    </row>
    <row r="43" customHeight="1" spans="1:26">
      <c r="A43" s="17"/>
      <c r="B43" s="15"/>
      <c r="C43" s="15"/>
      <c r="D43" s="15"/>
      <c r="E43" s="15"/>
      <c r="F43" s="15"/>
      <c r="G43" s="15"/>
      <c r="H43" s="16"/>
      <c r="I43" s="16"/>
      <c r="J43" s="16"/>
      <c r="K43" s="16"/>
      <c r="L43" s="16"/>
      <c r="M43" s="16"/>
      <c r="N43" s="16"/>
      <c r="O43" s="16"/>
      <c r="P43" s="16"/>
      <c r="Q43" s="16"/>
      <c r="R43" s="16"/>
      <c r="S43" s="16"/>
      <c r="T43" s="16"/>
      <c r="U43" s="16"/>
      <c r="V43" s="16"/>
      <c r="W43" s="15"/>
      <c r="X43" s="15"/>
      <c r="Y43" s="15"/>
      <c r="Z43" s="15"/>
    </row>
    <row r="44" customHeight="1" spans="1:26">
      <c r="A44" s="17"/>
      <c r="B44" s="15"/>
      <c r="C44" s="15"/>
      <c r="D44" s="15"/>
      <c r="E44" s="15"/>
      <c r="F44" s="15"/>
      <c r="G44" s="15"/>
      <c r="H44" s="16"/>
      <c r="I44" s="16"/>
      <c r="J44" s="16"/>
      <c r="K44" s="16"/>
      <c r="L44" s="16"/>
      <c r="M44" s="16"/>
      <c r="N44" s="16"/>
      <c r="O44" s="16"/>
      <c r="P44" s="16"/>
      <c r="Q44" s="16"/>
      <c r="R44" s="16"/>
      <c r="S44" s="16"/>
      <c r="T44" s="16"/>
      <c r="U44" s="16"/>
      <c r="V44" s="16"/>
      <c r="W44" s="15"/>
      <c r="X44" s="15"/>
      <c r="Y44" s="15"/>
      <c r="Z44" s="15"/>
    </row>
    <row r="45" customHeight="1" spans="1:26">
      <c r="A45" s="17"/>
      <c r="B45" s="15"/>
      <c r="C45" s="15"/>
      <c r="D45" s="15"/>
      <c r="E45" s="15"/>
      <c r="F45" s="15"/>
      <c r="G45" s="15"/>
      <c r="H45" s="16"/>
      <c r="I45" s="16"/>
      <c r="J45" s="16"/>
      <c r="K45" s="16"/>
      <c r="L45" s="16"/>
      <c r="M45" s="16"/>
      <c r="N45" s="16"/>
      <c r="O45" s="16"/>
      <c r="P45" s="16"/>
      <c r="Q45" s="16"/>
      <c r="R45" s="16"/>
      <c r="S45" s="16"/>
      <c r="T45" s="16"/>
      <c r="U45" s="16"/>
      <c r="V45" s="16"/>
      <c r="W45" s="15"/>
      <c r="X45" s="15"/>
      <c r="Y45" s="15"/>
      <c r="Z45" s="15"/>
    </row>
    <row r="46" customHeight="1" spans="1:26">
      <c r="A46" s="17"/>
      <c r="B46" s="15"/>
      <c r="C46" s="15"/>
      <c r="D46" s="15"/>
      <c r="E46" s="15"/>
      <c r="F46" s="15"/>
      <c r="G46" s="15"/>
      <c r="H46" s="16"/>
      <c r="I46" s="16"/>
      <c r="J46" s="16"/>
      <c r="K46" s="16"/>
      <c r="L46" s="16"/>
      <c r="M46" s="16"/>
      <c r="N46" s="16"/>
      <c r="O46" s="16"/>
      <c r="P46" s="16"/>
      <c r="Q46" s="16"/>
      <c r="R46" s="16"/>
      <c r="S46" s="16"/>
      <c r="T46" s="16"/>
      <c r="U46" s="16"/>
      <c r="V46" s="16"/>
      <c r="W46" s="15"/>
      <c r="X46" s="15"/>
      <c r="Y46" s="15"/>
      <c r="Z46" s="15"/>
    </row>
    <row r="47" customHeight="1" spans="1:26">
      <c r="A47" s="17"/>
      <c r="B47" s="15"/>
      <c r="C47" s="15"/>
      <c r="D47" s="15"/>
      <c r="E47" s="15"/>
      <c r="F47" s="15"/>
      <c r="G47" s="15"/>
      <c r="H47" s="16"/>
      <c r="I47" s="16"/>
      <c r="J47" s="16"/>
      <c r="K47" s="16"/>
      <c r="L47" s="16"/>
      <c r="M47" s="16"/>
      <c r="N47" s="16"/>
      <c r="O47" s="16"/>
      <c r="P47" s="16"/>
      <c r="Q47" s="16"/>
      <c r="R47" s="16"/>
      <c r="S47" s="16"/>
      <c r="T47" s="16"/>
      <c r="U47" s="16"/>
      <c r="V47" s="16"/>
      <c r="W47" s="15"/>
      <c r="X47" s="15"/>
      <c r="Y47" s="15"/>
      <c r="Z47" s="15"/>
    </row>
    <row r="48" customHeight="1" spans="1:26">
      <c r="A48" s="17"/>
      <c r="B48" s="15"/>
      <c r="C48" s="15"/>
      <c r="D48" s="15"/>
      <c r="E48" s="15"/>
      <c r="F48" s="15"/>
      <c r="G48" s="15"/>
      <c r="H48" s="16"/>
      <c r="I48" s="16"/>
      <c r="J48" s="16"/>
      <c r="K48" s="16"/>
      <c r="L48" s="16"/>
      <c r="M48" s="16"/>
      <c r="N48" s="16"/>
      <c r="O48" s="16"/>
      <c r="P48" s="16"/>
      <c r="Q48" s="16"/>
      <c r="R48" s="16"/>
      <c r="S48" s="16"/>
      <c r="T48" s="16"/>
      <c r="U48" s="16"/>
      <c r="V48" s="16"/>
      <c r="W48" s="15"/>
      <c r="X48" s="15"/>
      <c r="Y48" s="15"/>
      <c r="Z48" s="15"/>
    </row>
    <row r="49" customHeight="1" spans="1:26">
      <c r="A49" s="17"/>
      <c r="B49" s="15"/>
      <c r="C49" s="15"/>
      <c r="D49" s="15"/>
      <c r="E49" s="15"/>
      <c r="F49" s="15"/>
      <c r="G49" s="15"/>
      <c r="H49" s="16"/>
      <c r="I49" s="16"/>
      <c r="J49" s="16"/>
      <c r="K49" s="16"/>
      <c r="L49" s="16"/>
      <c r="M49" s="16"/>
      <c r="N49" s="16"/>
      <c r="O49" s="16"/>
      <c r="P49" s="16"/>
      <c r="Q49" s="16"/>
      <c r="R49" s="16"/>
      <c r="S49" s="16"/>
      <c r="T49" s="16"/>
      <c r="U49" s="16"/>
      <c r="V49" s="16"/>
      <c r="W49" s="15"/>
      <c r="X49" s="15"/>
      <c r="Y49" s="15"/>
      <c r="Z49" s="15"/>
    </row>
    <row r="50" customHeight="1" spans="1:26">
      <c r="A50" s="17"/>
      <c r="B50" s="15"/>
      <c r="C50" s="15"/>
      <c r="D50" s="15"/>
      <c r="E50" s="15"/>
      <c r="F50" s="15"/>
      <c r="G50" s="15"/>
      <c r="H50" s="16"/>
      <c r="I50" s="16"/>
      <c r="J50" s="16"/>
      <c r="K50" s="16"/>
      <c r="L50" s="16"/>
      <c r="M50" s="16"/>
      <c r="N50" s="16"/>
      <c r="O50" s="16"/>
      <c r="P50" s="16"/>
      <c r="Q50" s="16"/>
      <c r="R50" s="16"/>
      <c r="S50" s="16"/>
      <c r="T50" s="16"/>
      <c r="U50" s="16"/>
      <c r="V50" s="16"/>
      <c r="W50" s="15"/>
      <c r="X50" s="15"/>
      <c r="Y50" s="15"/>
      <c r="Z50" s="15"/>
    </row>
    <row r="51" customHeight="1" spans="1:26">
      <c r="A51" s="17"/>
      <c r="B51" s="15"/>
      <c r="C51" s="15"/>
      <c r="D51" s="15"/>
      <c r="E51" s="15"/>
      <c r="F51" s="15"/>
      <c r="G51" s="15"/>
      <c r="H51" s="16"/>
      <c r="I51" s="16"/>
      <c r="J51" s="16"/>
      <c r="K51" s="16"/>
      <c r="L51" s="16"/>
      <c r="M51" s="16"/>
      <c r="N51" s="16"/>
      <c r="O51" s="16"/>
      <c r="P51" s="16"/>
      <c r="Q51" s="16"/>
      <c r="R51" s="16"/>
      <c r="S51" s="16"/>
      <c r="T51" s="16"/>
      <c r="U51" s="16"/>
      <c r="V51" s="16"/>
      <c r="W51" s="15"/>
      <c r="X51" s="15"/>
      <c r="Y51" s="15"/>
      <c r="Z51" s="15"/>
    </row>
    <row r="52" customHeight="1" spans="1:26">
      <c r="A52" s="17"/>
      <c r="B52" s="15"/>
      <c r="C52" s="15"/>
      <c r="D52" s="15"/>
      <c r="E52" s="15"/>
      <c r="F52" s="15"/>
      <c r="G52" s="15"/>
      <c r="H52" s="16"/>
      <c r="I52" s="16"/>
      <c r="J52" s="16"/>
      <c r="K52" s="16"/>
      <c r="L52" s="16"/>
      <c r="M52" s="16"/>
      <c r="N52" s="16"/>
      <c r="O52" s="16"/>
      <c r="P52" s="16"/>
      <c r="Q52" s="16"/>
      <c r="R52" s="16"/>
      <c r="S52" s="16"/>
      <c r="T52" s="16"/>
      <c r="U52" s="16"/>
      <c r="V52" s="16"/>
      <c r="W52" s="15"/>
      <c r="X52" s="15"/>
      <c r="Y52" s="15"/>
      <c r="Z52" s="15"/>
    </row>
    <row r="53" customHeight="1" spans="1:26">
      <c r="A53" s="17"/>
      <c r="B53" s="15"/>
      <c r="C53" s="15"/>
      <c r="D53" s="15"/>
      <c r="E53" s="15"/>
      <c r="F53" s="15"/>
      <c r="G53" s="15"/>
      <c r="H53" s="16"/>
      <c r="I53" s="16"/>
      <c r="J53" s="16"/>
      <c r="K53" s="16"/>
      <c r="L53" s="16"/>
      <c r="M53" s="16"/>
      <c r="N53" s="16"/>
      <c r="O53" s="16"/>
      <c r="P53" s="16"/>
      <c r="Q53" s="16"/>
      <c r="R53" s="16"/>
      <c r="S53" s="16"/>
      <c r="T53" s="16"/>
      <c r="U53" s="16"/>
      <c r="V53" s="16"/>
      <c r="W53" s="15"/>
      <c r="X53" s="15"/>
      <c r="Y53" s="15"/>
      <c r="Z53" s="15"/>
    </row>
    <row r="54" customHeight="1" spans="1:26">
      <c r="A54" s="17"/>
      <c r="B54" s="15"/>
      <c r="C54" s="15"/>
      <c r="D54" s="15"/>
      <c r="E54" s="15"/>
      <c r="F54" s="15"/>
      <c r="G54" s="15"/>
      <c r="H54" s="16"/>
      <c r="I54" s="16"/>
      <c r="J54" s="16"/>
      <c r="K54" s="16"/>
      <c r="L54" s="16"/>
      <c r="M54" s="16"/>
      <c r="N54" s="16"/>
      <c r="O54" s="16"/>
      <c r="P54" s="16"/>
      <c r="Q54" s="16"/>
      <c r="R54" s="16"/>
      <c r="S54" s="16"/>
      <c r="T54" s="16"/>
      <c r="U54" s="16"/>
      <c r="V54" s="16"/>
      <c r="W54" s="15"/>
      <c r="X54" s="15"/>
      <c r="Y54" s="15"/>
      <c r="Z54" s="15"/>
    </row>
    <row r="55" customHeight="1" spans="1:26">
      <c r="A55" s="17"/>
      <c r="B55" s="15"/>
      <c r="C55" s="15"/>
      <c r="D55" s="15"/>
      <c r="E55" s="15"/>
      <c r="F55" s="15"/>
      <c r="G55" s="15"/>
      <c r="H55" s="16"/>
      <c r="I55" s="16"/>
      <c r="J55" s="16"/>
      <c r="K55" s="16"/>
      <c r="L55" s="16"/>
      <c r="M55" s="16"/>
      <c r="N55" s="16"/>
      <c r="O55" s="16"/>
      <c r="P55" s="16"/>
      <c r="Q55" s="16"/>
      <c r="R55" s="16"/>
      <c r="S55" s="16"/>
      <c r="T55" s="16"/>
      <c r="U55" s="16"/>
      <c r="V55" s="16"/>
      <c r="W55" s="15"/>
      <c r="X55" s="15"/>
      <c r="Y55" s="15"/>
      <c r="Z55" s="15"/>
    </row>
    <row r="56" customHeight="1" spans="1:26">
      <c r="A56" s="17"/>
      <c r="B56" s="15"/>
      <c r="C56" s="15"/>
      <c r="D56" s="15"/>
      <c r="E56" s="15"/>
      <c r="F56" s="15"/>
      <c r="G56" s="15"/>
      <c r="H56" s="16"/>
      <c r="I56" s="16"/>
      <c r="J56" s="16"/>
      <c r="K56" s="16"/>
      <c r="L56" s="16"/>
      <c r="M56" s="16"/>
      <c r="N56" s="16"/>
      <c r="O56" s="16"/>
      <c r="P56" s="16"/>
      <c r="Q56" s="16"/>
      <c r="R56" s="16"/>
      <c r="S56" s="16"/>
      <c r="T56" s="16"/>
      <c r="U56" s="16"/>
      <c r="V56" s="16"/>
      <c r="W56" s="15"/>
      <c r="X56" s="15"/>
      <c r="Y56" s="15"/>
      <c r="Z56" s="15"/>
    </row>
    <row r="57" customHeight="1" spans="1:26">
      <c r="A57" s="17"/>
      <c r="B57" s="15"/>
      <c r="C57" s="15"/>
      <c r="D57" s="15"/>
      <c r="E57" s="15"/>
      <c r="F57" s="15"/>
      <c r="G57" s="15"/>
      <c r="H57" s="16"/>
      <c r="I57" s="16"/>
      <c r="J57" s="16"/>
      <c r="K57" s="16"/>
      <c r="L57" s="16"/>
      <c r="M57" s="16"/>
      <c r="N57" s="16"/>
      <c r="O57" s="16"/>
      <c r="P57" s="16"/>
      <c r="Q57" s="16"/>
      <c r="R57" s="16"/>
      <c r="S57" s="16"/>
      <c r="T57" s="16"/>
      <c r="U57" s="16"/>
      <c r="V57" s="16"/>
      <c r="W57" s="15"/>
      <c r="X57" s="15"/>
      <c r="Y57" s="15"/>
      <c r="Z57" s="15"/>
    </row>
    <row r="58" customHeight="1" spans="1:26">
      <c r="A58" s="17"/>
      <c r="B58" s="15"/>
      <c r="C58" s="15"/>
      <c r="D58" s="15"/>
      <c r="E58" s="15"/>
      <c r="F58" s="15"/>
      <c r="G58" s="15"/>
      <c r="H58" s="16"/>
      <c r="I58" s="16"/>
      <c r="J58" s="16"/>
      <c r="K58" s="16"/>
      <c r="L58" s="16"/>
      <c r="M58" s="16"/>
      <c r="N58" s="16"/>
      <c r="O58" s="16"/>
      <c r="P58" s="16"/>
      <c r="Q58" s="16"/>
      <c r="R58" s="16"/>
      <c r="S58" s="16"/>
      <c r="T58" s="16"/>
      <c r="U58" s="16"/>
      <c r="V58" s="16"/>
      <c r="W58" s="15"/>
      <c r="X58" s="15"/>
      <c r="Y58" s="15"/>
      <c r="Z58" s="15"/>
    </row>
    <row r="59" customHeight="1" spans="1:26">
      <c r="A59" s="17"/>
      <c r="B59" s="15"/>
      <c r="C59" s="15"/>
      <c r="D59" s="15"/>
      <c r="E59" s="15"/>
      <c r="F59" s="15"/>
      <c r="G59" s="15"/>
      <c r="H59" s="16"/>
      <c r="I59" s="16"/>
      <c r="J59" s="16"/>
      <c r="K59" s="16"/>
      <c r="L59" s="16"/>
      <c r="M59" s="16"/>
      <c r="N59" s="16"/>
      <c r="O59" s="16"/>
      <c r="P59" s="16"/>
      <c r="Q59" s="16"/>
      <c r="R59" s="16"/>
      <c r="S59" s="16"/>
      <c r="T59" s="16"/>
      <c r="U59" s="16"/>
      <c r="V59" s="16"/>
      <c r="W59" s="15"/>
      <c r="X59" s="15"/>
      <c r="Y59" s="15"/>
      <c r="Z59" s="15"/>
    </row>
    <row r="60" customHeight="1" spans="1:26">
      <c r="A60" s="17"/>
      <c r="B60" s="15"/>
      <c r="C60" s="15"/>
      <c r="D60" s="15"/>
      <c r="E60" s="15"/>
      <c r="F60" s="15"/>
      <c r="G60" s="15"/>
      <c r="H60" s="16"/>
      <c r="I60" s="16"/>
      <c r="J60" s="16"/>
      <c r="K60" s="16"/>
      <c r="L60" s="16"/>
      <c r="M60" s="16"/>
      <c r="N60" s="16"/>
      <c r="O60" s="16"/>
      <c r="P60" s="16"/>
      <c r="Q60" s="16"/>
      <c r="R60" s="16"/>
      <c r="S60" s="16"/>
      <c r="T60" s="16"/>
      <c r="U60" s="16"/>
      <c r="V60" s="16"/>
      <c r="W60" s="15"/>
      <c r="X60" s="15"/>
      <c r="Y60" s="15"/>
      <c r="Z60" s="15"/>
    </row>
    <row r="61" customHeight="1" spans="1:26">
      <c r="A61" s="17"/>
      <c r="B61" s="15"/>
      <c r="C61" s="15"/>
      <c r="D61" s="15"/>
      <c r="E61" s="15"/>
      <c r="F61" s="15"/>
      <c r="G61" s="15"/>
      <c r="H61" s="16"/>
      <c r="I61" s="16"/>
      <c r="J61" s="16"/>
      <c r="K61" s="16"/>
      <c r="L61" s="16"/>
      <c r="M61" s="16"/>
      <c r="N61" s="16"/>
      <c r="O61" s="16"/>
      <c r="P61" s="16"/>
      <c r="Q61" s="16"/>
      <c r="R61" s="16"/>
      <c r="S61" s="16"/>
      <c r="T61" s="16"/>
      <c r="U61" s="16"/>
      <c r="V61" s="16"/>
      <c r="W61" s="15"/>
      <c r="X61" s="15"/>
      <c r="Y61" s="15"/>
      <c r="Z61" s="15"/>
    </row>
    <row r="62" customHeight="1" spans="1:26">
      <c r="A62" s="17"/>
      <c r="B62" s="15"/>
      <c r="C62" s="15"/>
      <c r="D62" s="15"/>
      <c r="E62" s="15"/>
      <c r="F62" s="15"/>
      <c r="G62" s="15"/>
      <c r="H62" s="16"/>
      <c r="I62" s="16"/>
      <c r="J62" s="16"/>
      <c r="K62" s="16"/>
      <c r="L62" s="16"/>
      <c r="M62" s="16"/>
      <c r="N62" s="16"/>
      <c r="O62" s="16"/>
      <c r="P62" s="16"/>
      <c r="Q62" s="16"/>
      <c r="R62" s="16"/>
      <c r="S62" s="16"/>
      <c r="T62" s="16"/>
      <c r="U62" s="16"/>
      <c r="V62" s="16"/>
      <c r="W62" s="15"/>
      <c r="X62" s="15"/>
      <c r="Y62" s="15"/>
      <c r="Z62" s="15"/>
    </row>
    <row r="63" customHeight="1" spans="1:26">
      <c r="A63" s="17"/>
      <c r="B63" s="15"/>
      <c r="C63" s="15"/>
      <c r="D63" s="15"/>
      <c r="E63" s="15"/>
      <c r="F63" s="15"/>
      <c r="G63" s="15"/>
      <c r="H63" s="16"/>
      <c r="I63" s="16"/>
      <c r="J63" s="16"/>
      <c r="K63" s="16"/>
      <c r="L63" s="16"/>
      <c r="M63" s="16"/>
      <c r="N63" s="16"/>
      <c r="O63" s="16"/>
      <c r="P63" s="16"/>
      <c r="Q63" s="16"/>
      <c r="R63" s="16"/>
      <c r="S63" s="16"/>
      <c r="T63" s="16"/>
      <c r="U63" s="16"/>
      <c r="V63" s="16"/>
      <c r="W63" s="15"/>
      <c r="X63" s="15"/>
      <c r="Y63" s="15"/>
      <c r="Z63" s="15"/>
    </row>
    <row r="64" customHeight="1" spans="1:26">
      <c r="A64" s="17"/>
      <c r="B64" s="15"/>
      <c r="C64" s="15"/>
      <c r="D64" s="15"/>
      <c r="E64" s="15"/>
      <c r="F64" s="15"/>
      <c r="G64" s="15"/>
      <c r="H64" s="16"/>
      <c r="I64" s="16"/>
      <c r="J64" s="16"/>
      <c r="K64" s="16"/>
      <c r="L64" s="16"/>
      <c r="M64" s="16"/>
      <c r="N64" s="16"/>
      <c r="O64" s="16"/>
      <c r="P64" s="16"/>
      <c r="Q64" s="16"/>
      <c r="R64" s="16"/>
      <c r="S64" s="16"/>
      <c r="T64" s="16"/>
      <c r="U64" s="16"/>
      <c r="V64" s="16"/>
      <c r="W64" s="15"/>
      <c r="X64" s="15"/>
      <c r="Y64" s="15"/>
      <c r="Z64" s="15"/>
    </row>
    <row r="65" customHeight="1" spans="1:26">
      <c r="A65" s="17"/>
      <c r="B65" s="15"/>
      <c r="C65" s="15"/>
      <c r="D65" s="15"/>
      <c r="E65" s="15"/>
      <c r="F65" s="15"/>
      <c r="G65" s="15"/>
      <c r="H65" s="16"/>
      <c r="I65" s="16"/>
      <c r="J65" s="16"/>
      <c r="K65" s="16"/>
      <c r="L65" s="16"/>
      <c r="M65" s="16"/>
      <c r="N65" s="16"/>
      <c r="O65" s="16"/>
      <c r="P65" s="16"/>
      <c r="Q65" s="16"/>
      <c r="R65" s="16"/>
      <c r="S65" s="16"/>
      <c r="T65" s="16"/>
      <c r="U65" s="16"/>
      <c r="V65" s="16"/>
      <c r="W65" s="15"/>
      <c r="X65" s="15"/>
      <c r="Y65" s="15"/>
      <c r="Z65" s="15"/>
    </row>
    <row r="66" customHeight="1" spans="1:26">
      <c r="A66" s="17"/>
      <c r="B66" s="15"/>
      <c r="C66" s="15"/>
      <c r="D66" s="15"/>
      <c r="E66" s="15"/>
      <c r="F66" s="15"/>
      <c r="G66" s="15"/>
      <c r="H66" s="16"/>
      <c r="I66" s="16"/>
      <c r="J66" s="16"/>
      <c r="K66" s="16"/>
      <c r="L66" s="16"/>
      <c r="M66" s="16"/>
      <c r="N66" s="16"/>
      <c r="O66" s="16"/>
      <c r="P66" s="16"/>
      <c r="Q66" s="16"/>
      <c r="R66" s="16"/>
      <c r="S66" s="16"/>
      <c r="T66" s="16"/>
      <c r="U66" s="16"/>
      <c r="V66" s="16"/>
      <c r="W66" s="15"/>
      <c r="X66" s="15"/>
      <c r="Y66" s="15"/>
      <c r="Z66" s="15"/>
    </row>
    <row r="67" customHeight="1" spans="1:26">
      <c r="A67" s="17"/>
      <c r="B67" s="15"/>
      <c r="C67" s="15"/>
      <c r="D67" s="15"/>
      <c r="E67" s="15"/>
      <c r="F67" s="15"/>
      <c r="G67" s="15"/>
      <c r="H67" s="16"/>
      <c r="I67" s="16"/>
      <c r="J67" s="16"/>
      <c r="K67" s="16"/>
      <c r="L67" s="16"/>
      <c r="M67" s="16"/>
      <c r="N67" s="16"/>
      <c r="O67" s="16"/>
      <c r="P67" s="16"/>
      <c r="Q67" s="16"/>
      <c r="R67" s="16"/>
      <c r="S67" s="16"/>
      <c r="T67" s="16"/>
      <c r="U67" s="16"/>
      <c r="V67" s="16"/>
      <c r="W67" s="15"/>
      <c r="X67" s="15"/>
      <c r="Y67" s="15"/>
      <c r="Z67" s="15"/>
    </row>
    <row r="68" customHeight="1" spans="1:26">
      <c r="A68" s="17"/>
      <c r="B68" s="15"/>
      <c r="C68" s="15"/>
      <c r="D68" s="15"/>
      <c r="E68" s="15"/>
      <c r="F68" s="15"/>
      <c r="G68" s="15"/>
      <c r="H68" s="16"/>
      <c r="I68" s="16"/>
      <c r="J68" s="16"/>
      <c r="K68" s="16"/>
      <c r="L68" s="16"/>
      <c r="M68" s="16"/>
      <c r="N68" s="16"/>
      <c r="O68" s="16"/>
      <c r="P68" s="16"/>
      <c r="Q68" s="16"/>
      <c r="R68" s="16"/>
      <c r="S68" s="16"/>
      <c r="T68" s="16"/>
      <c r="U68" s="16"/>
      <c r="V68" s="16"/>
      <c r="W68" s="15"/>
      <c r="X68" s="15"/>
      <c r="Y68" s="15"/>
      <c r="Z68" s="15"/>
    </row>
    <row r="69" customHeight="1" spans="1:26">
      <c r="A69" s="17"/>
      <c r="B69" s="15"/>
      <c r="C69" s="15"/>
      <c r="D69" s="15"/>
      <c r="E69" s="15"/>
      <c r="F69" s="15"/>
      <c r="G69" s="15"/>
      <c r="H69" s="16"/>
      <c r="I69" s="16"/>
      <c r="J69" s="16"/>
      <c r="K69" s="16"/>
      <c r="L69" s="16"/>
      <c r="M69" s="16"/>
      <c r="N69" s="16"/>
      <c r="O69" s="16"/>
      <c r="P69" s="16"/>
      <c r="Q69" s="16"/>
      <c r="R69" s="16"/>
      <c r="S69" s="16"/>
      <c r="T69" s="16"/>
      <c r="U69" s="16"/>
      <c r="V69" s="16"/>
      <c r="W69" s="15"/>
      <c r="X69" s="15"/>
      <c r="Y69" s="15"/>
      <c r="Z69" s="15"/>
    </row>
    <row r="70" customHeight="1" spans="1:26">
      <c r="A70" s="17"/>
      <c r="B70" s="15"/>
      <c r="C70" s="15"/>
      <c r="D70" s="15"/>
      <c r="E70" s="15"/>
      <c r="F70" s="15"/>
      <c r="G70" s="15"/>
      <c r="H70" s="16"/>
      <c r="I70" s="16"/>
      <c r="J70" s="16"/>
      <c r="K70" s="16"/>
      <c r="L70" s="16"/>
      <c r="M70" s="16"/>
      <c r="N70" s="16"/>
      <c r="O70" s="16"/>
      <c r="P70" s="16"/>
      <c r="Q70" s="16"/>
      <c r="R70" s="16"/>
      <c r="S70" s="16"/>
      <c r="T70" s="16"/>
      <c r="U70" s="16"/>
      <c r="V70" s="16"/>
      <c r="W70" s="15"/>
      <c r="X70" s="15"/>
      <c r="Y70" s="15"/>
      <c r="Z70" s="15"/>
    </row>
    <row r="71" customHeight="1" spans="1:26">
      <c r="A71" s="17"/>
      <c r="B71" s="15"/>
      <c r="C71" s="15"/>
      <c r="D71" s="15"/>
      <c r="E71" s="15"/>
      <c r="F71" s="15"/>
      <c r="G71" s="15"/>
      <c r="H71" s="16"/>
      <c r="I71" s="16"/>
      <c r="J71" s="16"/>
      <c r="K71" s="16"/>
      <c r="L71" s="16"/>
      <c r="M71" s="16"/>
      <c r="N71" s="16"/>
      <c r="O71" s="16"/>
      <c r="P71" s="16"/>
      <c r="Q71" s="16"/>
      <c r="R71" s="16"/>
      <c r="S71" s="16"/>
      <c r="T71" s="16"/>
      <c r="U71" s="16"/>
      <c r="V71" s="16"/>
      <c r="W71" s="15"/>
      <c r="X71" s="15"/>
      <c r="Y71" s="15"/>
      <c r="Z71" s="15"/>
    </row>
    <row r="72" customHeight="1" spans="1:26">
      <c r="A72" s="17"/>
      <c r="B72" s="15"/>
      <c r="C72" s="15"/>
      <c r="D72" s="15"/>
      <c r="E72" s="15"/>
      <c r="F72" s="15"/>
      <c r="G72" s="15"/>
      <c r="H72" s="16"/>
      <c r="I72" s="16"/>
      <c r="J72" s="16"/>
      <c r="K72" s="16"/>
      <c r="L72" s="16"/>
      <c r="M72" s="16"/>
      <c r="N72" s="16"/>
      <c r="O72" s="16"/>
      <c r="P72" s="16"/>
      <c r="Q72" s="16"/>
      <c r="R72" s="16"/>
      <c r="S72" s="16"/>
      <c r="T72" s="16"/>
      <c r="U72" s="16"/>
      <c r="V72" s="16"/>
      <c r="W72" s="15"/>
      <c r="X72" s="15"/>
      <c r="Y72" s="15"/>
      <c r="Z72" s="15"/>
    </row>
    <row r="73" customHeight="1" spans="1:26">
      <c r="A73" s="17"/>
      <c r="B73" s="15"/>
      <c r="C73" s="15"/>
      <c r="D73" s="15"/>
      <c r="E73" s="15"/>
      <c r="F73" s="15"/>
      <c r="G73" s="15"/>
      <c r="H73" s="16"/>
      <c r="I73" s="16"/>
      <c r="J73" s="16"/>
      <c r="K73" s="16"/>
      <c r="L73" s="16"/>
      <c r="M73" s="16"/>
      <c r="N73" s="16"/>
      <c r="O73" s="16"/>
      <c r="P73" s="16"/>
      <c r="Q73" s="16"/>
      <c r="R73" s="16"/>
      <c r="S73" s="16"/>
      <c r="T73" s="16"/>
      <c r="U73" s="16"/>
      <c r="V73" s="16"/>
      <c r="W73" s="15"/>
      <c r="X73" s="15"/>
      <c r="Y73" s="15"/>
      <c r="Z73" s="15"/>
    </row>
    <row r="74" customHeight="1" spans="1:26">
      <c r="A74" s="17"/>
      <c r="B74" s="15"/>
      <c r="C74" s="15"/>
      <c r="D74" s="15"/>
      <c r="E74" s="15"/>
      <c r="F74" s="15"/>
      <c r="G74" s="15"/>
      <c r="H74" s="16"/>
      <c r="I74" s="16"/>
      <c r="J74" s="16"/>
      <c r="K74" s="16"/>
      <c r="L74" s="16"/>
      <c r="M74" s="16"/>
      <c r="N74" s="16"/>
      <c r="O74" s="16"/>
      <c r="P74" s="16"/>
      <c r="Q74" s="16"/>
      <c r="R74" s="16"/>
      <c r="S74" s="16"/>
      <c r="T74" s="16"/>
      <c r="U74" s="16"/>
      <c r="V74" s="16"/>
      <c r="W74" s="15"/>
      <c r="X74" s="15"/>
      <c r="Y74" s="15"/>
      <c r="Z74" s="15"/>
    </row>
    <row r="75" customHeight="1" spans="1:26">
      <c r="A75" s="17"/>
      <c r="B75" s="15"/>
      <c r="C75" s="15"/>
      <c r="D75" s="15"/>
      <c r="E75" s="15"/>
      <c r="F75" s="15"/>
      <c r="G75" s="15"/>
      <c r="H75" s="16"/>
      <c r="I75" s="16"/>
      <c r="J75" s="16"/>
      <c r="K75" s="16"/>
      <c r="L75" s="16"/>
      <c r="M75" s="16"/>
      <c r="N75" s="16"/>
      <c r="O75" s="16"/>
      <c r="P75" s="16"/>
      <c r="Q75" s="16"/>
      <c r="R75" s="16"/>
      <c r="S75" s="16"/>
      <c r="T75" s="16"/>
      <c r="U75" s="16"/>
      <c r="V75" s="16"/>
      <c r="W75" s="15"/>
      <c r="X75" s="15"/>
      <c r="Y75" s="15"/>
      <c r="Z75" s="15"/>
    </row>
    <row r="76" customHeight="1" spans="1:26">
      <c r="A76" s="17"/>
      <c r="B76" s="15"/>
      <c r="C76" s="15"/>
      <c r="D76" s="15"/>
      <c r="E76" s="15"/>
      <c r="F76" s="15"/>
      <c r="G76" s="15"/>
      <c r="H76" s="16"/>
      <c r="I76" s="16"/>
      <c r="J76" s="16"/>
      <c r="K76" s="16"/>
      <c r="L76" s="16"/>
      <c r="M76" s="16"/>
      <c r="N76" s="16"/>
      <c r="O76" s="16"/>
      <c r="P76" s="16"/>
      <c r="Q76" s="16"/>
      <c r="R76" s="16"/>
      <c r="S76" s="16"/>
      <c r="T76" s="16"/>
      <c r="U76" s="16"/>
      <c r="V76" s="16"/>
      <c r="W76" s="15"/>
      <c r="X76" s="15"/>
      <c r="Y76" s="15"/>
      <c r="Z76" s="15"/>
    </row>
    <row r="77" customHeight="1" spans="1:26">
      <c r="A77" s="17"/>
      <c r="B77" s="15"/>
      <c r="C77" s="15"/>
      <c r="D77" s="15"/>
      <c r="E77" s="15"/>
      <c r="F77" s="15"/>
      <c r="G77" s="15"/>
      <c r="H77" s="16"/>
      <c r="I77" s="16"/>
      <c r="J77" s="16"/>
      <c r="K77" s="16"/>
      <c r="L77" s="16"/>
      <c r="M77" s="16"/>
      <c r="N77" s="16"/>
      <c r="O77" s="16"/>
      <c r="P77" s="16"/>
      <c r="Q77" s="16"/>
      <c r="R77" s="16"/>
      <c r="S77" s="16"/>
      <c r="T77" s="16"/>
      <c r="U77" s="16"/>
      <c r="V77" s="16"/>
      <c r="W77" s="15"/>
      <c r="X77" s="15"/>
      <c r="Y77" s="15"/>
      <c r="Z77" s="15"/>
    </row>
    <row r="78" customHeight="1" spans="1:26">
      <c r="A78" s="17"/>
      <c r="B78" s="15"/>
      <c r="C78" s="15"/>
      <c r="D78" s="15"/>
      <c r="E78" s="15"/>
      <c r="F78" s="15"/>
      <c r="G78" s="15"/>
      <c r="H78" s="16"/>
      <c r="I78" s="16"/>
      <c r="J78" s="16"/>
      <c r="K78" s="16"/>
      <c r="L78" s="16"/>
      <c r="M78" s="16"/>
      <c r="N78" s="16"/>
      <c r="O78" s="16"/>
      <c r="P78" s="16"/>
      <c r="Q78" s="16"/>
      <c r="R78" s="16"/>
      <c r="S78" s="16"/>
      <c r="T78" s="16"/>
      <c r="U78" s="16"/>
      <c r="V78" s="16"/>
      <c r="W78" s="15"/>
      <c r="X78" s="15"/>
      <c r="Y78" s="15"/>
      <c r="Z78" s="15"/>
    </row>
    <row r="79" customHeight="1" spans="1:26">
      <c r="A79" s="17"/>
      <c r="B79" s="15"/>
      <c r="C79" s="15"/>
      <c r="D79" s="15"/>
      <c r="E79" s="15"/>
      <c r="F79" s="15"/>
      <c r="G79" s="15"/>
      <c r="H79" s="16"/>
      <c r="I79" s="16"/>
      <c r="J79" s="16"/>
      <c r="K79" s="16"/>
      <c r="L79" s="16"/>
      <c r="M79" s="16"/>
      <c r="N79" s="16"/>
      <c r="O79" s="16"/>
      <c r="P79" s="16"/>
      <c r="Q79" s="16"/>
      <c r="R79" s="16"/>
      <c r="S79" s="16"/>
      <c r="T79" s="16"/>
      <c r="U79" s="16"/>
      <c r="V79" s="16"/>
      <c r="W79" s="15"/>
      <c r="X79" s="15"/>
      <c r="Y79" s="15"/>
      <c r="Z79" s="15"/>
    </row>
    <row r="80" customHeight="1" spans="1:26">
      <c r="A80" s="17"/>
      <c r="B80" s="15"/>
      <c r="C80" s="15"/>
      <c r="D80" s="15"/>
      <c r="E80" s="15"/>
      <c r="F80" s="15"/>
      <c r="G80" s="15"/>
      <c r="H80" s="16"/>
      <c r="I80" s="16"/>
      <c r="J80" s="16"/>
      <c r="K80" s="16"/>
      <c r="L80" s="16"/>
      <c r="M80" s="16"/>
      <c r="N80" s="16"/>
      <c r="O80" s="16"/>
      <c r="P80" s="16"/>
      <c r="Q80" s="16"/>
      <c r="R80" s="16"/>
      <c r="S80" s="16"/>
      <c r="T80" s="16"/>
      <c r="U80" s="16"/>
      <c r="V80" s="16"/>
      <c r="W80" s="15"/>
      <c r="X80" s="15"/>
      <c r="Y80" s="15"/>
      <c r="Z80" s="15"/>
    </row>
    <row r="81" customHeight="1" spans="1:26">
      <c r="A81" s="17"/>
      <c r="B81" s="15"/>
      <c r="C81" s="15"/>
      <c r="D81" s="15"/>
      <c r="E81" s="15"/>
      <c r="F81" s="15"/>
      <c r="G81" s="15"/>
      <c r="H81" s="16"/>
      <c r="I81" s="16"/>
      <c r="J81" s="16"/>
      <c r="K81" s="16"/>
      <c r="L81" s="16"/>
      <c r="M81" s="16"/>
      <c r="N81" s="16"/>
      <c r="O81" s="16"/>
      <c r="P81" s="16"/>
      <c r="Q81" s="16"/>
      <c r="R81" s="16"/>
      <c r="S81" s="16"/>
      <c r="T81" s="16"/>
      <c r="U81" s="16"/>
      <c r="V81" s="16"/>
      <c r="W81" s="15"/>
      <c r="X81" s="15"/>
      <c r="Y81" s="15"/>
      <c r="Z81" s="15"/>
    </row>
    <row r="82" customHeight="1" spans="1:26">
      <c r="A82" s="17"/>
      <c r="B82" s="15"/>
      <c r="C82" s="15"/>
      <c r="D82" s="15"/>
      <c r="E82" s="15"/>
      <c r="F82" s="15"/>
      <c r="G82" s="15"/>
      <c r="H82" s="16"/>
      <c r="I82" s="16"/>
      <c r="J82" s="16"/>
      <c r="K82" s="16"/>
      <c r="L82" s="16"/>
      <c r="M82" s="16"/>
      <c r="N82" s="16"/>
      <c r="O82" s="16"/>
      <c r="P82" s="16"/>
      <c r="Q82" s="16"/>
      <c r="R82" s="16"/>
      <c r="S82" s="16"/>
      <c r="T82" s="16"/>
      <c r="U82" s="16"/>
      <c r="V82" s="16"/>
      <c r="W82" s="15"/>
      <c r="X82" s="15"/>
      <c r="Y82" s="15"/>
      <c r="Z82" s="15"/>
    </row>
    <row r="83" customHeight="1" spans="1:26">
      <c r="A83" s="17"/>
      <c r="B83" s="15"/>
      <c r="C83" s="15"/>
      <c r="D83" s="15"/>
      <c r="E83" s="15"/>
      <c r="F83" s="15"/>
      <c r="G83" s="15"/>
      <c r="H83" s="16"/>
      <c r="I83" s="16"/>
      <c r="J83" s="16"/>
      <c r="K83" s="16"/>
      <c r="L83" s="16"/>
      <c r="M83" s="16"/>
      <c r="N83" s="16"/>
      <c r="O83" s="16"/>
      <c r="P83" s="16"/>
      <c r="Q83" s="16"/>
      <c r="R83" s="16"/>
      <c r="S83" s="16"/>
      <c r="T83" s="16"/>
      <c r="U83" s="16"/>
      <c r="V83" s="16"/>
      <c r="W83" s="15"/>
      <c r="X83" s="15"/>
      <c r="Y83" s="15"/>
      <c r="Z83" s="15"/>
    </row>
    <row r="84" customHeight="1" spans="1:26">
      <c r="A84" s="17"/>
      <c r="B84" s="15"/>
      <c r="C84" s="15"/>
      <c r="D84" s="15"/>
      <c r="E84" s="15"/>
      <c r="F84" s="15"/>
      <c r="G84" s="15"/>
      <c r="H84" s="16"/>
      <c r="I84" s="16"/>
      <c r="J84" s="16"/>
      <c r="K84" s="16"/>
      <c r="L84" s="16"/>
      <c r="M84" s="16"/>
      <c r="N84" s="16"/>
      <c r="O84" s="16"/>
      <c r="P84" s="16"/>
      <c r="Q84" s="16"/>
      <c r="R84" s="16"/>
      <c r="S84" s="16"/>
      <c r="T84" s="16"/>
      <c r="U84" s="16"/>
      <c r="V84" s="16"/>
      <c r="W84" s="15"/>
      <c r="X84" s="15"/>
      <c r="Y84" s="15"/>
      <c r="Z84" s="15"/>
    </row>
    <row r="85" customHeight="1" spans="1:26">
      <c r="A85" s="17"/>
      <c r="B85" s="15"/>
      <c r="C85" s="15"/>
      <c r="D85" s="15"/>
      <c r="E85" s="15"/>
      <c r="F85" s="15"/>
      <c r="G85" s="15"/>
      <c r="H85" s="16"/>
      <c r="I85" s="16"/>
      <c r="J85" s="16"/>
      <c r="K85" s="16"/>
      <c r="L85" s="16"/>
      <c r="M85" s="16"/>
      <c r="N85" s="16"/>
      <c r="O85" s="16"/>
      <c r="P85" s="16"/>
      <c r="Q85" s="16"/>
      <c r="R85" s="16"/>
      <c r="S85" s="16"/>
      <c r="T85" s="16"/>
      <c r="U85" s="16"/>
      <c r="V85" s="16"/>
      <c r="W85" s="15"/>
      <c r="X85" s="15"/>
      <c r="Y85" s="15"/>
      <c r="Z85" s="15"/>
    </row>
    <row r="86" customHeight="1" spans="1:26">
      <c r="A86" s="17"/>
      <c r="B86" s="15"/>
      <c r="C86" s="15"/>
      <c r="D86" s="15"/>
      <c r="E86" s="15"/>
      <c r="F86" s="15"/>
      <c r="G86" s="15"/>
      <c r="H86" s="16"/>
      <c r="I86" s="16"/>
      <c r="J86" s="16"/>
      <c r="K86" s="16"/>
      <c r="L86" s="16"/>
      <c r="M86" s="16"/>
      <c r="N86" s="16"/>
      <c r="O86" s="16"/>
      <c r="P86" s="16"/>
      <c r="Q86" s="16"/>
      <c r="R86" s="16"/>
      <c r="S86" s="16"/>
      <c r="T86" s="16"/>
      <c r="U86" s="16"/>
      <c r="V86" s="16"/>
      <c r="W86" s="15"/>
      <c r="X86" s="15"/>
      <c r="Y86" s="15"/>
      <c r="Z86" s="15"/>
    </row>
    <row r="87" customHeight="1" spans="1:26">
      <c r="A87" s="17"/>
      <c r="B87" s="15"/>
      <c r="C87" s="15"/>
      <c r="D87" s="15"/>
      <c r="E87" s="15"/>
      <c r="F87" s="15"/>
      <c r="G87" s="15"/>
      <c r="H87" s="16"/>
      <c r="I87" s="16"/>
      <c r="J87" s="16"/>
      <c r="K87" s="16"/>
      <c r="L87" s="16"/>
      <c r="M87" s="16"/>
      <c r="N87" s="16"/>
      <c r="O87" s="16"/>
      <c r="P87" s="16"/>
      <c r="Q87" s="16"/>
      <c r="R87" s="16"/>
      <c r="S87" s="16"/>
      <c r="T87" s="16"/>
      <c r="U87" s="16"/>
      <c r="V87" s="16"/>
      <c r="W87" s="15"/>
      <c r="X87" s="15"/>
      <c r="Y87" s="15"/>
      <c r="Z87" s="15"/>
    </row>
    <row r="88" customHeight="1" spans="1:26">
      <c r="A88" s="17"/>
      <c r="B88" s="15"/>
      <c r="C88" s="15"/>
      <c r="D88" s="15"/>
      <c r="E88" s="15"/>
      <c r="F88" s="15"/>
      <c r="G88" s="15"/>
      <c r="H88" s="16"/>
      <c r="I88" s="16"/>
      <c r="J88" s="16"/>
      <c r="K88" s="16"/>
      <c r="L88" s="16"/>
      <c r="M88" s="16"/>
      <c r="N88" s="16"/>
      <c r="O88" s="16"/>
      <c r="P88" s="16"/>
      <c r="Q88" s="16"/>
      <c r="R88" s="16"/>
      <c r="S88" s="16"/>
      <c r="T88" s="16"/>
      <c r="U88" s="16"/>
      <c r="V88" s="16"/>
      <c r="W88" s="15"/>
      <c r="X88" s="15"/>
      <c r="Y88" s="15"/>
      <c r="Z88" s="15"/>
    </row>
    <row r="89" customHeight="1" spans="1:26">
      <c r="A89" s="17"/>
      <c r="B89" s="15"/>
      <c r="C89" s="15"/>
      <c r="D89" s="15"/>
      <c r="E89" s="15"/>
      <c r="F89" s="15"/>
      <c r="G89" s="15"/>
      <c r="H89" s="16"/>
      <c r="I89" s="16"/>
      <c r="J89" s="16"/>
      <c r="K89" s="16"/>
      <c r="L89" s="16"/>
      <c r="M89" s="16"/>
      <c r="N89" s="16"/>
      <c r="O89" s="16"/>
      <c r="P89" s="16"/>
      <c r="Q89" s="16"/>
      <c r="R89" s="16"/>
      <c r="S89" s="16"/>
      <c r="T89" s="16"/>
      <c r="U89" s="16"/>
      <c r="V89" s="16"/>
      <c r="W89" s="15"/>
      <c r="X89" s="15"/>
      <c r="Y89" s="15"/>
      <c r="Z89" s="15"/>
    </row>
    <row r="90" customHeight="1" spans="1:26">
      <c r="A90" s="17"/>
      <c r="B90" s="15"/>
      <c r="C90" s="15"/>
      <c r="D90" s="15"/>
      <c r="E90" s="15"/>
      <c r="F90" s="15"/>
      <c r="G90" s="15"/>
      <c r="H90" s="16"/>
      <c r="I90" s="16"/>
      <c r="J90" s="16"/>
      <c r="K90" s="16"/>
      <c r="L90" s="16"/>
      <c r="M90" s="16"/>
      <c r="N90" s="16"/>
      <c r="O90" s="16"/>
      <c r="P90" s="16"/>
      <c r="Q90" s="16"/>
      <c r="R90" s="16"/>
      <c r="S90" s="16"/>
      <c r="T90" s="16"/>
      <c r="U90" s="16"/>
      <c r="V90" s="16"/>
      <c r="W90" s="15"/>
      <c r="X90" s="15"/>
      <c r="Y90" s="15"/>
      <c r="Z90" s="15"/>
    </row>
    <row r="91" customHeight="1" spans="1:26">
      <c r="A91" s="17"/>
      <c r="B91" s="15"/>
      <c r="C91" s="15"/>
      <c r="D91" s="15"/>
      <c r="E91" s="15"/>
      <c r="F91" s="15"/>
      <c r="G91" s="15"/>
      <c r="H91" s="16"/>
      <c r="I91" s="16"/>
      <c r="J91" s="16"/>
      <c r="K91" s="16"/>
      <c r="L91" s="16"/>
      <c r="M91" s="16"/>
      <c r="N91" s="16"/>
      <c r="O91" s="16"/>
      <c r="P91" s="16"/>
      <c r="Q91" s="16"/>
      <c r="R91" s="16"/>
      <c r="S91" s="16"/>
      <c r="T91" s="16"/>
      <c r="U91" s="16"/>
      <c r="V91" s="16"/>
      <c r="W91" s="15"/>
      <c r="X91" s="15"/>
      <c r="Y91" s="15"/>
      <c r="Z91" s="15"/>
    </row>
    <row r="92" customHeight="1" spans="1:26">
      <c r="A92" s="17"/>
      <c r="B92" s="15"/>
      <c r="C92" s="15"/>
      <c r="D92" s="15"/>
      <c r="E92" s="15"/>
      <c r="F92" s="15"/>
      <c r="G92" s="15"/>
      <c r="H92" s="16"/>
      <c r="I92" s="16"/>
      <c r="J92" s="16"/>
      <c r="K92" s="16"/>
      <c r="L92" s="16"/>
      <c r="M92" s="16"/>
      <c r="N92" s="16"/>
      <c r="O92" s="16"/>
      <c r="P92" s="16"/>
      <c r="Q92" s="16"/>
      <c r="R92" s="16"/>
      <c r="S92" s="16"/>
      <c r="T92" s="16"/>
      <c r="U92" s="16"/>
      <c r="V92" s="16"/>
      <c r="W92" s="15"/>
      <c r="X92" s="15"/>
      <c r="Y92" s="15"/>
      <c r="Z92" s="15"/>
    </row>
    <row r="93" customHeight="1" spans="1:26">
      <c r="A93" s="17"/>
      <c r="B93" s="15"/>
      <c r="C93" s="15"/>
      <c r="D93" s="15"/>
      <c r="E93" s="15"/>
      <c r="F93" s="15"/>
      <c r="G93" s="15"/>
      <c r="H93" s="16"/>
      <c r="I93" s="16"/>
      <c r="J93" s="16"/>
      <c r="K93" s="16"/>
      <c r="L93" s="16"/>
      <c r="M93" s="16"/>
      <c r="N93" s="16"/>
      <c r="O93" s="16"/>
      <c r="P93" s="16"/>
      <c r="Q93" s="16"/>
      <c r="R93" s="16"/>
      <c r="S93" s="16"/>
      <c r="T93" s="16"/>
      <c r="U93" s="16"/>
      <c r="V93" s="16"/>
      <c r="W93" s="15"/>
      <c r="X93" s="15"/>
      <c r="Y93" s="15"/>
      <c r="Z93" s="15"/>
    </row>
    <row r="94" customHeight="1" spans="1:26">
      <c r="A94" s="17"/>
      <c r="B94" s="15"/>
      <c r="C94" s="15"/>
      <c r="D94" s="15"/>
      <c r="E94" s="15"/>
      <c r="F94" s="15"/>
      <c r="G94" s="15"/>
      <c r="H94" s="16"/>
      <c r="I94" s="16"/>
      <c r="J94" s="16"/>
      <c r="K94" s="16"/>
      <c r="L94" s="16"/>
      <c r="M94" s="16"/>
      <c r="N94" s="16"/>
      <c r="O94" s="16"/>
      <c r="P94" s="16"/>
      <c r="Q94" s="16"/>
      <c r="R94" s="16"/>
      <c r="S94" s="16"/>
      <c r="T94" s="16"/>
      <c r="U94" s="16"/>
      <c r="V94" s="16"/>
      <c r="W94" s="15"/>
      <c r="X94" s="15"/>
      <c r="Y94" s="15"/>
      <c r="Z94" s="15"/>
    </row>
    <row r="95" customHeight="1" spans="1:26">
      <c r="A95" s="17"/>
      <c r="B95" s="15"/>
      <c r="C95" s="15"/>
      <c r="D95" s="15"/>
      <c r="E95" s="15"/>
      <c r="F95" s="15"/>
      <c r="G95" s="15"/>
      <c r="H95" s="16"/>
      <c r="I95" s="16"/>
      <c r="J95" s="16"/>
      <c r="K95" s="16"/>
      <c r="L95" s="16"/>
      <c r="M95" s="16"/>
      <c r="N95" s="16"/>
      <c r="O95" s="16"/>
      <c r="P95" s="16"/>
      <c r="Q95" s="16"/>
      <c r="R95" s="16"/>
      <c r="S95" s="16"/>
      <c r="T95" s="16"/>
      <c r="U95" s="16"/>
      <c r="V95" s="16"/>
      <c r="W95" s="15"/>
      <c r="X95" s="15"/>
      <c r="Y95" s="15"/>
      <c r="Z95" s="15"/>
    </row>
    <row r="96" customHeight="1" spans="1:26">
      <c r="A96" s="17"/>
      <c r="B96" s="15"/>
      <c r="C96" s="15"/>
      <c r="D96" s="15"/>
      <c r="E96" s="15"/>
      <c r="F96" s="15"/>
      <c r="G96" s="15"/>
      <c r="H96" s="16"/>
      <c r="I96" s="16"/>
      <c r="J96" s="16"/>
      <c r="K96" s="16"/>
      <c r="L96" s="16"/>
      <c r="M96" s="16"/>
      <c r="N96" s="16"/>
      <c r="O96" s="16"/>
      <c r="P96" s="16"/>
      <c r="Q96" s="16"/>
      <c r="R96" s="16"/>
      <c r="S96" s="16"/>
      <c r="T96" s="16"/>
      <c r="U96" s="16"/>
      <c r="V96" s="16"/>
      <c r="W96" s="15"/>
      <c r="X96" s="15"/>
      <c r="Y96" s="15"/>
      <c r="Z96" s="15"/>
    </row>
    <row r="97" customHeight="1" spans="1:26">
      <c r="A97" s="17"/>
      <c r="B97" s="15"/>
      <c r="C97" s="15"/>
      <c r="D97" s="15"/>
      <c r="E97" s="15"/>
      <c r="F97" s="15"/>
      <c r="G97" s="15"/>
      <c r="H97" s="16"/>
      <c r="I97" s="16"/>
      <c r="J97" s="16"/>
      <c r="K97" s="16"/>
      <c r="L97" s="16"/>
      <c r="M97" s="16"/>
      <c r="N97" s="16"/>
      <c r="O97" s="16"/>
      <c r="P97" s="16"/>
      <c r="Q97" s="16"/>
      <c r="R97" s="16"/>
      <c r="S97" s="16"/>
      <c r="T97" s="16"/>
      <c r="U97" s="16"/>
      <c r="V97" s="16"/>
      <c r="W97" s="15"/>
      <c r="X97" s="15"/>
      <c r="Y97" s="15"/>
      <c r="Z97" s="15"/>
    </row>
    <row r="98" customHeight="1" spans="1:26">
      <c r="A98" s="17"/>
      <c r="B98" s="15"/>
      <c r="C98" s="15"/>
      <c r="D98" s="15"/>
      <c r="E98" s="15"/>
      <c r="F98" s="15"/>
      <c r="G98" s="15"/>
      <c r="H98" s="16"/>
      <c r="I98" s="16"/>
      <c r="J98" s="16"/>
      <c r="K98" s="16"/>
      <c r="L98" s="16"/>
      <c r="M98" s="16"/>
      <c r="N98" s="16"/>
      <c r="O98" s="16"/>
      <c r="P98" s="16"/>
      <c r="Q98" s="16"/>
      <c r="R98" s="16"/>
      <c r="S98" s="16"/>
      <c r="T98" s="16"/>
      <c r="U98" s="16"/>
      <c r="V98" s="16"/>
      <c r="W98" s="15"/>
      <c r="X98" s="15"/>
      <c r="Y98" s="15"/>
      <c r="Z98" s="15"/>
    </row>
    <row r="99" customHeight="1" spans="1:26">
      <c r="A99" s="17"/>
      <c r="B99" s="15"/>
      <c r="C99" s="15"/>
      <c r="D99" s="15"/>
      <c r="E99" s="15"/>
      <c r="F99" s="15"/>
      <c r="G99" s="15"/>
      <c r="H99" s="16"/>
      <c r="I99" s="16"/>
      <c r="J99" s="16"/>
      <c r="K99" s="16"/>
      <c r="L99" s="16"/>
      <c r="M99" s="16"/>
      <c r="N99" s="16"/>
      <c r="O99" s="16"/>
      <c r="P99" s="16"/>
      <c r="Q99" s="16"/>
      <c r="R99" s="16"/>
      <c r="S99" s="16"/>
      <c r="T99" s="16"/>
      <c r="U99" s="16"/>
      <c r="V99" s="16"/>
      <c r="W99" s="15"/>
      <c r="X99" s="15"/>
      <c r="Y99" s="15"/>
      <c r="Z99" s="15"/>
    </row>
    <row r="100" customHeight="1" spans="1:26">
      <c r="A100" s="17"/>
      <c r="B100" s="15"/>
      <c r="C100" s="15"/>
      <c r="D100" s="15"/>
      <c r="E100" s="15"/>
      <c r="F100" s="15"/>
      <c r="G100" s="15"/>
      <c r="H100" s="16"/>
      <c r="I100" s="16"/>
      <c r="J100" s="16"/>
      <c r="K100" s="16"/>
      <c r="L100" s="16"/>
      <c r="M100" s="16"/>
      <c r="N100" s="16"/>
      <c r="O100" s="16"/>
      <c r="P100" s="16"/>
      <c r="Q100" s="16"/>
      <c r="R100" s="16"/>
      <c r="S100" s="16"/>
      <c r="T100" s="16"/>
      <c r="U100" s="16"/>
      <c r="V100" s="16"/>
      <c r="W100" s="15"/>
      <c r="X100" s="15"/>
      <c r="Y100" s="15"/>
      <c r="Z100" s="15"/>
    </row>
    <row r="101" customHeight="1" spans="1:26">
      <c r="A101" s="17"/>
      <c r="B101" s="15"/>
      <c r="C101" s="15"/>
      <c r="D101" s="15"/>
      <c r="E101" s="15"/>
      <c r="F101" s="15"/>
      <c r="G101" s="15"/>
      <c r="H101" s="16"/>
      <c r="I101" s="16"/>
      <c r="J101" s="16"/>
      <c r="K101" s="16"/>
      <c r="L101" s="16"/>
      <c r="M101" s="16"/>
      <c r="N101" s="16"/>
      <c r="O101" s="16"/>
      <c r="P101" s="16"/>
      <c r="Q101" s="16"/>
      <c r="R101" s="16"/>
      <c r="S101" s="16"/>
      <c r="T101" s="16"/>
      <c r="U101" s="16"/>
      <c r="V101" s="16"/>
      <c r="W101" s="15"/>
      <c r="X101" s="15"/>
      <c r="Y101" s="15"/>
      <c r="Z101" s="15"/>
    </row>
    <row r="102" customHeight="1" spans="1:26">
      <c r="A102" s="17"/>
      <c r="B102" s="15"/>
      <c r="C102" s="15"/>
      <c r="D102" s="15"/>
      <c r="E102" s="15"/>
      <c r="F102" s="15"/>
      <c r="G102" s="15"/>
      <c r="H102" s="16"/>
      <c r="I102" s="16"/>
      <c r="J102" s="16"/>
      <c r="K102" s="16"/>
      <c r="L102" s="16"/>
      <c r="M102" s="16"/>
      <c r="N102" s="16"/>
      <c r="O102" s="16"/>
      <c r="P102" s="16"/>
      <c r="Q102" s="16"/>
      <c r="R102" s="16"/>
      <c r="S102" s="16"/>
      <c r="T102" s="16"/>
      <c r="U102" s="16"/>
      <c r="V102" s="16"/>
      <c r="W102" s="15"/>
      <c r="X102" s="15"/>
      <c r="Y102" s="15"/>
      <c r="Z102" s="15"/>
    </row>
    <row r="103" customHeight="1" spans="1:26">
      <c r="A103" s="17"/>
      <c r="B103" s="15"/>
      <c r="C103" s="15"/>
      <c r="D103" s="15"/>
      <c r="E103" s="15"/>
      <c r="F103" s="15"/>
      <c r="G103" s="15"/>
      <c r="H103" s="16"/>
      <c r="I103" s="16"/>
      <c r="J103" s="16"/>
      <c r="K103" s="16"/>
      <c r="L103" s="16"/>
      <c r="M103" s="16"/>
      <c r="N103" s="16"/>
      <c r="O103" s="16"/>
      <c r="P103" s="16"/>
      <c r="Q103" s="16"/>
      <c r="R103" s="16"/>
      <c r="S103" s="16"/>
      <c r="T103" s="16"/>
      <c r="U103" s="16"/>
      <c r="V103" s="16"/>
      <c r="W103" s="15"/>
      <c r="X103" s="15"/>
      <c r="Y103" s="15"/>
      <c r="Z103" s="15"/>
    </row>
    <row r="104" customHeight="1" spans="1:26">
      <c r="A104" s="17"/>
      <c r="B104" s="15"/>
      <c r="C104" s="15"/>
      <c r="D104" s="15"/>
      <c r="E104" s="15"/>
      <c r="F104" s="15"/>
      <c r="G104" s="15"/>
      <c r="H104" s="16"/>
      <c r="I104" s="16"/>
      <c r="J104" s="16"/>
      <c r="K104" s="16"/>
      <c r="L104" s="16"/>
      <c r="M104" s="16"/>
      <c r="N104" s="16"/>
      <c r="O104" s="16"/>
      <c r="P104" s="16"/>
      <c r="Q104" s="16"/>
      <c r="R104" s="16"/>
      <c r="S104" s="16"/>
      <c r="T104" s="16"/>
      <c r="U104" s="16"/>
      <c r="V104" s="16"/>
      <c r="W104" s="15"/>
      <c r="X104" s="15"/>
      <c r="Y104" s="15"/>
      <c r="Z104" s="15"/>
    </row>
    <row r="105" customHeight="1" spans="1:26">
      <c r="A105" s="17"/>
      <c r="B105" s="15"/>
      <c r="C105" s="15"/>
      <c r="D105" s="15"/>
      <c r="E105" s="15"/>
      <c r="F105" s="15"/>
      <c r="G105" s="15"/>
      <c r="H105" s="16"/>
      <c r="I105" s="16"/>
      <c r="J105" s="16"/>
      <c r="K105" s="16"/>
      <c r="L105" s="16"/>
      <c r="M105" s="16"/>
      <c r="N105" s="16"/>
      <c r="O105" s="16"/>
      <c r="P105" s="16"/>
      <c r="Q105" s="16"/>
      <c r="R105" s="16"/>
      <c r="S105" s="16"/>
      <c r="T105" s="16"/>
      <c r="U105" s="16"/>
      <c r="V105" s="16"/>
      <c r="W105" s="15"/>
      <c r="X105" s="15"/>
      <c r="Y105" s="15"/>
      <c r="Z105" s="15"/>
    </row>
    <row r="106" customHeight="1" spans="1:26">
      <c r="A106" s="17"/>
      <c r="B106" s="15"/>
      <c r="C106" s="15"/>
      <c r="D106" s="15"/>
      <c r="E106" s="15"/>
      <c r="F106" s="15"/>
      <c r="G106" s="15"/>
      <c r="H106" s="16"/>
      <c r="I106" s="16"/>
      <c r="J106" s="16"/>
      <c r="K106" s="16"/>
      <c r="L106" s="16"/>
      <c r="M106" s="16"/>
      <c r="N106" s="16"/>
      <c r="O106" s="16"/>
      <c r="P106" s="16"/>
      <c r="Q106" s="16"/>
      <c r="R106" s="16"/>
      <c r="S106" s="16"/>
      <c r="T106" s="16"/>
      <c r="U106" s="16"/>
      <c r="V106" s="16"/>
      <c r="W106" s="15"/>
      <c r="X106" s="15"/>
      <c r="Y106" s="15"/>
      <c r="Z106" s="15"/>
    </row>
    <row r="107" customHeight="1" spans="1:26">
      <c r="A107" s="17"/>
      <c r="B107" s="15"/>
      <c r="C107" s="15"/>
      <c r="D107" s="15"/>
      <c r="E107" s="15"/>
      <c r="F107" s="15"/>
      <c r="G107" s="15"/>
      <c r="H107" s="16"/>
      <c r="I107" s="16"/>
      <c r="J107" s="16"/>
      <c r="K107" s="16"/>
      <c r="L107" s="16"/>
      <c r="M107" s="16"/>
      <c r="N107" s="16"/>
      <c r="O107" s="16"/>
      <c r="P107" s="16"/>
      <c r="Q107" s="16"/>
      <c r="R107" s="16"/>
      <c r="S107" s="16"/>
      <c r="T107" s="16"/>
      <c r="U107" s="16"/>
      <c r="V107" s="16"/>
      <c r="W107" s="15"/>
      <c r="X107" s="15"/>
      <c r="Y107" s="15"/>
      <c r="Z107" s="15"/>
    </row>
    <row r="108" customHeight="1" spans="1:26">
      <c r="A108" s="17"/>
      <c r="B108" s="15"/>
      <c r="C108" s="15"/>
      <c r="D108" s="15"/>
      <c r="E108" s="15"/>
      <c r="F108" s="15"/>
      <c r="G108" s="15"/>
      <c r="H108" s="16"/>
      <c r="I108" s="16"/>
      <c r="J108" s="16"/>
      <c r="K108" s="16"/>
      <c r="L108" s="16"/>
      <c r="M108" s="16"/>
      <c r="N108" s="16"/>
      <c r="O108" s="16"/>
      <c r="P108" s="16"/>
      <c r="Q108" s="16"/>
      <c r="R108" s="16"/>
      <c r="S108" s="16"/>
      <c r="T108" s="16"/>
      <c r="U108" s="16"/>
      <c r="V108" s="16"/>
      <c r="W108" s="15"/>
      <c r="X108" s="15"/>
      <c r="Y108" s="15"/>
      <c r="Z108" s="15"/>
    </row>
    <row r="109" customHeight="1" spans="1:26">
      <c r="A109" s="17"/>
      <c r="B109" s="15"/>
      <c r="C109" s="15"/>
      <c r="D109" s="15"/>
      <c r="E109" s="15"/>
      <c r="F109" s="15"/>
      <c r="G109" s="15"/>
      <c r="H109" s="16"/>
      <c r="I109" s="16"/>
      <c r="J109" s="16"/>
      <c r="K109" s="16"/>
      <c r="L109" s="16"/>
      <c r="M109" s="16"/>
      <c r="N109" s="16"/>
      <c r="O109" s="16"/>
      <c r="P109" s="16"/>
      <c r="Q109" s="16"/>
      <c r="R109" s="16"/>
      <c r="S109" s="16"/>
      <c r="T109" s="16"/>
      <c r="U109" s="16"/>
      <c r="V109" s="16"/>
      <c r="W109" s="15"/>
      <c r="X109" s="15"/>
      <c r="Y109" s="15"/>
      <c r="Z109" s="15"/>
    </row>
    <row r="110" customHeight="1" spans="1:26">
      <c r="A110" s="17"/>
      <c r="B110" s="15"/>
      <c r="C110" s="15"/>
      <c r="D110" s="15"/>
      <c r="E110" s="15"/>
      <c r="F110" s="15"/>
      <c r="G110" s="15"/>
      <c r="H110" s="16"/>
      <c r="I110" s="16"/>
      <c r="J110" s="16"/>
      <c r="K110" s="16"/>
      <c r="L110" s="16"/>
      <c r="M110" s="16"/>
      <c r="N110" s="16"/>
      <c r="O110" s="16"/>
      <c r="P110" s="16"/>
      <c r="Q110" s="16"/>
      <c r="R110" s="16"/>
      <c r="S110" s="16"/>
      <c r="T110" s="16"/>
      <c r="U110" s="16"/>
      <c r="V110" s="16"/>
      <c r="W110" s="15"/>
      <c r="X110" s="15"/>
      <c r="Y110" s="15"/>
      <c r="Z110" s="15"/>
    </row>
    <row r="111" customHeight="1" spans="1:26">
      <c r="A111" s="17"/>
      <c r="B111" s="15"/>
      <c r="C111" s="15"/>
      <c r="D111" s="15"/>
      <c r="E111" s="15"/>
      <c r="F111" s="15"/>
      <c r="G111" s="15"/>
      <c r="H111" s="16"/>
      <c r="I111" s="16"/>
      <c r="J111" s="16"/>
      <c r="K111" s="16"/>
      <c r="L111" s="16"/>
      <c r="M111" s="16"/>
      <c r="N111" s="16"/>
      <c r="O111" s="16"/>
      <c r="P111" s="16"/>
      <c r="Q111" s="16"/>
      <c r="R111" s="16"/>
      <c r="S111" s="16"/>
      <c r="T111" s="16"/>
      <c r="U111" s="16"/>
      <c r="V111" s="16"/>
      <c r="W111" s="15"/>
      <c r="X111" s="15"/>
      <c r="Y111" s="15"/>
      <c r="Z111" s="15"/>
    </row>
    <row r="112" customHeight="1" spans="1:26">
      <c r="A112" s="17"/>
      <c r="B112" s="15"/>
      <c r="C112" s="15"/>
      <c r="D112" s="15"/>
      <c r="E112" s="15"/>
      <c r="F112" s="15"/>
      <c r="G112" s="15"/>
      <c r="H112" s="16"/>
      <c r="I112" s="16"/>
      <c r="J112" s="16"/>
      <c r="K112" s="16"/>
      <c r="L112" s="16"/>
      <c r="M112" s="16"/>
      <c r="N112" s="16"/>
      <c r="O112" s="16"/>
      <c r="P112" s="16"/>
      <c r="Q112" s="16"/>
      <c r="R112" s="16"/>
      <c r="S112" s="16"/>
      <c r="T112" s="16"/>
      <c r="U112" s="16"/>
      <c r="V112" s="16"/>
      <c r="W112" s="15"/>
      <c r="X112" s="15"/>
      <c r="Y112" s="15"/>
      <c r="Z112" s="15"/>
    </row>
    <row r="113" customHeight="1" spans="1:26">
      <c r="A113" s="17"/>
      <c r="B113" s="15"/>
      <c r="C113" s="15"/>
      <c r="D113" s="15"/>
      <c r="E113" s="15"/>
      <c r="F113" s="15"/>
      <c r="G113" s="15"/>
      <c r="H113" s="16"/>
      <c r="I113" s="16"/>
      <c r="J113" s="16"/>
      <c r="K113" s="16"/>
      <c r="L113" s="16"/>
      <c r="M113" s="16"/>
      <c r="N113" s="16"/>
      <c r="O113" s="16"/>
      <c r="P113" s="16"/>
      <c r="Q113" s="16"/>
      <c r="R113" s="16"/>
      <c r="S113" s="16"/>
      <c r="T113" s="16"/>
      <c r="U113" s="16"/>
      <c r="V113" s="16"/>
      <c r="W113" s="15"/>
      <c r="X113" s="15"/>
      <c r="Y113" s="15"/>
      <c r="Z113" s="15"/>
    </row>
    <row r="114" customHeight="1" spans="1:26">
      <c r="A114" s="17"/>
      <c r="B114" s="15"/>
      <c r="C114" s="15"/>
      <c r="D114" s="15"/>
      <c r="E114" s="15"/>
      <c r="F114" s="15"/>
      <c r="G114" s="15"/>
      <c r="H114" s="16"/>
      <c r="I114" s="16"/>
      <c r="J114" s="16"/>
      <c r="K114" s="16"/>
      <c r="L114" s="16"/>
      <c r="M114" s="16"/>
      <c r="N114" s="16"/>
      <c r="O114" s="16"/>
      <c r="P114" s="16"/>
      <c r="Q114" s="16"/>
      <c r="R114" s="16"/>
      <c r="S114" s="16"/>
      <c r="T114" s="16"/>
      <c r="U114" s="16"/>
      <c r="V114" s="16"/>
      <c r="W114" s="15"/>
      <c r="X114" s="15"/>
      <c r="Y114" s="15"/>
      <c r="Z114" s="15"/>
    </row>
    <row r="115" customHeight="1" spans="1:26">
      <c r="A115" s="17"/>
      <c r="B115" s="15"/>
      <c r="C115" s="15"/>
      <c r="D115" s="15"/>
      <c r="E115" s="15"/>
      <c r="F115" s="15"/>
      <c r="G115" s="15"/>
      <c r="H115" s="16"/>
      <c r="I115" s="16"/>
      <c r="J115" s="16"/>
      <c r="K115" s="16"/>
      <c r="L115" s="16"/>
      <c r="M115" s="16"/>
      <c r="N115" s="16"/>
      <c r="O115" s="16"/>
      <c r="P115" s="16"/>
      <c r="Q115" s="16"/>
      <c r="R115" s="16"/>
      <c r="S115" s="16"/>
      <c r="T115" s="16"/>
      <c r="U115" s="16"/>
      <c r="V115" s="16"/>
      <c r="W115" s="15"/>
      <c r="X115" s="15"/>
      <c r="Y115" s="15"/>
      <c r="Z115" s="15"/>
    </row>
    <row r="116" customHeight="1" spans="1:26">
      <c r="A116" s="17"/>
      <c r="B116" s="15"/>
      <c r="C116" s="15"/>
      <c r="D116" s="15"/>
      <c r="E116" s="15"/>
      <c r="F116" s="15"/>
      <c r="G116" s="15"/>
      <c r="H116" s="16"/>
      <c r="I116" s="16"/>
      <c r="J116" s="16"/>
      <c r="K116" s="16"/>
      <c r="L116" s="16"/>
      <c r="M116" s="16"/>
      <c r="N116" s="16"/>
      <c r="O116" s="16"/>
      <c r="P116" s="16"/>
      <c r="Q116" s="16"/>
      <c r="R116" s="16"/>
      <c r="S116" s="16"/>
      <c r="T116" s="16"/>
      <c r="U116" s="16"/>
      <c r="V116" s="16"/>
      <c r="W116" s="15"/>
      <c r="X116" s="15"/>
      <c r="Y116" s="15"/>
      <c r="Z116" s="15"/>
    </row>
    <row r="117" customHeight="1" spans="1:26">
      <c r="A117" s="17"/>
      <c r="B117" s="15"/>
      <c r="C117" s="15"/>
      <c r="D117" s="15"/>
      <c r="E117" s="15"/>
      <c r="F117" s="15"/>
      <c r="G117" s="15"/>
      <c r="H117" s="16"/>
      <c r="I117" s="16"/>
      <c r="J117" s="16"/>
      <c r="K117" s="16"/>
      <c r="L117" s="16"/>
      <c r="M117" s="16"/>
      <c r="N117" s="16"/>
      <c r="O117" s="16"/>
      <c r="P117" s="16"/>
      <c r="Q117" s="16"/>
      <c r="R117" s="16"/>
      <c r="S117" s="16"/>
      <c r="T117" s="16"/>
      <c r="U117" s="16"/>
      <c r="V117" s="16"/>
      <c r="W117" s="15"/>
      <c r="X117" s="15"/>
      <c r="Y117" s="15"/>
      <c r="Z117" s="15"/>
    </row>
    <row r="118" customHeight="1" spans="1:26">
      <c r="A118" s="17"/>
      <c r="B118" s="15"/>
      <c r="C118" s="15"/>
      <c r="D118" s="15"/>
      <c r="E118" s="15"/>
      <c r="F118" s="15"/>
      <c r="G118" s="15"/>
      <c r="H118" s="16"/>
      <c r="I118" s="16"/>
      <c r="J118" s="16"/>
      <c r="K118" s="16"/>
      <c r="L118" s="16"/>
      <c r="M118" s="16"/>
      <c r="N118" s="16"/>
      <c r="O118" s="16"/>
      <c r="P118" s="16"/>
      <c r="Q118" s="16"/>
      <c r="R118" s="16"/>
      <c r="S118" s="16"/>
      <c r="T118" s="16"/>
      <c r="U118" s="16"/>
      <c r="V118" s="16"/>
      <c r="W118" s="15"/>
      <c r="X118" s="15"/>
      <c r="Y118" s="15"/>
      <c r="Z118" s="15"/>
    </row>
    <row r="119" customHeight="1" spans="1:26">
      <c r="A119" s="17"/>
      <c r="B119" s="15"/>
      <c r="C119" s="15"/>
      <c r="D119" s="15"/>
      <c r="E119" s="15"/>
      <c r="F119" s="15"/>
      <c r="G119" s="15"/>
      <c r="H119" s="16"/>
      <c r="I119" s="16"/>
      <c r="J119" s="16"/>
      <c r="K119" s="16"/>
      <c r="L119" s="16"/>
      <c r="M119" s="16"/>
      <c r="N119" s="16"/>
      <c r="O119" s="16"/>
      <c r="P119" s="16"/>
      <c r="Q119" s="16"/>
      <c r="R119" s="16"/>
      <c r="S119" s="16"/>
      <c r="T119" s="16"/>
      <c r="U119" s="16"/>
      <c r="V119" s="16"/>
      <c r="W119" s="15"/>
      <c r="X119" s="15"/>
      <c r="Y119" s="15"/>
      <c r="Z119" s="15"/>
    </row>
    <row r="120" customHeight="1" spans="1:26">
      <c r="A120" s="17"/>
      <c r="B120" s="15"/>
      <c r="C120" s="15"/>
      <c r="D120" s="15"/>
      <c r="E120" s="15"/>
      <c r="F120" s="15"/>
      <c r="G120" s="15"/>
      <c r="H120" s="16"/>
      <c r="I120" s="16"/>
      <c r="J120" s="16"/>
      <c r="K120" s="16"/>
      <c r="L120" s="16"/>
      <c r="M120" s="16"/>
      <c r="N120" s="16"/>
      <c r="O120" s="16"/>
      <c r="P120" s="16"/>
      <c r="Q120" s="16"/>
      <c r="R120" s="16"/>
      <c r="S120" s="16"/>
      <c r="T120" s="16"/>
      <c r="U120" s="16"/>
      <c r="V120" s="16"/>
      <c r="W120" s="15"/>
      <c r="X120" s="15"/>
      <c r="Y120" s="15"/>
      <c r="Z120" s="15"/>
    </row>
    <row r="121" customHeight="1" spans="1:26">
      <c r="A121" s="17"/>
      <c r="B121" s="15"/>
      <c r="C121" s="15"/>
      <c r="D121" s="15"/>
      <c r="E121" s="15"/>
      <c r="F121" s="15"/>
      <c r="G121" s="15"/>
      <c r="H121" s="16"/>
      <c r="I121" s="16"/>
      <c r="J121" s="16"/>
      <c r="K121" s="16"/>
      <c r="L121" s="16"/>
      <c r="M121" s="16"/>
      <c r="N121" s="16"/>
      <c r="O121" s="16"/>
      <c r="P121" s="16"/>
      <c r="Q121" s="16"/>
      <c r="R121" s="16"/>
      <c r="S121" s="16"/>
      <c r="T121" s="16"/>
      <c r="U121" s="16"/>
      <c r="V121" s="16"/>
      <c r="W121" s="15"/>
      <c r="X121" s="15"/>
      <c r="Y121" s="15"/>
      <c r="Z121" s="15"/>
    </row>
    <row r="122" customHeight="1" spans="1:26">
      <c r="A122" s="17"/>
      <c r="B122" s="15"/>
      <c r="C122" s="15"/>
      <c r="D122" s="15"/>
      <c r="E122" s="15"/>
      <c r="F122" s="15"/>
      <c r="G122" s="15"/>
      <c r="H122" s="16"/>
      <c r="I122" s="16"/>
      <c r="J122" s="16"/>
      <c r="K122" s="16"/>
      <c r="L122" s="16"/>
      <c r="M122" s="16"/>
      <c r="N122" s="16"/>
      <c r="O122" s="16"/>
      <c r="P122" s="16"/>
      <c r="Q122" s="16"/>
      <c r="R122" s="16"/>
      <c r="S122" s="16"/>
      <c r="T122" s="16"/>
      <c r="U122" s="16"/>
      <c r="V122" s="16"/>
      <c r="W122" s="15"/>
      <c r="X122" s="15"/>
      <c r="Y122" s="15"/>
      <c r="Z122" s="15"/>
    </row>
    <row r="123" customHeight="1" spans="1:26">
      <c r="A123" s="17"/>
      <c r="B123" s="15"/>
      <c r="C123" s="15"/>
      <c r="D123" s="15"/>
      <c r="E123" s="15"/>
      <c r="F123" s="15"/>
      <c r="G123" s="15"/>
      <c r="H123" s="16"/>
      <c r="I123" s="16"/>
      <c r="J123" s="16"/>
      <c r="K123" s="16"/>
      <c r="L123" s="16"/>
      <c r="M123" s="16"/>
      <c r="N123" s="16"/>
      <c r="O123" s="16"/>
      <c r="P123" s="16"/>
      <c r="Q123" s="16"/>
      <c r="R123" s="16"/>
      <c r="S123" s="16"/>
      <c r="T123" s="16"/>
      <c r="U123" s="16"/>
      <c r="V123" s="16"/>
      <c r="W123" s="15"/>
      <c r="X123" s="15"/>
      <c r="Y123" s="15"/>
      <c r="Z123" s="15"/>
    </row>
    <row r="124" customHeight="1" spans="1:26">
      <c r="A124" s="17"/>
      <c r="B124" s="15"/>
      <c r="C124" s="15"/>
      <c r="D124" s="15"/>
      <c r="E124" s="15"/>
      <c r="F124" s="15"/>
      <c r="G124" s="15"/>
      <c r="H124" s="16"/>
      <c r="I124" s="16"/>
      <c r="J124" s="16"/>
      <c r="K124" s="16"/>
      <c r="L124" s="16"/>
      <c r="M124" s="16"/>
      <c r="N124" s="16"/>
      <c r="O124" s="16"/>
      <c r="P124" s="16"/>
      <c r="Q124" s="16"/>
      <c r="R124" s="16"/>
      <c r="S124" s="16"/>
      <c r="T124" s="16"/>
      <c r="U124" s="16"/>
      <c r="V124" s="16"/>
      <c r="W124" s="15"/>
      <c r="X124" s="15"/>
      <c r="Y124" s="15"/>
      <c r="Z124" s="15"/>
    </row>
    <row r="125" customHeight="1" spans="1:26">
      <c r="A125" s="17"/>
      <c r="B125" s="15"/>
      <c r="C125" s="15"/>
      <c r="D125" s="15"/>
      <c r="E125" s="15"/>
      <c r="F125" s="15"/>
      <c r="G125" s="15"/>
      <c r="H125" s="16"/>
      <c r="I125" s="16"/>
      <c r="J125" s="16"/>
      <c r="K125" s="16"/>
      <c r="L125" s="16"/>
      <c r="M125" s="16"/>
      <c r="N125" s="16"/>
      <c r="O125" s="16"/>
      <c r="P125" s="16"/>
      <c r="Q125" s="16"/>
      <c r="R125" s="16"/>
      <c r="S125" s="16"/>
      <c r="T125" s="16"/>
      <c r="U125" s="16"/>
      <c r="V125" s="16"/>
      <c r="W125" s="15"/>
      <c r="X125" s="15"/>
      <c r="Y125" s="15"/>
      <c r="Z125" s="15"/>
    </row>
    <row r="126" customHeight="1" spans="1:26">
      <c r="A126" s="17"/>
      <c r="B126" s="15"/>
      <c r="C126" s="15"/>
      <c r="D126" s="15"/>
      <c r="E126" s="15"/>
      <c r="F126" s="15"/>
      <c r="G126" s="15"/>
      <c r="H126" s="16"/>
      <c r="I126" s="16"/>
      <c r="J126" s="16"/>
      <c r="K126" s="16"/>
      <c r="L126" s="16"/>
      <c r="M126" s="16"/>
      <c r="N126" s="16"/>
      <c r="O126" s="16"/>
      <c r="P126" s="16"/>
      <c r="Q126" s="16"/>
      <c r="R126" s="16"/>
      <c r="S126" s="16"/>
      <c r="T126" s="16"/>
      <c r="U126" s="16"/>
      <c r="V126" s="16"/>
      <c r="W126" s="15"/>
      <c r="X126" s="15"/>
      <c r="Y126" s="15"/>
      <c r="Z126" s="15"/>
    </row>
    <row r="127" customHeight="1" spans="1:26">
      <c r="A127" s="17"/>
      <c r="B127" s="15"/>
      <c r="C127" s="15"/>
      <c r="D127" s="15"/>
      <c r="E127" s="15"/>
      <c r="F127" s="15"/>
      <c r="G127" s="15"/>
      <c r="H127" s="16"/>
      <c r="I127" s="16"/>
      <c r="J127" s="16"/>
      <c r="K127" s="16"/>
      <c r="L127" s="16"/>
      <c r="M127" s="16"/>
      <c r="N127" s="16"/>
      <c r="O127" s="16"/>
      <c r="P127" s="16"/>
      <c r="Q127" s="16"/>
      <c r="R127" s="16"/>
      <c r="S127" s="16"/>
      <c r="T127" s="16"/>
      <c r="U127" s="16"/>
      <c r="V127" s="16"/>
      <c r="W127" s="15"/>
      <c r="X127" s="15"/>
      <c r="Y127" s="15"/>
      <c r="Z127" s="15"/>
    </row>
    <row r="128" customHeight="1" spans="1:26">
      <c r="A128" s="17"/>
      <c r="B128" s="15"/>
      <c r="C128" s="15"/>
      <c r="D128" s="15"/>
      <c r="E128" s="15"/>
      <c r="F128" s="15"/>
      <c r="G128" s="15"/>
      <c r="H128" s="16"/>
      <c r="I128" s="16"/>
      <c r="J128" s="16"/>
      <c r="K128" s="16"/>
      <c r="L128" s="16"/>
      <c r="M128" s="16"/>
      <c r="N128" s="16"/>
      <c r="O128" s="16"/>
      <c r="P128" s="16"/>
      <c r="Q128" s="16"/>
      <c r="R128" s="16"/>
      <c r="S128" s="16"/>
      <c r="T128" s="16"/>
      <c r="U128" s="16"/>
      <c r="V128" s="16"/>
      <c r="W128" s="15"/>
      <c r="X128" s="15"/>
      <c r="Y128" s="15"/>
      <c r="Z128" s="15"/>
    </row>
    <row r="129" customHeight="1" spans="1:26">
      <c r="A129" s="17"/>
      <c r="B129" s="15"/>
      <c r="C129" s="15"/>
      <c r="D129" s="15"/>
      <c r="E129" s="15"/>
      <c r="F129" s="15"/>
      <c r="G129" s="15"/>
      <c r="H129" s="16"/>
      <c r="I129" s="16"/>
      <c r="J129" s="16"/>
      <c r="K129" s="16"/>
      <c r="L129" s="16"/>
      <c r="M129" s="16"/>
      <c r="N129" s="16"/>
      <c r="O129" s="16"/>
      <c r="P129" s="16"/>
      <c r="Q129" s="16"/>
      <c r="R129" s="16"/>
      <c r="S129" s="16"/>
      <c r="T129" s="16"/>
      <c r="U129" s="16"/>
      <c r="V129" s="16"/>
      <c r="W129" s="15"/>
      <c r="X129" s="15"/>
      <c r="Y129" s="15"/>
      <c r="Z129" s="15"/>
    </row>
    <row r="130" customHeight="1" spans="1:26">
      <c r="A130" s="17"/>
      <c r="B130" s="15"/>
      <c r="C130" s="15"/>
      <c r="D130" s="15"/>
      <c r="E130" s="15"/>
      <c r="F130" s="15"/>
      <c r="G130" s="15"/>
      <c r="H130" s="16"/>
      <c r="I130" s="16"/>
      <c r="J130" s="16"/>
      <c r="K130" s="16"/>
      <c r="L130" s="16"/>
      <c r="M130" s="16"/>
      <c r="N130" s="16"/>
      <c r="O130" s="16"/>
      <c r="P130" s="16"/>
      <c r="Q130" s="16"/>
      <c r="R130" s="16"/>
      <c r="S130" s="16"/>
      <c r="T130" s="16"/>
      <c r="U130" s="16"/>
      <c r="V130" s="16"/>
      <c r="W130" s="15"/>
      <c r="X130" s="15"/>
      <c r="Y130" s="15"/>
      <c r="Z130" s="15"/>
    </row>
    <row r="131" customHeight="1" spans="1:26">
      <c r="A131" s="17"/>
      <c r="B131" s="15"/>
      <c r="C131" s="15"/>
      <c r="D131" s="15"/>
      <c r="E131" s="15"/>
      <c r="F131" s="15"/>
      <c r="G131" s="15"/>
      <c r="H131" s="16"/>
      <c r="I131" s="16"/>
      <c r="J131" s="16"/>
      <c r="K131" s="16"/>
      <c r="L131" s="16"/>
      <c r="M131" s="16"/>
      <c r="N131" s="16"/>
      <c r="O131" s="16"/>
      <c r="P131" s="16"/>
      <c r="Q131" s="16"/>
      <c r="R131" s="16"/>
      <c r="S131" s="16"/>
      <c r="T131" s="16"/>
      <c r="U131" s="16"/>
      <c r="V131" s="16"/>
      <c r="W131" s="15"/>
      <c r="X131" s="15"/>
      <c r="Y131" s="15"/>
      <c r="Z131" s="15"/>
    </row>
    <row r="132" customHeight="1" spans="1:26">
      <c r="A132" s="17"/>
      <c r="B132" s="15"/>
      <c r="C132" s="15"/>
      <c r="D132" s="15"/>
      <c r="E132" s="15"/>
      <c r="F132" s="15"/>
      <c r="G132" s="15"/>
      <c r="H132" s="16"/>
      <c r="I132" s="16"/>
      <c r="J132" s="16"/>
      <c r="K132" s="16"/>
      <c r="L132" s="16"/>
      <c r="M132" s="16"/>
      <c r="N132" s="16"/>
      <c r="O132" s="16"/>
      <c r="P132" s="16"/>
      <c r="Q132" s="16"/>
      <c r="R132" s="16"/>
      <c r="S132" s="16"/>
      <c r="T132" s="16"/>
      <c r="U132" s="16"/>
      <c r="V132" s="16"/>
      <c r="W132" s="15"/>
      <c r="X132" s="15"/>
      <c r="Y132" s="15"/>
      <c r="Z132" s="15"/>
    </row>
    <row r="133" customHeight="1" spans="1:26">
      <c r="A133" s="17"/>
      <c r="B133" s="15"/>
      <c r="C133" s="15"/>
      <c r="D133" s="15"/>
      <c r="E133" s="15"/>
      <c r="F133" s="15"/>
      <c r="G133" s="15"/>
      <c r="H133" s="16"/>
      <c r="I133" s="16"/>
      <c r="J133" s="16"/>
      <c r="K133" s="16"/>
      <c r="L133" s="16"/>
      <c r="M133" s="16"/>
      <c r="N133" s="16"/>
      <c r="O133" s="16"/>
      <c r="P133" s="16"/>
      <c r="Q133" s="16"/>
      <c r="R133" s="16"/>
      <c r="S133" s="16"/>
      <c r="T133" s="16"/>
      <c r="U133" s="16"/>
      <c r="V133" s="16"/>
      <c r="W133" s="15"/>
      <c r="X133" s="15"/>
      <c r="Y133" s="15"/>
      <c r="Z133" s="15"/>
    </row>
    <row r="134" customHeight="1" spans="1:26">
      <c r="A134" s="17"/>
      <c r="B134" s="15"/>
      <c r="C134" s="15"/>
      <c r="D134" s="15"/>
      <c r="E134" s="15"/>
      <c r="F134" s="15"/>
      <c r="G134" s="15"/>
      <c r="H134" s="16"/>
      <c r="I134" s="16"/>
      <c r="J134" s="16"/>
      <c r="K134" s="16"/>
      <c r="L134" s="16"/>
      <c r="M134" s="16"/>
      <c r="N134" s="16"/>
      <c r="O134" s="16"/>
      <c r="P134" s="16"/>
      <c r="Q134" s="16"/>
      <c r="R134" s="16"/>
      <c r="S134" s="16"/>
      <c r="T134" s="16"/>
      <c r="U134" s="16"/>
      <c r="V134" s="16"/>
      <c r="W134" s="15"/>
      <c r="X134" s="15"/>
      <c r="Y134" s="15"/>
      <c r="Z134" s="15"/>
    </row>
    <row r="135" customHeight="1" spans="1:26">
      <c r="A135" s="17"/>
      <c r="B135" s="15"/>
      <c r="C135" s="15"/>
      <c r="D135" s="15"/>
      <c r="E135" s="15"/>
      <c r="F135" s="15"/>
      <c r="G135" s="15"/>
      <c r="H135" s="16"/>
      <c r="I135" s="16"/>
      <c r="J135" s="16"/>
      <c r="K135" s="16"/>
      <c r="L135" s="16"/>
      <c r="M135" s="16"/>
      <c r="N135" s="16"/>
      <c r="O135" s="16"/>
      <c r="P135" s="16"/>
      <c r="Q135" s="16"/>
      <c r="R135" s="16"/>
      <c r="S135" s="16"/>
      <c r="T135" s="16"/>
      <c r="U135" s="16"/>
      <c r="V135" s="16"/>
      <c r="W135" s="15"/>
      <c r="X135" s="15"/>
      <c r="Y135" s="15"/>
      <c r="Z135" s="15"/>
    </row>
    <row r="136" customHeight="1" spans="1:26">
      <c r="A136" s="17"/>
      <c r="B136" s="15"/>
      <c r="C136" s="15"/>
      <c r="D136" s="15"/>
      <c r="E136" s="15"/>
      <c r="F136" s="15"/>
      <c r="G136" s="15"/>
      <c r="H136" s="16"/>
      <c r="I136" s="16"/>
      <c r="J136" s="16"/>
      <c r="K136" s="16"/>
      <c r="L136" s="16"/>
      <c r="M136" s="16"/>
      <c r="N136" s="16"/>
      <c r="O136" s="16"/>
      <c r="P136" s="16"/>
      <c r="Q136" s="16"/>
      <c r="R136" s="16"/>
      <c r="S136" s="16"/>
      <c r="T136" s="16"/>
      <c r="U136" s="16"/>
      <c r="V136" s="16"/>
      <c r="W136" s="15"/>
      <c r="X136" s="15"/>
      <c r="Y136" s="15"/>
      <c r="Z136" s="15"/>
    </row>
    <row r="137" customHeight="1" spans="1:26">
      <c r="A137" s="17"/>
      <c r="B137" s="15"/>
      <c r="C137" s="15"/>
      <c r="D137" s="15"/>
      <c r="E137" s="15"/>
      <c r="F137" s="15"/>
      <c r="G137" s="15"/>
      <c r="H137" s="16"/>
      <c r="I137" s="16"/>
      <c r="J137" s="16"/>
      <c r="K137" s="16"/>
      <c r="L137" s="16"/>
      <c r="M137" s="16"/>
      <c r="N137" s="16"/>
      <c r="O137" s="16"/>
      <c r="P137" s="16"/>
      <c r="Q137" s="16"/>
      <c r="R137" s="16"/>
      <c r="S137" s="16"/>
      <c r="T137" s="16"/>
      <c r="U137" s="16"/>
      <c r="V137" s="16"/>
      <c r="W137" s="15"/>
      <c r="X137" s="15"/>
      <c r="Y137" s="15"/>
      <c r="Z137" s="15"/>
    </row>
    <row r="138" customHeight="1" spans="1:26">
      <c r="A138" s="17"/>
      <c r="B138" s="15"/>
      <c r="C138" s="15"/>
      <c r="D138" s="15"/>
      <c r="E138" s="15"/>
      <c r="F138" s="15"/>
      <c r="G138" s="15"/>
      <c r="H138" s="16"/>
      <c r="I138" s="16"/>
      <c r="J138" s="16"/>
      <c r="K138" s="16"/>
      <c r="L138" s="16"/>
      <c r="M138" s="16"/>
      <c r="N138" s="16"/>
      <c r="O138" s="16"/>
      <c r="P138" s="16"/>
      <c r="Q138" s="16"/>
      <c r="R138" s="16"/>
      <c r="S138" s="16"/>
      <c r="T138" s="16"/>
      <c r="U138" s="16"/>
      <c r="V138" s="16"/>
      <c r="W138" s="15"/>
      <c r="X138" s="15"/>
      <c r="Y138" s="15"/>
      <c r="Z138" s="15"/>
    </row>
    <row r="139" customHeight="1" spans="1:26">
      <c r="A139" s="17"/>
      <c r="B139" s="15"/>
      <c r="C139" s="15"/>
      <c r="D139" s="15"/>
      <c r="E139" s="15"/>
      <c r="F139" s="15"/>
      <c r="G139" s="15"/>
      <c r="H139" s="16"/>
      <c r="I139" s="16"/>
      <c r="J139" s="16"/>
      <c r="K139" s="16"/>
      <c r="L139" s="16"/>
      <c r="M139" s="16"/>
      <c r="N139" s="16"/>
      <c r="O139" s="16"/>
      <c r="P139" s="16"/>
      <c r="Q139" s="16"/>
      <c r="R139" s="16"/>
      <c r="S139" s="16"/>
      <c r="T139" s="16"/>
      <c r="U139" s="16"/>
      <c r="V139" s="16"/>
      <c r="W139" s="15"/>
      <c r="X139" s="15"/>
      <c r="Y139" s="15"/>
      <c r="Z139" s="15"/>
    </row>
    <row r="140" customHeight="1" spans="1:26">
      <c r="A140" s="17"/>
      <c r="B140" s="15"/>
      <c r="C140" s="15"/>
      <c r="D140" s="15"/>
      <c r="E140" s="15"/>
      <c r="F140" s="15"/>
      <c r="G140" s="15"/>
      <c r="H140" s="16"/>
      <c r="I140" s="16"/>
      <c r="J140" s="16"/>
      <c r="K140" s="16"/>
      <c r="L140" s="16"/>
      <c r="M140" s="16"/>
      <c r="N140" s="16"/>
      <c r="O140" s="16"/>
      <c r="P140" s="16"/>
      <c r="Q140" s="16"/>
      <c r="R140" s="16"/>
      <c r="S140" s="16"/>
      <c r="T140" s="16"/>
      <c r="U140" s="16"/>
      <c r="V140" s="16"/>
      <c r="W140" s="15"/>
      <c r="X140" s="15"/>
      <c r="Y140" s="15"/>
      <c r="Z140" s="15"/>
    </row>
    <row r="141" customHeight="1" spans="1:26">
      <c r="A141" s="17"/>
      <c r="B141" s="15"/>
      <c r="C141" s="15"/>
      <c r="D141" s="15"/>
      <c r="E141" s="15"/>
      <c r="F141" s="15"/>
      <c r="G141" s="15"/>
      <c r="H141" s="16"/>
      <c r="I141" s="16"/>
      <c r="J141" s="16"/>
      <c r="K141" s="16"/>
      <c r="L141" s="16"/>
      <c r="M141" s="16"/>
      <c r="N141" s="16"/>
      <c r="O141" s="16"/>
      <c r="P141" s="16"/>
      <c r="Q141" s="16"/>
      <c r="R141" s="16"/>
      <c r="S141" s="16"/>
      <c r="T141" s="16"/>
      <c r="U141" s="16"/>
      <c r="V141" s="16"/>
      <c r="W141" s="15"/>
      <c r="X141" s="15"/>
      <c r="Y141" s="15"/>
      <c r="Z141" s="15"/>
    </row>
    <row r="142" customHeight="1" spans="1:26">
      <c r="A142" s="17"/>
      <c r="B142" s="15"/>
      <c r="C142" s="15"/>
      <c r="D142" s="15"/>
      <c r="E142" s="15"/>
      <c r="F142" s="15"/>
      <c r="G142" s="15"/>
      <c r="H142" s="16"/>
      <c r="I142" s="16"/>
      <c r="J142" s="16"/>
      <c r="K142" s="16"/>
      <c r="L142" s="16"/>
      <c r="M142" s="16"/>
      <c r="N142" s="16"/>
      <c r="O142" s="16"/>
      <c r="P142" s="16"/>
      <c r="Q142" s="16"/>
      <c r="R142" s="16"/>
      <c r="S142" s="16"/>
      <c r="T142" s="16"/>
      <c r="U142" s="16"/>
      <c r="V142" s="16"/>
      <c r="W142" s="15"/>
      <c r="X142" s="15"/>
      <c r="Y142" s="15"/>
      <c r="Z142" s="15"/>
    </row>
    <row r="143" customHeight="1" spans="1:26">
      <c r="A143" s="17"/>
      <c r="B143" s="15"/>
      <c r="C143" s="15"/>
      <c r="D143" s="15"/>
      <c r="E143" s="15"/>
      <c r="F143" s="15"/>
      <c r="G143" s="15"/>
      <c r="H143" s="16"/>
      <c r="I143" s="16"/>
      <c r="J143" s="16"/>
      <c r="K143" s="16"/>
      <c r="L143" s="16"/>
      <c r="M143" s="16"/>
      <c r="N143" s="16"/>
      <c r="O143" s="16"/>
      <c r="P143" s="16"/>
      <c r="Q143" s="16"/>
      <c r="R143" s="16"/>
      <c r="S143" s="16"/>
      <c r="T143" s="16"/>
      <c r="U143" s="16"/>
      <c r="V143" s="16"/>
      <c r="W143" s="15"/>
      <c r="X143" s="15"/>
      <c r="Y143" s="15"/>
      <c r="Z143" s="15"/>
    </row>
    <row r="144" customHeight="1" spans="1:26">
      <c r="A144" s="17"/>
      <c r="B144" s="15"/>
      <c r="C144" s="15"/>
      <c r="D144" s="15"/>
      <c r="E144" s="15"/>
      <c r="F144" s="15"/>
      <c r="G144" s="15"/>
      <c r="H144" s="16"/>
      <c r="I144" s="16"/>
      <c r="J144" s="16"/>
      <c r="K144" s="16"/>
      <c r="L144" s="16"/>
      <c r="M144" s="16"/>
      <c r="N144" s="16"/>
      <c r="O144" s="16"/>
      <c r="P144" s="16"/>
      <c r="Q144" s="16"/>
      <c r="R144" s="16"/>
      <c r="S144" s="16"/>
      <c r="T144" s="16"/>
      <c r="U144" s="16"/>
      <c r="V144" s="16"/>
      <c r="W144" s="15"/>
      <c r="X144" s="15"/>
      <c r="Y144" s="15"/>
      <c r="Z144" s="15"/>
    </row>
    <row r="145" customHeight="1" spans="1:26">
      <c r="A145" s="17"/>
      <c r="B145" s="15"/>
      <c r="C145" s="15"/>
      <c r="D145" s="15"/>
      <c r="E145" s="15"/>
      <c r="F145" s="15"/>
      <c r="G145" s="15"/>
      <c r="H145" s="16"/>
      <c r="I145" s="16"/>
      <c r="J145" s="16"/>
      <c r="K145" s="16"/>
      <c r="L145" s="16"/>
      <c r="M145" s="16"/>
      <c r="N145" s="16"/>
      <c r="O145" s="16"/>
      <c r="P145" s="16"/>
      <c r="Q145" s="16"/>
      <c r="R145" s="16"/>
      <c r="S145" s="16"/>
      <c r="T145" s="16"/>
      <c r="U145" s="16"/>
      <c r="V145" s="16"/>
      <c r="W145" s="15"/>
      <c r="X145" s="15"/>
      <c r="Y145" s="15"/>
      <c r="Z145" s="15"/>
    </row>
    <row r="146" customHeight="1" spans="1:26">
      <c r="A146" s="17"/>
      <c r="B146" s="15"/>
      <c r="C146" s="15"/>
      <c r="D146" s="15"/>
      <c r="E146" s="15"/>
      <c r="F146" s="15"/>
      <c r="G146" s="15"/>
      <c r="H146" s="16"/>
      <c r="I146" s="16"/>
      <c r="J146" s="16"/>
      <c r="K146" s="16"/>
      <c r="L146" s="16"/>
      <c r="M146" s="16"/>
      <c r="N146" s="16"/>
      <c r="O146" s="16"/>
      <c r="P146" s="16"/>
      <c r="Q146" s="16"/>
      <c r="R146" s="16"/>
      <c r="S146" s="16"/>
      <c r="T146" s="16"/>
      <c r="U146" s="16"/>
      <c r="V146" s="16"/>
      <c r="W146" s="15"/>
      <c r="X146" s="15"/>
      <c r="Y146" s="15"/>
      <c r="Z146" s="15"/>
    </row>
    <row r="147" customHeight="1" spans="1:26">
      <c r="A147" s="17"/>
      <c r="B147" s="15"/>
      <c r="C147" s="15"/>
      <c r="D147" s="15"/>
      <c r="E147" s="15"/>
      <c r="F147" s="15"/>
      <c r="G147" s="15"/>
      <c r="H147" s="16"/>
      <c r="I147" s="16"/>
      <c r="J147" s="16"/>
      <c r="K147" s="16"/>
      <c r="L147" s="16"/>
      <c r="M147" s="16"/>
      <c r="N147" s="16"/>
      <c r="O147" s="16"/>
      <c r="P147" s="16"/>
      <c r="Q147" s="16"/>
      <c r="R147" s="16"/>
      <c r="S147" s="16"/>
      <c r="T147" s="16"/>
      <c r="U147" s="16"/>
      <c r="V147" s="16"/>
      <c r="W147" s="15"/>
      <c r="X147" s="15"/>
      <c r="Y147" s="15"/>
      <c r="Z147" s="15"/>
    </row>
    <row r="148" customHeight="1" spans="1:26">
      <c r="A148" s="17"/>
      <c r="B148" s="15"/>
      <c r="C148" s="15"/>
      <c r="D148" s="15"/>
      <c r="E148" s="15"/>
      <c r="F148" s="15"/>
      <c r="G148" s="15"/>
      <c r="H148" s="16"/>
      <c r="I148" s="16"/>
      <c r="J148" s="16"/>
      <c r="K148" s="16"/>
      <c r="L148" s="16"/>
      <c r="M148" s="16"/>
      <c r="N148" s="16"/>
      <c r="O148" s="16"/>
      <c r="P148" s="16"/>
      <c r="Q148" s="16"/>
      <c r="R148" s="16"/>
      <c r="S148" s="16"/>
      <c r="T148" s="16"/>
      <c r="U148" s="16"/>
      <c r="V148" s="16"/>
      <c r="W148" s="15"/>
      <c r="X148" s="15"/>
      <c r="Y148" s="15"/>
      <c r="Z148" s="15"/>
    </row>
    <row r="149" customHeight="1" spans="1:26">
      <c r="A149" s="17"/>
      <c r="B149" s="15"/>
      <c r="C149" s="15"/>
      <c r="D149" s="15"/>
      <c r="E149" s="15"/>
      <c r="F149" s="15"/>
      <c r="G149" s="15"/>
      <c r="H149" s="16"/>
      <c r="I149" s="16"/>
      <c r="J149" s="16"/>
      <c r="K149" s="16"/>
      <c r="L149" s="16"/>
      <c r="M149" s="16"/>
      <c r="N149" s="16"/>
      <c r="O149" s="16"/>
      <c r="P149" s="16"/>
      <c r="Q149" s="16"/>
      <c r="R149" s="16"/>
      <c r="S149" s="16"/>
      <c r="T149" s="16"/>
      <c r="U149" s="16"/>
      <c r="V149" s="16"/>
      <c r="W149" s="15"/>
      <c r="X149" s="15"/>
      <c r="Y149" s="15"/>
      <c r="Z149" s="15"/>
    </row>
    <row r="150" customHeight="1" spans="1:26">
      <c r="A150" s="17"/>
      <c r="B150" s="15"/>
      <c r="C150" s="15"/>
      <c r="D150" s="15"/>
      <c r="E150" s="15"/>
      <c r="F150" s="15"/>
      <c r="G150" s="15"/>
      <c r="H150" s="16"/>
      <c r="I150" s="16"/>
      <c r="J150" s="16"/>
      <c r="K150" s="16"/>
      <c r="L150" s="16"/>
      <c r="M150" s="16"/>
      <c r="N150" s="16"/>
      <c r="O150" s="16"/>
      <c r="P150" s="16"/>
      <c r="Q150" s="16"/>
      <c r="R150" s="16"/>
      <c r="S150" s="16"/>
      <c r="T150" s="16"/>
      <c r="U150" s="16"/>
      <c r="V150" s="16"/>
      <c r="W150" s="15"/>
      <c r="X150" s="15"/>
      <c r="Y150" s="15"/>
      <c r="Z150" s="15"/>
    </row>
    <row r="151" customHeight="1" spans="1:26">
      <c r="A151" s="17"/>
      <c r="B151" s="15"/>
      <c r="C151" s="15"/>
      <c r="D151" s="15"/>
      <c r="E151" s="15"/>
      <c r="F151" s="15"/>
      <c r="G151" s="15"/>
      <c r="H151" s="16"/>
      <c r="I151" s="16"/>
      <c r="J151" s="16"/>
      <c r="K151" s="16"/>
      <c r="L151" s="16"/>
      <c r="M151" s="16"/>
      <c r="N151" s="16"/>
      <c r="O151" s="16"/>
      <c r="P151" s="16"/>
      <c r="Q151" s="16"/>
      <c r="R151" s="16"/>
      <c r="S151" s="16"/>
      <c r="T151" s="16"/>
      <c r="U151" s="16"/>
      <c r="V151" s="16"/>
      <c r="W151" s="15"/>
      <c r="X151" s="15"/>
      <c r="Y151" s="15"/>
      <c r="Z151" s="15"/>
    </row>
    <row r="152" customHeight="1" spans="1:26">
      <c r="A152" s="17"/>
      <c r="B152" s="15"/>
      <c r="C152" s="15"/>
      <c r="D152" s="15"/>
      <c r="E152" s="15"/>
      <c r="F152" s="15"/>
      <c r="G152" s="15"/>
      <c r="H152" s="16"/>
      <c r="I152" s="16"/>
      <c r="J152" s="16"/>
      <c r="K152" s="16"/>
      <c r="L152" s="16"/>
      <c r="M152" s="16"/>
      <c r="N152" s="16"/>
      <c r="O152" s="16"/>
      <c r="P152" s="16"/>
      <c r="Q152" s="16"/>
      <c r="R152" s="16"/>
      <c r="S152" s="16"/>
      <c r="T152" s="16"/>
      <c r="U152" s="16"/>
      <c r="V152" s="16"/>
      <c r="W152" s="15"/>
      <c r="X152" s="15"/>
      <c r="Y152" s="15"/>
      <c r="Z152" s="15"/>
    </row>
    <row r="153" customHeight="1" spans="1:26">
      <c r="A153" s="17"/>
      <c r="B153" s="15"/>
      <c r="C153" s="15"/>
      <c r="D153" s="15"/>
      <c r="E153" s="15"/>
      <c r="F153" s="15"/>
      <c r="G153" s="15"/>
      <c r="H153" s="16"/>
      <c r="I153" s="16"/>
      <c r="J153" s="16"/>
      <c r="K153" s="16"/>
      <c r="L153" s="16"/>
      <c r="M153" s="16"/>
      <c r="N153" s="16"/>
      <c r="O153" s="16"/>
      <c r="P153" s="16"/>
      <c r="Q153" s="16"/>
      <c r="R153" s="16"/>
      <c r="S153" s="16"/>
      <c r="T153" s="16"/>
      <c r="U153" s="16"/>
      <c r="V153" s="16"/>
      <c r="W153" s="15"/>
      <c r="X153" s="15"/>
      <c r="Y153" s="15"/>
      <c r="Z153" s="15"/>
    </row>
    <row r="154" customHeight="1" spans="1:26">
      <c r="A154" s="17"/>
      <c r="B154" s="15"/>
      <c r="C154" s="15"/>
      <c r="D154" s="15"/>
      <c r="E154" s="15"/>
      <c r="F154" s="15"/>
      <c r="G154" s="15"/>
      <c r="H154" s="16"/>
      <c r="I154" s="16"/>
      <c r="J154" s="16"/>
      <c r="K154" s="16"/>
      <c r="L154" s="16"/>
      <c r="M154" s="16"/>
      <c r="N154" s="16"/>
      <c r="O154" s="16"/>
      <c r="P154" s="16"/>
      <c r="Q154" s="16"/>
      <c r="R154" s="16"/>
      <c r="S154" s="16"/>
      <c r="T154" s="16"/>
      <c r="U154" s="16"/>
      <c r="V154" s="16"/>
      <c r="W154" s="15"/>
      <c r="X154" s="15"/>
      <c r="Y154" s="15"/>
      <c r="Z154" s="15"/>
    </row>
    <row r="155" customHeight="1" spans="1:26">
      <c r="A155" s="17"/>
      <c r="B155" s="15"/>
      <c r="C155" s="15"/>
      <c r="D155" s="15"/>
      <c r="E155" s="15"/>
      <c r="F155" s="15"/>
      <c r="G155" s="15"/>
      <c r="H155" s="16"/>
      <c r="I155" s="16"/>
      <c r="J155" s="16"/>
      <c r="K155" s="16"/>
      <c r="L155" s="16"/>
      <c r="M155" s="16"/>
      <c r="N155" s="16"/>
      <c r="O155" s="16"/>
      <c r="P155" s="16"/>
      <c r="Q155" s="16"/>
      <c r="R155" s="16"/>
      <c r="S155" s="16"/>
      <c r="T155" s="16"/>
      <c r="U155" s="16"/>
      <c r="V155" s="16"/>
      <c r="W155" s="15"/>
      <c r="X155" s="15"/>
      <c r="Y155" s="15"/>
      <c r="Z155" s="15"/>
    </row>
    <row r="156" customHeight="1" spans="1:26">
      <c r="A156" s="17"/>
      <c r="B156" s="15"/>
      <c r="C156" s="15"/>
      <c r="D156" s="15"/>
      <c r="E156" s="15"/>
      <c r="F156" s="15"/>
      <c r="G156" s="15"/>
      <c r="H156" s="16"/>
      <c r="I156" s="16"/>
      <c r="J156" s="16"/>
      <c r="K156" s="16"/>
      <c r="L156" s="16"/>
      <c r="M156" s="16"/>
      <c r="N156" s="16"/>
      <c r="O156" s="16"/>
      <c r="P156" s="16"/>
      <c r="Q156" s="16"/>
      <c r="R156" s="16"/>
      <c r="S156" s="16"/>
      <c r="T156" s="16"/>
      <c r="U156" s="16"/>
      <c r="V156" s="16"/>
      <c r="W156" s="15"/>
      <c r="X156" s="15"/>
      <c r="Y156" s="15"/>
      <c r="Z156" s="15"/>
    </row>
    <row r="157" customHeight="1" spans="1:26">
      <c r="A157" s="17"/>
      <c r="B157" s="15"/>
      <c r="C157" s="15"/>
      <c r="D157" s="15"/>
      <c r="E157" s="15"/>
      <c r="F157" s="15"/>
      <c r="G157" s="15"/>
      <c r="H157" s="16"/>
      <c r="I157" s="16"/>
      <c r="J157" s="16"/>
      <c r="K157" s="16"/>
      <c r="L157" s="16"/>
      <c r="M157" s="16"/>
      <c r="N157" s="16"/>
      <c r="O157" s="16"/>
      <c r="P157" s="16"/>
      <c r="Q157" s="16"/>
      <c r="R157" s="16"/>
      <c r="S157" s="16"/>
      <c r="T157" s="16"/>
      <c r="U157" s="16"/>
      <c r="V157" s="16"/>
      <c r="W157" s="15"/>
      <c r="X157" s="15"/>
      <c r="Y157" s="15"/>
      <c r="Z157" s="15"/>
    </row>
    <row r="158" customHeight="1" spans="1:26">
      <c r="A158" s="17"/>
      <c r="B158" s="15"/>
      <c r="C158" s="15"/>
      <c r="D158" s="15"/>
      <c r="E158" s="15"/>
      <c r="F158" s="15"/>
      <c r="G158" s="15"/>
      <c r="H158" s="16"/>
      <c r="I158" s="16"/>
      <c r="J158" s="16"/>
      <c r="K158" s="16"/>
      <c r="L158" s="16"/>
      <c r="M158" s="16"/>
      <c r="N158" s="16"/>
      <c r="O158" s="16"/>
      <c r="P158" s="16"/>
      <c r="Q158" s="16"/>
      <c r="R158" s="16"/>
      <c r="S158" s="16"/>
      <c r="T158" s="16"/>
      <c r="U158" s="16"/>
      <c r="V158" s="16"/>
      <c r="W158" s="15"/>
      <c r="X158" s="15"/>
      <c r="Y158" s="15"/>
      <c r="Z158" s="15"/>
    </row>
    <row r="159" customHeight="1" spans="1:26">
      <c r="A159" s="17"/>
      <c r="B159" s="15"/>
      <c r="C159" s="15"/>
      <c r="D159" s="15"/>
      <c r="E159" s="15"/>
      <c r="F159" s="15"/>
      <c r="G159" s="15"/>
      <c r="H159" s="16"/>
      <c r="I159" s="16"/>
      <c r="J159" s="16"/>
      <c r="K159" s="16"/>
      <c r="L159" s="16"/>
      <c r="M159" s="16"/>
      <c r="N159" s="16"/>
      <c r="O159" s="16"/>
      <c r="P159" s="16"/>
      <c r="Q159" s="16"/>
      <c r="R159" s="16"/>
      <c r="S159" s="16"/>
      <c r="T159" s="16"/>
      <c r="U159" s="16"/>
      <c r="V159" s="16"/>
      <c r="W159" s="15"/>
      <c r="X159" s="15"/>
      <c r="Y159" s="15"/>
      <c r="Z159" s="15"/>
    </row>
    <row r="160" customHeight="1" spans="1:26">
      <c r="A160" s="17"/>
      <c r="B160" s="15"/>
      <c r="C160" s="15"/>
      <c r="D160" s="15"/>
      <c r="E160" s="15"/>
      <c r="F160" s="15"/>
      <c r="G160" s="15"/>
      <c r="H160" s="16"/>
      <c r="I160" s="16"/>
      <c r="J160" s="16"/>
      <c r="K160" s="16"/>
      <c r="L160" s="16"/>
      <c r="M160" s="16"/>
      <c r="N160" s="16"/>
      <c r="O160" s="16"/>
      <c r="P160" s="16"/>
      <c r="Q160" s="16"/>
      <c r="R160" s="16"/>
      <c r="S160" s="16"/>
      <c r="T160" s="16"/>
      <c r="U160" s="16"/>
      <c r="V160" s="16"/>
      <c r="W160" s="15"/>
      <c r="X160" s="15"/>
      <c r="Y160" s="15"/>
      <c r="Z160" s="15"/>
    </row>
    <row r="161" customHeight="1" spans="1:26">
      <c r="A161" s="17"/>
      <c r="B161" s="15"/>
      <c r="C161" s="15"/>
      <c r="D161" s="15"/>
      <c r="E161" s="15"/>
      <c r="F161" s="15"/>
      <c r="G161" s="15"/>
      <c r="H161" s="16"/>
      <c r="I161" s="16"/>
      <c r="J161" s="16"/>
      <c r="K161" s="16"/>
      <c r="L161" s="16"/>
      <c r="M161" s="16"/>
      <c r="N161" s="16"/>
      <c r="O161" s="16"/>
      <c r="P161" s="16"/>
      <c r="Q161" s="16"/>
      <c r="R161" s="16"/>
      <c r="S161" s="16"/>
      <c r="T161" s="16"/>
      <c r="U161" s="16"/>
      <c r="V161" s="16"/>
      <c r="W161" s="15"/>
      <c r="X161" s="15"/>
      <c r="Y161" s="15"/>
      <c r="Z161" s="15"/>
    </row>
    <row r="162" customHeight="1" spans="1:26">
      <c r="A162" s="17"/>
      <c r="B162" s="15"/>
      <c r="C162" s="15"/>
      <c r="D162" s="15"/>
      <c r="E162" s="15"/>
      <c r="F162" s="15"/>
      <c r="G162" s="15"/>
      <c r="H162" s="16"/>
      <c r="I162" s="16"/>
      <c r="J162" s="16"/>
      <c r="K162" s="16"/>
      <c r="L162" s="16"/>
      <c r="M162" s="16"/>
      <c r="N162" s="16"/>
      <c r="O162" s="16"/>
      <c r="P162" s="16"/>
      <c r="Q162" s="16"/>
      <c r="R162" s="16"/>
      <c r="S162" s="16"/>
      <c r="T162" s="16"/>
      <c r="U162" s="16"/>
      <c r="V162" s="16"/>
      <c r="W162" s="15"/>
      <c r="X162" s="15"/>
      <c r="Y162" s="15"/>
      <c r="Z162" s="15"/>
    </row>
    <row r="163" customHeight="1" spans="1:26">
      <c r="A163" s="17"/>
      <c r="B163" s="15"/>
      <c r="C163" s="15"/>
      <c r="D163" s="15"/>
      <c r="E163" s="15"/>
      <c r="F163" s="15"/>
      <c r="G163" s="15"/>
      <c r="H163" s="16"/>
      <c r="I163" s="16"/>
      <c r="J163" s="16"/>
      <c r="K163" s="16"/>
      <c r="L163" s="16"/>
      <c r="M163" s="16"/>
      <c r="N163" s="16"/>
      <c r="O163" s="16"/>
      <c r="P163" s="16"/>
      <c r="Q163" s="16"/>
      <c r="R163" s="16"/>
      <c r="S163" s="16"/>
      <c r="T163" s="16"/>
      <c r="U163" s="16"/>
      <c r="V163" s="16"/>
      <c r="W163" s="15"/>
      <c r="X163" s="15"/>
      <c r="Y163" s="15"/>
      <c r="Z163" s="15"/>
    </row>
    <row r="164" customHeight="1" spans="1:26">
      <c r="A164" s="17"/>
      <c r="B164" s="15"/>
      <c r="C164" s="15"/>
      <c r="D164" s="15"/>
      <c r="E164" s="15"/>
      <c r="F164" s="15"/>
      <c r="G164" s="15"/>
      <c r="H164" s="16"/>
      <c r="I164" s="16"/>
      <c r="J164" s="16"/>
      <c r="K164" s="16"/>
      <c r="L164" s="16"/>
      <c r="M164" s="16"/>
      <c r="N164" s="16"/>
      <c r="O164" s="16"/>
      <c r="P164" s="16"/>
      <c r="Q164" s="16"/>
      <c r="R164" s="16"/>
      <c r="S164" s="16"/>
      <c r="T164" s="16"/>
      <c r="U164" s="16"/>
      <c r="V164" s="16"/>
      <c r="W164" s="15"/>
      <c r="X164" s="15"/>
      <c r="Y164" s="15"/>
      <c r="Z164" s="15"/>
    </row>
    <row r="165" customHeight="1" spans="1:26">
      <c r="A165" s="17"/>
      <c r="B165" s="15"/>
      <c r="C165" s="15"/>
      <c r="D165" s="15"/>
      <c r="E165" s="15"/>
      <c r="F165" s="15"/>
      <c r="G165" s="15"/>
      <c r="H165" s="16"/>
      <c r="I165" s="16"/>
      <c r="J165" s="16"/>
      <c r="K165" s="16"/>
      <c r="L165" s="16"/>
      <c r="M165" s="16"/>
      <c r="N165" s="16"/>
      <c r="O165" s="16"/>
      <c r="P165" s="16"/>
      <c r="Q165" s="16"/>
      <c r="R165" s="16"/>
      <c r="S165" s="16"/>
      <c r="T165" s="16"/>
      <c r="U165" s="16"/>
      <c r="V165" s="16"/>
      <c r="W165" s="15"/>
      <c r="X165" s="15"/>
      <c r="Y165" s="15"/>
      <c r="Z165" s="15"/>
    </row>
    <row r="166" customHeight="1" spans="1:26">
      <c r="A166" s="17"/>
      <c r="B166" s="15"/>
      <c r="C166" s="15"/>
      <c r="D166" s="15"/>
      <c r="E166" s="15"/>
      <c r="F166" s="15"/>
      <c r="G166" s="15"/>
      <c r="H166" s="16"/>
      <c r="I166" s="16"/>
      <c r="J166" s="16"/>
      <c r="K166" s="16"/>
      <c r="L166" s="16"/>
      <c r="M166" s="16"/>
      <c r="N166" s="16"/>
      <c r="O166" s="16"/>
      <c r="P166" s="16"/>
      <c r="Q166" s="16"/>
      <c r="R166" s="16"/>
      <c r="S166" s="16"/>
      <c r="T166" s="16"/>
      <c r="U166" s="16"/>
      <c r="V166" s="16"/>
      <c r="W166" s="15"/>
      <c r="X166" s="15"/>
      <c r="Y166" s="15"/>
      <c r="Z166" s="15"/>
    </row>
    <row r="167" customHeight="1" spans="1:26">
      <c r="A167" s="17"/>
      <c r="B167" s="15"/>
      <c r="C167" s="15"/>
      <c r="D167" s="15"/>
      <c r="E167" s="15"/>
      <c r="F167" s="15"/>
      <c r="G167" s="15"/>
      <c r="H167" s="16"/>
      <c r="I167" s="16"/>
      <c r="J167" s="16"/>
      <c r="K167" s="16"/>
      <c r="L167" s="16"/>
      <c r="M167" s="16"/>
      <c r="N167" s="16"/>
      <c r="O167" s="16"/>
      <c r="P167" s="16"/>
      <c r="Q167" s="16"/>
      <c r="R167" s="16"/>
      <c r="S167" s="16"/>
      <c r="T167" s="16"/>
      <c r="U167" s="16"/>
      <c r="V167" s="16"/>
      <c r="W167" s="15"/>
      <c r="X167" s="15"/>
      <c r="Y167" s="15"/>
      <c r="Z167" s="15"/>
    </row>
    <row r="168" customHeight="1" spans="1:26">
      <c r="A168" s="17"/>
      <c r="B168" s="15"/>
      <c r="C168" s="15"/>
      <c r="D168" s="15"/>
      <c r="E168" s="15"/>
      <c r="F168" s="15"/>
      <c r="G168" s="15"/>
      <c r="H168" s="16"/>
      <c r="I168" s="16"/>
      <c r="J168" s="16"/>
      <c r="K168" s="16"/>
      <c r="L168" s="16"/>
      <c r="M168" s="16"/>
      <c r="N168" s="16"/>
      <c r="O168" s="16"/>
      <c r="P168" s="16"/>
      <c r="Q168" s="16"/>
      <c r="R168" s="16"/>
      <c r="S168" s="16"/>
      <c r="T168" s="16"/>
      <c r="U168" s="16"/>
      <c r="V168" s="16"/>
      <c r="W168" s="15"/>
      <c r="X168" s="15"/>
      <c r="Y168" s="15"/>
      <c r="Z168" s="15"/>
    </row>
    <row r="169" customHeight="1" spans="1:26">
      <c r="A169" s="17"/>
      <c r="B169" s="15"/>
      <c r="C169" s="15"/>
      <c r="D169" s="15"/>
      <c r="E169" s="15"/>
      <c r="F169" s="15"/>
      <c r="G169" s="15"/>
      <c r="H169" s="16"/>
      <c r="I169" s="16"/>
      <c r="J169" s="16"/>
      <c r="K169" s="16"/>
      <c r="L169" s="16"/>
      <c r="M169" s="16"/>
      <c r="N169" s="16"/>
      <c r="O169" s="16"/>
      <c r="P169" s="16"/>
      <c r="Q169" s="16"/>
      <c r="R169" s="16"/>
      <c r="S169" s="16"/>
      <c r="T169" s="16"/>
      <c r="U169" s="16"/>
      <c r="V169" s="16"/>
      <c r="W169" s="15"/>
      <c r="X169" s="15"/>
      <c r="Y169" s="15"/>
      <c r="Z169" s="15"/>
    </row>
    <row r="170" customHeight="1" spans="1:26">
      <c r="A170" s="17"/>
      <c r="B170" s="15"/>
      <c r="C170" s="15"/>
      <c r="D170" s="15"/>
      <c r="E170" s="15"/>
      <c r="F170" s="15"/>
      <c r="G170" s="15"/>
      <c r="H170" s="16"/>
      <c r="I170" s="16"/>
      <c r="J170" s="16"/>
      <c r="K170" s="16"/>
      <c r="L170" s="16"/>
      <c r="M170" s="16"/>
      <c r="N170" s="16"/>
      <c r="O170" s="16"/>
      <c r="P170" s="16"/>
      <c r="Q170" s="16"/>
      <c r="R170" s="16"/>
      <c r="S170" s="16"/>
      <c r="T170" s="16"/>
      <c r="U170" s="16"/>
      <c r="V170" s="16"/>
      <c r="W170" s="15"/>
      <c r="X170" s="15"/>
      <c r="Y170" s="15"/>
      <c r="Z170" s="15"/>
    </row>
    <row r="171" customHeight="1" spans="1:26">
      <c r="A171" s="17"/>
      <c r="B171" s="15"/>
      <c r="C171" s="15"/>
      <c r="D171" s="15"/>
      <c r="E171" s="15"/>
      <c r="F171" s="15"/>
      <c r="G171" s="15"/>
      <c r="H171" s="16"/>
      <c r="I171" s="16"/>
      <c r="J171" s="16"/>
      <c r="K171" s="16"/>
      <c r="L171" s="16"/>
      <c r="M171" s="16"/>
      <c r="N171" s="16"/>
      <c r="O171" s="16"/>
      <c r="P171" s="16"/>
      <c r="Q171" s="16"/>
      <c r="R171" s="16"/>
      <c r="S171" s="16"/>
      <c r="T171" s="16"/>
      <c r="U171" s="16"/>
      <c r="V171" s="16"/>
      <c r="W171" s="15"/>
      <c r="X171" s="15"/>
      <c r="Y171" s="15"/>
      <c r="Z171" s="15"/>
    </row>
    <row r="172" customHeight="1" spans="1:26">
      <c r="A172" s="17"/>
      <c r="B172" s="15"/>
      <c r="C172" s="15"/>
      <c r="D172" s="15"/>
      <c r="E172" s="15"/>
      <c r="F172" s="15"/>
      <c r="G172" s="15"/>
      <c r="H172" s="16"/>
      <c r="I172" s="16"/>
      <c r="J172" s="16"/>
      <c r="K172" s="16"/>
      <c r="L172" s="16"/>
      <c r="M172" s="16"/>
      <c r="N172" s="16"/>
      <c r="O172" s="16"/>
      <c r="P172" s="16"/>
      <c r="Q172" s="16"/>
      <c r="R172" s="16"/>
      <c r="S172" s="16"/>
      <c r="T172" s="16"/>
      <c r="U172" s="16"/>
      <c r="V172" s="16"/>
      <c r="W172" s="15"/>
      <c r="X172" s="15"/>
      <c r="Y172" s="15"/>
      <c r="Z172" s="15"/>
    </row>
    <row r="173" customHeight="1" spans="1:26">
      <c r="A173" s="17"/>
      <c r="B173" s="15"/>
      <c r="C173" s="15"/>
      <c r="D173" s="15"/>
      <c r="E173" s="15"/>
      <c r="F173" s="15"/>
      <c r="G173" s="15"/>
      <c r="H173" s="16"/>
      <c r="I173" s="16"/>
      <c r="J173" s="16"/>
      <c r="K173" s="16"/>
      <c r="L173" s="16"/>
      <c r="M173" s="16"/>
      <c r="N173" s="16"/>
      <c r="O173" s="16"/>
      <c r="P173" s="16"/>
      <c r="Q173" s="16"/>
      <c r="R173" s="16"/>
      <c r="S173" s="16"/>
      <c r="T173" s="16"/>
      <c r="U173" s="16"/>
      <c r="V173" s="16"/>
      <c r="W173" s="15"/>
      <c r="X173" s="15"/>
      <c r="Y173" s="15"/>
      <c r="Z173" s="15"/>
    </row>
    <row r="174" customHeight="1" spans="1:26">
      <c r="A174" s="17"/>
      <c r="B174" s="15"/>
      <c r="C174" s="15"/>
      <c r="D174" s="15"/>
      <c r="E174" s="15"/>
      <c r="F174" s="15"/>
      <c r="G174" s="15"/>
      <c r="H174" s="16"/>
      <c r="I174" s="16"/>
      <c r="J174" s="16"/>
      <c r="K174" s="16"/>
      <c r="L174" s="16"/>
      <c r="M174" s="16"/>
      <c r="N174" s="16"/>
      <c r="O174" s="16"/>
      <c r="P174" s="16"/>
      <c r="Q174" s="16"/>
      <c r="R174" s="16"/>
      <c r="S174" s="16"/>
      <c r="T174" s="16"/>
      <c r="U174" s="16"/>
      <c r="V174" s="16"/>
      <c r="W174" s="15"/>
      <c r="X174" s="15"/>
      <c r="Y174" s="15"/>
      <c r="Z174" s="15"/>
    </row>
    <row r="175" customHeight="1" spans="1:26">
      <c r="A175" s="17"/>
      <c r="B175" s="15"/>
      <c r="C175" s="15"/>
      <c r="D175" s="15"/>
      <c r="E175" s="15"/>
      <c r="F175" s="15"/>
      <c r="G175" s="15"/>
      <c r="H175" s="16"/>
      <c r="I175" s="16"/>
      <c r="J175" s="16"/>
      <c r="K175" s="16"/>
      <c r="L175" s="16"/>
      <c r="M175" s="16"/>
      <c r="N175" s="16"/>
      <c r="O175" s="16"/>
      <c r="P175" s="16"/>
      <c r="Q175" s="16"/>
      <c r="R175" s="16"/>
      <c r="S175" s="16"/>
      <c r="T175" s="16"/>
      <c r="U175" s="16"/>
      <c r="V175" s="16"/>
      <c r="W175" s="15"/>
      <c r="X175" s="15"/>
      <c r="Y175" s="15"/>
      <c r="Z175" s="15"/>
    </row>
    <row r="176" customHeight="1" spans="1:26">
      <c r="A176" s="17"/>
      <c r="B176" s="15"/>
      <c r="C176" s="15"/>
      <c r="D176" s="15"/>
      <c r="E176" s="15"/>
      <c r="F176" s="15"/>
      <c r="G176" s="15"/>
      <c r="H176" s="16"/>
      <c r="I176" s="16"/>
      <c r="J176" s="16"/>
      <c r="K176" s="16"/>
      <c r="L176" s="16"/>
      <c r="M176" s="16"/>
      <c r="N176" s="16"/>
      <c r="O176" s="16"/>
      <c r="P176" s="16"/>
      <c r="Q176" s="16"/>
      <c r="R176" s="16"/>
      <c r="S176" s="16"/>
      <c r="T176" s="16"/>
      <c r="U176" s="16"/>
      <c r="V176" s="16"/>
      <c r="W176" s="15"/>
      <c r="X176" s="15"/>
      <c r="Y176" s="15"/>
      <c r="Z176" s="15"/>
    </row>
    <row r="177" customHeight="1" spans="1:26">
      <c r="A177" s="17"/>
      <c r="B177" s="15"/>
      <c r="C177" s="15"/>
      <c r="D177" s="15"/>
      <c r="E177" s="15"/>
      <c r="F177" s="15"/>
      <c r="G177" s="15"/>
      <c r="H177" s="16"/>
      <c r="I177" s="16"/>
      <c r="J177" s="16"/>
      <c r="K177" s="16"/>
      <c r="L177" s="16"/>
      <c r="M177" s="16"/>
      <c r="N177" s="16"/>
      <c r="O177" s="16"/>
      <c r="P177" s="16"/>
      <c r="Q177" s="16"/>
      <c r="R177" s="16"/>
      <c r="S177" s="16"/>
      <c r="T177" s="16"/>
      <c r="U177" s="16"/>
      <c r="V177" s="16"/>
      <c r="W177" s="15"/>
      <c r="X177" s="15"/>
      <c r="Y177" s="15"/>
      <c r="Z177" s="15"/>
    </row>
    <row r="178" customHeight="1" spans="1:26">
      <c r="A178" s="17"/>
      <c r="B178" s="15"/>
      <c r="C178" s="15"/>
      <c r="D178" s="15"/>
      <c r="E178" s="15"/>
      <c r="F178" s="15"/>
      <c r="G178" s="15"/>
      <c r="H178" s="16"/>
      <c r="I178" s="16"/>
      <c r="J178" s="16"/>
      <c r="K178" s="16"/>
      <c r="L178" s="16"/>
      <c r="M178" s="16"/>
      <c r="N178" s="16"/>
      <c r="O178" s="16"/>
      <c r="P178" s="16"/>
      <c r="Q178" s="16"/>
      <c r="R178" s="16"/>
      <c r="S178" s="16"/>
      <c r="T178" s="16"/>
      <c r="U178" s="16"/>
      <c r="V178" s="16"/>
      <c r="W178" s="15"/>
      <c r="X178" s="15"/>
      <c r="Y178" s="15"/>
      <c r="Z178" s="15"/>
    </row>
    <row r="179" customHeight="1" spans="1:26">
      <c r="A179" s="17"/>
      <c r="B179" s="15"/>
      <c r="C179" s="15"/>
      <c r="D179" s="15"/>
      <c r="E179" s="15"/>
      <c r="F179" s="15"/>
      <c r="G179" s="15"/>
      <c r="H179" s="16"/>
      <c r="I179" s="16"/>
      <c r="J179" s="16"/>
      <c r="K179" s="16"/>
      <c r="L179" s="16"/>
      <c r="M179" s="16"/>
      <c r="N179" s="16"/>
      <c r="O179" s="16"/>
      <c r="P179" s="16"/>
      <c r="Q179" s="16"/>
      <c r="R179" s="16"/>
      <c r="S179" s="16"/>
      <c r="T179" s="16"/>
      <c r="U179" s="16"/>
      <c r="V179" s="16"/>
      <c r="W179" s="15"/>
      <c r="X179" s="15"/>
      <c r="Y179" s="15"/>
      <c r="Z179" s="15"/>
    </row>
    <row r="180" customHeight="1" spans="1:26">
      <c r="A180" s="17"/>
      <c r="B180" s="15"/>
      <c r="C180" s="15"/>
      <c r="D180" s="15"/>
      <c r="E180" s="15"/>
      <c r="F180" s="15"/>
      <c r="G180" s="15"/>
      <c r="H180" s="16"/>
      <c r="I180" s="16"/>
      <c r="J180" s="16"/>
      <c r="K180" s="16"/>
      <c r="L180" s="16"/>
      <c r="M180" s="16"/>
      <c r="N180" s="16"/>
      <c r="O180" s="16"/>
      <c r="P180" s="16"/>
      <c r="Q180" s="16"/>
      <c r="R180" s="16"/>
      <c r="S180" s="16"/>
      <c r="T180" s="16"/>
      <c r="U180" s="16"/>
      <c r="V180" s="16"/>
      <c r="W180" s="15"/>
      <c r="X180" s="15"/>
      <c r="Y180" s="15"/>
      <c r="Z180" s="15"/>
    </row>
    <row r="181" customHeight="1" spans="1:26">
      <c r="A181" s="17"/>
      <c r="B181" s="15"/>
      <c r="C181" s="15"/>
      <c r="D181" s="15"/>
      <c r="E181" s="15"/>
      <c r="F181" s="15"/>
      <c r="G181" s="15"/>
      <c r="H181" s="16"/>
      <c r="I181" s="16"/>
      <c r="J181" s="16"/>
      <c r="K181" s="16"/>
      <c r="L181" s="16"/>
      <c r="M181" s="16"/>
      <c r="N181" s="16"/>
      <c r="O181" s="16"/>
      <c r="P181" s="16"/>
      <c r="Q181" s="16"/>
      <c r="R181" s="16"/>
      <c r="S181" s="16"/>
      <c r="T181" s="16"/>
      <c r="U181" s="16"/>
      <c r="V181" s="16"/>
      <c r="W181" s="15"/>
      <c r="X181" s="15"/>
      <c r="Y181" s="15"/>
      <c r="Z181" s="15"/>
    </row>
    <row r="182" customHeight="1" spans="1:26">
      <c r="A182" s="17"/>
      <c r="B182" s="15"/>
      <c r="C182" s="15"/>
      <c r="D182" s="15"/>
      <c r="E182" s="15"/>
      <c r="F182" s="15"/>
      <c r="G182" s="15"/>
      <c r="H182" s="16"/>
      <c r="I182" s="16"/>
      <c r="J182" s="16"/>
      <c r="K182" s="16"/>
      <c r="L182" s="16"/>
      <c r="M182" s="16"/>
      <c r="N182" s="16"/>
      <c r="O182" s="16"/>
      <c r="P182" s="16"/>
      <c r="Q182" s="16"/>
      <c r="R182" s="16"/>
      <c r="S182" s="16"/>
      <c r="T182" s="16"/>
      <c r="U182" s="16"/>
      <c r="V182" s="16"/>
      <c r="W182" s="15"/>
      <c r="X182" s="15"/>
      <c r="Y182" s="15"/>
      <c r="Z182" s="15"/>
    </row>
    <row r="183" customHeight="1" spans="1:26">
      <c r="A183" s="17"/>
      <c r="B183" s="15"/>
      <c r="C183" s="15"/>
      <c r="D183" s="15"/>
      <c r="E183" s="15"/>
      <c r="F183" s="15"/>
      <c r="G183" s="15"/>
      <c r="H183" s="16"/>
      <c r="I183" s="16"/>
      <c r="J183" s="16"/>
      <c r="K183" s="16"/>
      <c r="L183" s="16"/>
      <c r="M183" s="16"/>
      <c r="N183" s="16"/>
      <c r="O183" s="16"/>
      <c r="P183" s="16"/>
      <c r="Q183" s="16"/>
      <c r="R183" s="16"/>
      <c r="S183" s="16"/>
      <c r="T183" s="16"/>
      <c r="U183" s="16"/>
      <c r="V183" s="16"/>
      <c r="W183" s="15"/>
      <c r="X183" s="15"/>
      <c r="Y183" s="15"/>
      <c r="Z183" s="15"/>
    </row>
    <row r="184" customHeight="1" spans="1:26">
      <c r="A184" s="17"/>
      <c r="B184" s="15"/>
      <c r="C184" s="15"/>
      <c r="D184" s="15"/>
      <c r="E184" s="15"/>
      <c r="F184" s="15"/>
      <c r="G184" s="15"/>
      <c r="H184" s="16"/>
      <c r="I184" s="16"/>
      <c r="J184" s="16"/>
      <c r="K184" s="16"/>
      <c r="L184" s="16"/>
      <c r="M184" s="16"/>
      <c r="N184" s="16"/>
      <c r="O184" s="16"/>
      <c r="P184" s="16"/>
      <c r="Q184" s="16"/>
      <c r="R184" s="16"/>
      <c r="S184" s="16"/>
      <c r="T184" s="16"/>
      <c r="U184" s="16"/>
      <c r="V184" s="16"/>
      <c r="W184" s="15"/>
      <c r="X184" s="15"/>
      <c r="Y184" s="15"/>
      <c r="Z184" s="15"/>
    </row>
    <row r="185" customHeight="1" spans="1:26">
      <c r="A185" s="17"/>
      <c r="B185" s="15"/>
      <c r="C185" s="15"/>
      <c r="D185" s="15"/>
      <c r="E185" s="15"/>
      <c r="F185" s="15"/>
      <c r="G185" s="15"/>
      <c r="H185" s="16"/>
      <c r="I185" s="16"/>
      <c r="J185" s="16"/>
      <c r="K185" s="16"/>
      <c r="L185" s="16"/>
      <c r="M185" s="16"/>
      <c r="N185" s="16"/>
      <c r="O185" s="16"/>
      <c r="P185" s="16"/>
      <c r="Q185" s="16"/>
      <c r="R185" s="16"/>
      <c r="S185" s="16"/>
      <c r="T185" s="16"/>
      <c r="U185" s="16"/>
      <c r="V185" s="16"/>
      <c r="W185" s="15"/>
      <c r="X185" s="15"/>
      <c r="Y185" s="15"/>
      <c r="Z185" s="15"/>
    </row>
    <row r="186" customHeight="1" spans="1:26">
      <c r="A186" s="17"/>
      <c r="B186" s="15"/>
      <c r="C186" s="15"/>
      <c r="D186" s="15"/>
      <c r="E186" s="15"/>
      <c r="F186" s="15"/>
      <c r="G186" s="15"/>
      <c r="H186" s="16"/>
      <c r="I186" s="16"/>
      <c r="J186" s="16"/>
      <c r="K186" s="16"/>
      <c r="L186" s="16"/>
      <c r="M186" s="16"/>
      <c r="N186" s="16"/>
      <c r="O186" s="16"/>
      <c r="P186" s="16"/>
      <c r="Q186" s="16"/>
      <c r="R186" s="16"/>
      <c r="S186" s="16"/>
      <c r="T186" s="16"/>
      <c r="U186" s="16"/>
      <c r="V186" s="16"/>
      <c r="W186" s="15"/>
      <c r="X186" s="15"/>
      <c r="Y186" s="15"/>
      <c r="Z186" s="15"/>
    </row>
    <row r="187" customHeight="1" spans="1:26">
      <c r="A187" s="17"/>
      <c r="B187" s="15"/>
      <c r="C187" s="15"/>
      <c r="D187" s="15"/>
      <c r="E187" s="15"/>
      <c r="F187" s="15"/>
      <c r="G187" s="15"/>
      <c r="H187" s="16"/>
      <c r="I187" s="16"/>
      <c r="J187" s="16"/>
      <c r="K187" s="16"/>
      <c r="L187" s="16"/>
      <c r="M187" s="16"/>
      <c r="N187" s="16"/>
      <c r="O187" s="16"/>
      <c r="P187" s="16"/>
      <c r="Q187" s="16"/>
      <c r="R187" s="16"/>
      <c r="S187" s="16"/>
      <c r="T187" s="16"/>
      <c r="U187" s="16"/>
      <c r="V187" s="16"/>
      <c r="W187" s="15"/>
      <c r="X187" s="15"/>
      <c r="Y187" s="15"/>
      <c r="Z187" s="15"/>
    </row>
    <row r="188" customHeight="1" spans="1:26">
      <c r="A188" s="17"/>
      <c r="B188" s="15"/>
      <c r="C188" s="15"/>
      <c r="D188" s="15"/>
      <c r="E188" s="15"/>
      <c r="F188" s="15"/>
      <c r="G188" s="15"/>
      <c r="H188" s="16"/>
      <c r="I188" s="16"/>
      <c r="J188" s="16"/>
      <c r="K188" s="16"/>
      <c r="L188" s="16"/>
      <c r="M188" s="16"/>
      <c r="N188" s="16"/>
      <c r="O188" s="16"/>
      <c r="P188" s="16"/>
      <c r="Q188" s="16"/>
      <c r="R188" s="16"/>
      <c r="S188" s="16"/>
      <c r="T188" s="16"/>
      <c r="U188" s="16"/>
      <c r="V188" s="16"/>
      <c r="W188" s="15"/>
      <c r="X188" s="15"/>
      <c r="Y188" s="15"/>
      <c r="Z188" s="15"/>
    </row>
    <row r="189" customHeight="1" spans="1:26">
      <c r="A189" s="17"/>
      <c r="B189" s="15"/>
      <c r="C189" s="15"/>
      <c r="D189" s="15"/>
      <c r="E189" s="15"/>
      <c r="F189" s="15"/>
      <c r="G189" s="15"/>
      <c r="H189" s="16"/>
      <c r="I189" s="16"/>
      <c r="J189" s="16"/>
      <c r="K189" s="16"/>
      <c r="L189" s="16"/>
      <c r="M189" s="16"/>
      <c r="N189" s="16"/>
      <c r="O189" s="16"/>
      <c r="P189" s="16"/>
      <c r="Q189" s="16"/>
      <c r="R189" s="16"/>
      <c r="S189" s="16"/>
      <c r="T189" s="16"/>
      <c r="U189" s="16"/>
      <c r="V189" s="16"/>
      <c r="W189" s="15"/>
      <c r="X189" s="15"/>
      <c r="Y189" s="15"/>
      <c r="Z189" s="15"/>
    </row>
    <row r="190" customHeight="1" spans="1:26">
      <c r="A190" s="17"/>
      <c r="B190" s="15"/>
      <c r="C190" s="15"/>
      <c r="D190" s="15"/>
      <c r="E190" s="15"/>
      <c r="F190" s="15"/>
      <c r="G190" s="15"/>
      <c r="H190" s="16"/>
      <c r="I190" s="16"/>
      <c r="J190" s="16"/>
      <c r="K190" s="16"/>
      <c r="L190" s="16"/>
      <c r="M190" s="16"/>
      <c r="N190" s="16"/>
      <c r="O190" s="16"/>
      <c r="P190" s="16"/>
      <c r="Q190" s="16"/>
      <c r="R190" s="16"/>
      <c r="S190" s="16"/>
      <c r="T190" s="16"/>
      <c r="U190" s="16"/>
      <c r="V190" s="16"/>
      <c r="W190" s="15"/>
      <c r="X190" s="15"/>
      <c r="Y190" s="15"/>
      <c r="Z190" s="15"/>
    </row>
    <row r="191" customHeight="1" spans="1:26">
      <c r="A191" s="17"/>
      <c r="B191" s="15"/>
      <c r="C191" s="15"/>
      <c r="D191" s="15"/>
      <c r="E191" s="15"/>
      <c r="F191" s="15"/>
      <c r="G191" s="15"/>
      <c r="H191" s="16"/>
      <c r="I191" s="16"/>
      <c r="J191" s="16"/>
      <c r="K191" s="16"/>
      <c r="L191" s="16"/>
      <c r="M191" s="16"/>
      <c r="N191" s="16"/>
      <c r="O191" s="16"/>
      <c r="P191" s="16"/>
      <c r="Q191" s="16"/>
      <c r="R191" s="16"/>
      <c r="S191" s="16"/>
      <c r="T191" s="16"/>
      <c r="U191" s="16"/>
      <c r="V191" s="16"/>
      <c r="W191" s="15"/>
      <c r="X191" s="15"/>
      <c r="Y191" s="15"/>
      <c r="Z191" s="15"/>
    </row>
    <row r="192" customHeight="1" spans="1:26">
      <c r="A192" s="17"/>
      <c r="B192" s="15"/>
      <c r="C192" s="15"/>
      <c r="D192" s="15"/>
      <c r="E192" s="15"/>
      <c r="F192" s="15"/>
      <c r="G192" s="15"/>
      <c r="H192" s="16"/>
      <c r="I192" s="16"/>
      <c r="J192" s="16"/>
      <c r="K192" s="16"/>
      <c r="L192" s="16"/>
      <c r="M192" s="16"/>
      <c r="N192" s="16"/>
      <c r="O192" s="16"/>
      <c r="P192" s="16"/>
      <c r="Q192" s="16"/>
      <c r="R192" s="16"/>
      <c r="S192" s="16"/>
      <c r="T192" s="16"/>
      <c r="U192" s="16"/>
      <c r="V192" s="16"/>
      <c r="W192" s="15"/>
      <c r="X192" s="15"/>
      <c r="Y192" s="15"/>
      <c r="Z192" s="15"/>
    </row>
    <row r="193" customHeight="1" spans="1:26">
      <c r="A193" s="17"/>
      <c r="B193" s="15"/>
      <c r="C193" s="15"/>
      <c r="D193" s="15"/>
      <c r="E193" s="15"/>
      <c r="F193" s="15"/>
      <c r="G193" s="15"/>
      <c r="H193" s="16"/>
      <c r="I193" s="16"/>
      <c r="J193" s="16"/>
      <c r="K193" s="16"/>
      <c r="L193" s="16"/>
      <c r="M193" s="16"/>
      <c r="N193" s="16"/>
      <c r="O193" s="16"/>
      <c r="P193" s="16"/>
      <c r="Q193" s="16"/>
      <c r="R193" s="16"/>
      <c r="S193" s="16"/>
      <c r="T193" s="16"/>
      <c r="U193" s="16"/>
      <c r="V193" s="16"/>
      <c r="W193" s="15"/>
      <c r="X193" s="15"/>
      <c r="Y193" s="15"/>
      <c r="Z193" s="15"/>
    </row>
    <row r="194" customHeight="1" spans="1:26">
      <c r="A194" s="17"/>
      <c r="B194" s="15"/>
      <c r="C194" s="15"/>
      <c r="D194" s="15"/>
      <c r="E194" s="15"/>
      <c r="F194" s="15"/>
      <c r="G194" s="15"/>
      <c r="H194" s="16"/>
      <c r="I194" s="16"/>
      <c r="J194" s="16"/>
      <c r="K194" s="16"/>
      <c r="L194" s="16"/>
      <c r="M194" s="16"/>
      <c r="N194" s="16"/>
      <c r="O194" s="16"/>
      <c r="P194" s="16"/>
      <c r="Q194" s="16"/>
      <c r="R194" s="16"/>
      <c r="S194" s="16"/>
      <c r="T194" s="16"/>
      <c r="U194" s="16"/>
      <c r="V194" s="16"/>
      <c r="W194" s="15"/>
      <c r="X194" s="15"/>
      <c r="Y194" s="15"/>
      <c r="Z194" s="15"/>
    </row>
    <row r="195" customHeight="1" spans="1:26">
      <c r="A195" s="17"/>
      <c r="B195" s="15"/>
      <c r="C195" s="15"/>
      <c r="D195" s="15"/>
      <c r="E195" s="15"/>
      <c r="F195" s="15"/>
      <c r="G195" s="15"/>
      <c r="H195" s="16"/>
      <c r="I195" s="16"/>
      <c r="J195" s="16"/>
      <c r="K195" s="16"/>
      <c r="L195" s="16"/>
      <c r="M195" s="16"/>
      <c r="N195" s="16"/>
      <c r="O195" s="16"/>
      <c r="P195" s="16"/>
      <c r="Q195" s="16"/>
      <c r="R195" s="16"/>
      <c r="S195" s="16"/>
      <c r="T195" s="16"/>
      <c r="U195" s="16"/>
      <c r="V195" s="16"/>
      <c r="W195" s="15"/>
      <c r="X195" s="15"/>
      <c r="Y195" s="15"/>
      <c r="Z195" s="15"/>
    </row>
    <row r="196" customHeight="1" spans="1:26">
      <c r="A196" s="17"/>
      <c r="B196" s="15"/>
      <c r="C196" s="15"/>
      <c r="D196" s="15"/>
      <c r="E196" s="15"/>
      <c r="F196" s="15"/>
      <c r="G196" s="15"/>
      <c r="H196" s="16"/>
      <c r="I196" s="16"/>
      <c r="J196" s="16"/>
      <c r="K196" s="16"/>
      <c r="L196" s="16"/>
      <c r="M196" s="16"/>
      <c r="N196" s="16"/>
      <c r="O196" s="16"/>
      <c r="P196" s="16"/>
      <c r="Q196" s="16"/>
      <c r="R196" s="16"/>
      <c r="S196" s="16"/>
      <c r="T196" s="16"/>
      <c r="U196" s="16"/>
      <c r="V196" s="16"/>
      <c r="W196" s="15"/>
      <c r="X196" s="15"/>
      <c r="Y196" s="15"/>
      <c r="Z196" s="15"/>
    </row>
    <row r="197" customHeight="1" spans="1:26">
      <c r="A197" s="17"/>
      <c r="B197" s="15"/>
      <c r="C197" s="15"/>
      <c r="D197" s="15"/>
      <c r="E197" s="15"/>
      <c r="F197" s="15"/>
      <c r="G197" s="15"/>
      <c r="H197" s="16"/>
      <c r="I197" s="16"/>
      <c r="J197" s="16"/>
      <c r="K197" s="16"/>
      <c r="L197" s="16"/>
      <c r="M197" s="16"/>
      <c r="N197" s="16"/>
      <c r="O197" s="16"/>
      <c r="P197" s="16"/>
      <c r="Q197" s="16"/>
      <c r="R197" s="16"/>
      <c r="S197" s="16"/>
      <c r="T197" s="16"/>
      <c r="U197" s="16"/>
      <c r="V197" s="16"/>
      <c r="W197" s="15"/>
      <c r="X197" s="15"/>
      <c r="Y197" s="15"/>
      <c r="Z197" s="15"/>
    </row>
    <row r="198" customHeight="1" spans="1:26">
      <c r="A198" s="17"/>
      <c r="B198" s="15"/>
      <c r="C198" s="15"/>
      <c r="D198" s="15"/>
      <c r="E198" s="15"/>
      <c r="F198" s="15"/>
      <c r="G198" s="15"/>
      <c r="H198" s="16"/>
      <c r="I198" s="16"/>
      <c r="J198" s="16"/>
      <c r="K198" s="16"/>
      <c r="L198" s="16"/>
      <c r="M198" s="16"/>
      <c r="N198" s="16"/>
      <c r="O198" s="16"/>
      <c r="P198" s="16"/>
      <c r="Q198" s="16"/>
      <c r="R198" s="16"/>
      <c r="S198" s="16"/>
      <c r="T198" s="16"/>
      <c r="U198" s="16"/>
      <c r="V198" s="16"/>
      <c r="W198" s="15"/>
      <c r="X198" s="15"/>
      <c r="Y198" s="15"/>
      <c r="Z198" s="15"/>
    </row>
    <row r="199" customHeight="1" spans="1:26">
      <c r="A199" s="17"/>
      <c r="B199" s="15"/>
      <c r="C199" s="15"/>
      <c r="D199" s="15"/>
      <c r="E199" s="15"/>
      <c r="F199" s="15"/>
      <c r="G199" s="15"/>
      <c r="H199" s="16"/>
      <c r="I199" s="16"/>
      <c r="J199" s="16"/>
      <c r="K199" s="16"/>
      <c r="L199" s="16"/>
      <c r="M199" s="16"/>
      <c r="N199" s="16"/>
      <c r="O199" s="16"/>
      <c r="P199" s="16"/>
      <c r="Q199" s="16"/>
      <c r="R199" s="16"/>
      <c r="S199" s="16"/>
      <c r="T199" s="16"/>
      <c r="U199" s="16"/>
      <c r="V199" s="16"/>
      <c r="W199" s="15"/>
      <c r="X199" s="15"/>
      <c r="Y199" s="15"/>
      <c r="Z199" s="15"/>
    </row>
    <row r="200" customHeight="1" spans="1:26">
      <c r="A200" s="17"/>
      <c r="B200" s="15"/>
      <c r="C200" s="15"/>
      <c r="D200" s="15"/>
      <c r="E200" s="15"/>
      <c r="F200" s="15"/>
      <c r="G200" s="15"/>
      <c r="H200" s="16"/>
      <c r="I200" s="16"/>
      <c r="J200" s="16"/>
      <c r="K200" s="16"/>
      <c r="L200" s="16"/>
      <c r="M200" s="16"/>
      <c r="N200" s="16"/>
      <c r="O200" s="16"/>
      <c r="P200" s="16"/>
      <c r="Q200" s="16"/>
      <c r="R200" s="16"/>
      <c r="S200" s="16"/>
      <c r="T200" s="16"/>
      <c r="U200" s="16"/>
      <c r="V200" s="16"/>
      <c r="W200" s="15"/>
      <c r="X200" s="15"/>
      <c r="Y200" s="15"/>
      <c r="Z200" s="15"/>
    </row>
    <row r="201" customHeight="1" spans="1:26">
      <c r="A201" s="17"/>
      <c r="B201" s="15"/>
      <c r="C201" s="15"/>
      <c r="D201" s="15"/>
      <c r="E201" s="15"/>
      <c r="F201" s="15"/>
      <c r="G201" s="15"/>
      <c r="H201" s="16"/>
      <c r="I201" s="16"/>
      <c r="J201" s="16"/>
      <c r="K201" s="16"/>
      <c r="L201" s="16"/>
      <c r="M201" s="16"/>
      <c r="N201" s="16"/>
      <c r="O201" s="16"/>
      <c r="P201" s="16"/>
      <c r="Q201" s="16"/>
      <c r="R201" s="16"/>
      <c r="S201" s="16"/>
      <c r="T201" s="16"/>
      <c r="U201" s="16"/>
      <c r="V201" s="16"/>
      <c r="W201" s="15"/>
      <c r="X201" s="15"/>
      <c r="Y201" s="15"/>
      <c r="Z201" s="15"/>
    </row>
    <row r="202" customHeight="1" spans="1:26">
      <c r="A202" s="17"/>
      <c r="B202" s="15"/>
      <c r="C202" s="15"/>
      <c r="D202" s="15"/>
      <c r="E202" s="15"/>
      <c r="F202" s="15"/>
      <c r="G202" s="15"/>
      <c r="H202" s="16"/>
      <c r="I202" s="16"/>
      <c r="J202" s="16"/>
      <c r="K202" s="16"/>
      <c r="L202" s="16"/>
      <c r="M202" s="16"/>
      <c r="N202" s="16"/>
      <c r="O202" s="16"/>
      <c r="P202" s="16"/>
      <c r="Q202" s="16"/>
      <c r="R202" s="16"/>
      <c r="S202" s="16"/>
      <c r="T202" s="16"/>
      <c r="U202" s="16"/>
      <c r="V202" s="16"/>
      <c r="W202" s="15"/>
      <c r="X202" s="15"/>
      <c r="Y202" s="15"/>
      <c r="Z202" s="15"/>
    </row>
    <row r="203" customHeight="1" spans="1:26">
      <c r="A203" s="17"/>
      <c r="B203" s="15"/>
      <c r="C203" s="15"/>
      <c r="D203" s="15"/>
      <c r="E203" s="15"/>
      <c r="F203" s="15"/>
      <c r="G203" s="15"/>
      <c r="H203" s="16"/>
      <c r="I203" s="16"/>
      <c r="J203" s="16"/>
      <c r="K203" s="16"/>
      <c r="L203" s="16"/>
      <c r="M203" s="16"/>
      <c r="N203" s="16"/>
      <c r="O203" s="16"/>
      <c r="P203" s="16"/>
      <c r="Q203" s="16"/>
      <c r="R203" s="16"/>
      <c r="S203" s="16"/>
      <c r="T203" s="16"/>
      <c r="U203" s="16"/>
      <c r="V203" s="16"/>
      <c r="W203" s="15"/>
      <c r="X203" s="15"/>
      <c r="Y203" s="15"/>
      <c r="Z203" s="15"/>
    </row>
    <row r="204" customHeight="1" spans="1:26">
      <c r="A204" s="17"/>
      <c r="B204" s="15"/>
      <c r="C204" s="15"/>
      <c r="D204" s="15"/>
      <c r="E204" s="15"/>
      <c r="F204" s="15"/>
      <c r="G204" s="15"/>
      <c r="H204" s="16"/>
      <c r="I204" s="16"/>
      <c r="J204" s="16"/>
      <c r="K204" s="16"/>
      <c r="L204" s="16"/>
      <c r="M204" s="16"/>
      <c r="N204" s="16"/>
      <c r="O204" s="16"/>
      <c r="P204" s="16"/>
      <c r="Q204" s="16"/>
      <c r="R204" s="16"/>
      <c r="S204" s="16"/>
      <c r="T204" s="16"/>
      <c r="U204" s="16"/>
      <c r="V204" s="16"/>
      <c r="W204" s="15"/>
      <c r="X204" s="15"/>
      <c r="Y204" s="15"/>
      <c r="Z204" s="15"/>
    </row>
    <row r="205" customHeight="1" spans="1:26">
      <c r="A205" s="17"/>
      <c r="B205" s="15"/>
      <c r="C205" s="15"/>
      <c r="D205" s="15"/>
      <c r="E205" s="15"/>
      <c r="F205" s="15"/>
      <c r="G205" s="15"/>
      <c r="H205" s="16"/>
      <c r="I205" s="16"/>
      <c r="J205" s="16"/>
      <c r="K205" s="16"/>
      <c r="L205" s="16"/>
      <c r="M205" s="16"/>
      <c r="N205" s="16"/>
      <c r="O205" s="16"/>
      <c r="P205" s="16"/>
      <c r="Q205" s="16"/>
      <c r="R205" s="16"/>
      <c r="S205" s="16"/>
      <c r="T205" s="16"/>
      <c r="U205" s="16"/>
      <c r="V205" s="16"/>
      <c r="W205" s="15"/>
      <c r="X205" s="15"/>
      <c r="Y205" s="15"/>
      <c r="Z205" s="15"/>
    </row>
    <row r="206" customHeight="1" spans="1:26">
      <c r="A206" s="17"/>
      <c r="B206" s="15"/>
      <c r="C206" s="15"/>
      <c r="D206" s="15"/>
      <c r="E206" s="15"/>
      <c r="F206" s="15"/>
      <c r="G206" s="15"/>
      <c r="H206" s="16"/>
      <c r="I206" s="16"/>
      <c r="J206" s="16"/>
      <c r="K206" s="16"/>
      <c r="L206" s="16"/>
      <c r="M206" s="16"/>
      <c r="N206" s="16"/>
      <c r="O206" s="16"/>
      <c r="P206" s="16"/>
      <c r="Q206" s="16"/>
      <c r="R206" s="16"/>
      <c r="S206" s="16"/>
      <c r="T206" s="16"/>
      <c r="U206" s="16"/>
      <c r="V206" s="16"/>
      <c r="W206" s="15"/>
      <c r="X206" s="15"/>
      <c r="Y206" s="15"/>
      <c r="Z206" s="15"/>
    </row>
    <row r="207" customHeight="1" spans="1:26">
      <c r="A207" s="17"/>
      <c r="B207" s="15"/>
      <c r="C207" s="15"/>
      <c r="D207" s="15"/>
      <c r="E207" s="15"/>
      <c r="F207" s="15"/>
      <c r="G207" s="15"/>
      <c r="H207" s="16"/>
      <c r="I207" s="16"/>
      <c r="J207" s="16"/>
      <c r="K207" s="16"/>
      <c r="L207" s="16"/>
      <c r="M207" s="16"/>
      <c r="N207" s="16"/>
      <c r="O207" s="16"/>
      <c r="P207" s="16"/>
      <c r="Q207" s="16"/>
      <c r="R207" s="16"/>
      <c r="S207" s="16"/>
      <c r="T207" s="16"/>
      <c r="U207" s="16"/>
      <c r="V207" s="16"/>
      <c r="W207" s="15"/>
      <c r="X207" s="15"/>
      <c r="Y207" s="15"/>
      <c r="Z207" s="15"/>
    </row>
    <row r="208" customHeight="1" spans="1:26">
      <c r="A208" s="17"/>
      <c r="B208" s="15"/>
      <c r="C208" s="15"/>
      <c r="D208" s="15"/>
      <c r="E208" s="15"/>
      <c r="F208" s="15"/>
      <c r="G208" s="15"/>
      <c r="H208" s="16"/>
      <c r="I208" s="16"/>
      <c r="J208" s="16"/>
      <c r="K208" s="16"/>
      <c r="L208" s="16"/>
      <c r="M208" s="16"/>
      <c r="N208" s="16"/>
      <c r="O208" s="16"/>
      <c r="P208" s="16"/>
      <c r="Q208" s="16"/>
      <c r="R208" s="16"/>
      <c r="S208" s="16"/>
      <c r="T208" s="16"/>
      <c r="U208" s="16"/>
      <c r="V208" s="16"/>
      <c r="W208" s="15"/>
      <c r="X208" s="15"/>
      <c r="Y208" s="15"/>
      <c r="Z208" s="15"/>
    </row>
    <row r="209" customHeight="1" spans="1:26">
      <c r="A209" s="17"/>
      <c r="B209" s="15"/>
      <c r="C209" s="15"/>
      <c r="D209" s="15"/>
      <c r="E209" s="15"/>
      <c r="F209" s="15"/>
      <c r="G209" s="15"/>
      <c r="H209" s="16"/>
      <c r="I209" s="16"/>
      <c r="J209" s="16"/>
      <c r="K209" s="16"/>
      <c r="L209" s="16"/>
      <c r="M209" s="16"/>
      <c r="N209" s="16"/>
      <c r="O209" s="16"/>
      <c r="P209" s="16"/>
      <c r="Q209" s="16"/>
      <c r="R209" s="16"/>
      <c r="S209" s="16"/>
      <c r="T209" s="16"/>
      <c r="U209" s="16"/>
      <c r="V209" s="16"/>
      <c r="W209" s="15"/>
      <c r="X209" s="15"/>
      <c r="Y209" s="15"/>
      <c r="Z209" s="15"/>
    </row>
    <row r="210" customHeight="1" spans="1:26">
      <c r="A210" s="17"/>
      <c r="B210" s="15"/>
      <c r="C210" s="15"/>
      <c r="D210" s="15"/>
      <c r="E210" s="15"/>
      <c r="F210" s="15"/>
      <c r="G210" s="15"/>
      <c r="H210" s="16"/>
      <c r="I210" s="16"/>
      <c r="J210" s="16"/>
      <c r="K210" s="16"/>
      <c r="L210" s="16"/>
      <c r="M210" s="16"/>
      <c r="N210" s="16"/>
      <c r="O210" s="16"/>
      <c r="P210" s="16"/>
      <c r="Q210" s="16"/>
      <c r="R210" s="16"/>
      <c r="S210" s="16"/>
      <c r="T210" s="16"/>
      <c r="U210" s="16"/>
      <c r="V210" s="16"/>
      <c r="W210" s="15"/>
      <c r="X210" s="15"/>
      <c r="Y210" s="15"/>
      <c r="Z210" s="15"/>
    </row>
    <row r="211" customHeight="1" spans="1:26">
      <c r="A211" s="17"/>
      <c r="B211" s="15"/>
      <c r="C211" s="15"/>
      <c r="D211" s="15"/>
      <c r="E211" s="15"/>
      <c r="F211" s="15"/>
      <c r="G211" s="15"/>
      <c r="H211" s="16"/>
      <c r="I211" s="16"/>
      <c r="J211" s="16"/>
      <c r="K211" s="16"/>
      <c r="L211" s="16"/>
      <c r="M211" s="16"/>
      <c r="N211" s="16"/>
      <c r="O211" s="16"/>
      <c r="P211" s="16"/>
      <c r="Q211" s="16"/>
      <c r="R211" s="16"/>
      <c r="S211" s="16"/>
      <c r="T211" s="16"/>
      <c r="U211" s="16"/>
      <c r="V211" s="16"/>
      <c r="W211" s="15"/>
      <c r="X211" s="15"/>
      <c r="Y211" s="15"/>
      <c r="Z211" s="15"/>
    </row>
    <row r="212" customHeight="1" spans="1:26">
      <c r="A212" s="17"/>
      <c r="B212" s="15"/>
      <c r="C212" s="15"/>
      <c r="D212" s="15"/>
      <c r="E212" s="15"/>
      <c r="F212" s="15"/>
      <c r="G212" s="15"/>
      <c r="H212" s="16"/>
      <c r="I212" s="16"/>
      <c r="J212" s="16"/>
      <c r="K212" s="16"/>
      <c r="L212" s="16"/>
      <c r="M212" s="16"/>
      <c r="N212" s="16"/>
      <c r="O212" s="16"/>
      <c r="P212" s="16"/>
      <c r="Q212" s="16"/>
      <c r="R212" s="16"/>
      <c r="S212" s="16"/>
      <c r="T212" s="16"/>
      <c r="U212" s="16"/>
      <c r="V212" s="16"/>
      <c r="W212" s="15"/>
      <c r="X212" s="15"/>
      <c r="Y212" s="15"/>
      <c r="Z212" s="15"/>
    </row>
    <row r="213" customHeight="1" spans="1:26">
      <c r="A213" s="17"/>
      <c r="B213" s="15"/>
      <c r="C213" s="15"/>
      <c r="D213" s="15"/>
      <c r="E213" s="15"/>
      <c r="F213" s="15"/>
      <c r="G213" s="15"/>
      <c r="H213" s="16"/>
      <c r="I213" s="16"/>
      <c r="J213" s="16"/>
      <c r="K213" s="16"/>
      <c r="L213" s="16"/>
      <c r="M213" s="16"/>
      <c r="N213" s="16"/>
      <c r="O213" s="16"/>
      <c r="P213" s="16"/>
      <c r="Q213" s="16"/>
      <c r="R213" s="16"/>
      <c r="S213" s="16"/>
      <c r="T213" s="16"/>
      <c r="U213" s="16"/>
      <c r="V213" s="16"/>
      <c r="W213" s="15"/>
      <c r="X213" s="15"/>
      <c r="Y213" s="15"/>
      <c r="Z213" s="15"/>
    </row>
    <row r="214" customHeight="1" spans="1:26">
      <c r="A214" s="17"/>
      <c r="B214" s="15"/>
      <c r="C214" s="15"/>
      <c r="D214" s="15"/>
      <c r="E214" s="15"/>
      <c r="F214" s="15"/>
      <c r="G214" s="15"/>
      <c r="H214" s="16"/>
      <c r="I214" s="16"/>
      <c r="J214" s="16"/>
      <c r="K214" s="16"/>
      <c r="L214" s="16"/>
      <c r="M214" s="16"/>
      <c r="N214" s="16"/>
      <c r="O214" s="16"/>
      <c r="P214" s="16"/>
      <c r="Q214" s="16"/>
      <c r="R214" s="16"/>
      <c r="S214" s="16"/>
      <c r="T214" s="16"/>
      <c r="U214" s="16"/>
      <c r="V214" s="16"/>
      <c r="W214" s="15"/>
      <c r="X214" s="15"/>
      <c r="Y214" s="15"/>
      <c r="Z214" s="15"/>
    </row>
    <row r="215" customHeight="1" spans="1:26">
      <c r="A215" s="17"/>
      <c r="B215" s="15"/>
      <c r="C215" s="15"/>
      <c r="D215" s="15"/>
      <c r="E215" s="15"/>
      <c r="F215" s="15"/>
      <c r="G215" s="15"/>
      <c r="H215" s="16"/>
      <c r="I215" s="16"/>
      <c r="J215" s="16"/>
      <c r="K215" s="16"/>
      <c r="L215" s="16"/>
      <c r="M215" s="16"/>
      <c r="N215" s="16"/>
      <c r="O215" s="16"/>
      <c r="P215" s="16"/>
      <c r="Q215" s="16"/>
      <c r="R215" s="16"/>
      <c r="S215" s="16"/>
      <c r="T215" s="16"/>
      <c r="U215" s="16"/>
      <c r="V215" s="16"/>
      <c r="W215" s="15"/>
      <c r="X215" s="15"/>
      <c r="Y215" s="15"/>
      <c r="Z215" s="15"/>
    </row>
    <row r="216" customHeight="1" spans="1:26">
      <c r="A216" s="17"/>
      <c r="B216" s="15"/>
      <c r="C216" s="15"/>
      <c r="D216" s="15"/>
      <c r="E216" s="15"/>
      <c r="F216" s="15"/>
      <c r="G216" s="15"/>
      <c r="H216" s="16"/>
      <c r="I216" s="16"/>
      <c r="J216" s="16"/>
      <c r="K216" s="16"/>
      <c r="L216" s="16"/>
      <c r="M216" s="16"/>
      <c r="N216" s="16"/>
      <c r="O216" s="16"/>
      <c r="P216" s="16"/>
      <c r="Q216" s="16"/>
      <c r="R216" s="16"/>
      <c r="S216" s="16"/>
      <c r="T216" s="16"/>
      <c r="U216" s="16"/>
      <c r="V216" s="16"/>
      <c r="W216" s="15"/>
      <c r="X216" s="15"/>
      <c r="Y216" s="15"/>
      <c r="Z216" s="15"/>
    </row>
    <row r="217" customHeight="1" spans="1:26">
      <c r="A217" s="17"/>
      <c r="B217" s="15"/>
      <c r="C217" s="15"/>
      <c r="D217" s="15"/>
      <c r="E217" s="15"/>
      <c r="F217" s="15"/>
      <c r="G217" s="15"/>
      <c r="H217" s="16"/>
      <c r="I217" s="16"/>
      <c r="J217" s="16"/>
      <c r="K217" s="16"/>
      <c r="L217" s="16"/>
      <c r="M217" s="16"/>
      <c r="N217" s="16"/>
      <c r="O217" s="16"/>
      <c r="P217" s="16"/>
      <c r="Q217" s="16"/>
      <c r="R217" s="16"/>
      <c r="S217" s="16"/>
      <c r="T217" s="16"/>
      <c r="U217" s="16"/>
      <c r="V217" s="16"/>
      <c r="W217" s="15"/>
      <c r="X217" s="15"/>
      <c r="Y217" s="15"/>
      <c r="Z217" s="15"/>
    </row>
    <row r="218" customHeight="1" spans="1:26">
      <c r="A218" s="17"/>
      <c r="B218" s="15"/>
      <c r="C218" s="15"/>
      <c r="D218" s="15"/>
      <c r="E218" s="15"/>
      <c r="F218" s="15"/>
      <c r="G218" s="15"/>
      <c r="H218" s="16"/>
      <c r="I218" s="16"/>
      <c r="J218" s="16"/>
      <c r="K218" s="16"/>
      <c r="L218" s="16"/>
      <c r="M218" s="16"/>
      <c r="N218" s="16"/>
      <c r="O218" s="16"/>
      <c r="P218" s="16"/>
      <c r="Q218" s="16"/>
      <c r="R218" s="16"/>
      <c r="S218" s="16"/>
      <c r="T218" s="16"/>
      <c r="U218" s="16"/>
      <c r="V218" s="16"/>
      <c r="W218" s="15"/>
      <c r="X218" s="15"/>
      <c r="Y218" s="15"/>
      <c r="Z218" s="15"/>
    </row>
    <row r="219" customHeight="1" spans="1:26">
      <c r="A219" s="17"/>
      <c r="B219" s="15"/>
      <c r="C219" s="15"/>
      <c r="D219" s="15"/>
      <c r="E219" s="15"/>
      <c r="F219" s="15"/>
      <c r="G219" s="15"/>
      <c r="H219" s="16"/>
      <c r="I219" s="16"/>
      <c r="J219" s="16"/>
      <c r="K219" s="16"/>
      <c r="L219" s="16"/>
      <c r="M219" s="16"/>
      <c r="N219" s="16"/>
      <c r="O219" s="16"/>
      <c r="P219" s="16"/>
      <c r="Q219" s="16"/>
      <c r="R219" s="16"/>
      <c r="S219" s="16"/>
      <c r="T219" s="16"/>
      <c r="U219" s="16"/>
      <c r="V219" s="16"/>
      <c r="W219" s="15"/>
      <c r="X219" s="15"/>
      <c r="Y219" s="15"/>
      <c r="Z219" s="15"/>
    </row>
    <row r="220" customHeight="1" spans="1:26">
      <c r="A220" s="17"/>
      <c r="B220" s="15"/>
      <c r="C220" s="15"/>
      <c r="D220" s="15"/>
      <c r="E220" s="15"/>
      <c r="F220" s="15"/>
      <c r="G220" s="15"/>
      <c r="H220" s="16"/>
      <c r="I220" s="16"/>
      <c r="J220" s="16"/>
      <c r="K220" s="16"/>
      <c r="L220" s="16"/>
      <c r="M220" s="16"/>
      <c r="N220" s="16"/>
      <c r="O220" s="16"/>
      <c r="P220" s="16"/>
      <c r="Q220" s="16"/>
      <c r="R220" s="16"/>
      <c r="S220" s="16"/>
      <c r="T220" s="16"/>
      <c r="U220" s="16"/>
      <c r="V220" s="16"/>
      <c r="W220" s="15"/>
      <c r="X220" s="15"/>
      <c r="Y220" s="15"/>
      <c r="Z220" s="15"/>
    </row>
    <row r="221" customHeight="1" spans="1:26">
      <c r="A221" s="17"/>
      <c r="B221" s="15"/>
      <c r="C221" s="15"/>
      <c r="D221" s="15"/>
      <c r="E221" s="15"/>
      <c r="F221" s="15"/>
      <c r="G221" s="15"/>
      <c r="H221" s="16"/>
      <c r="I221" s="16"/>
      <c r="J221" s="16"/>
      <c r="K221" s="16"/>
      <c r="L221" s="16"/>
      <c r="M221" s="16"/>
      <c r="N221" s="16"/>
      <c r="O221" s="16"/>
      <c r="P221" s="16"/>
      <c r="Q221" s="16"/>
      <c r="R221" s="16"/>
      <c r="S221" s="16"/>
      <c r="T221" s="16"/>
      <c r="U221" s="16"/>
      <c r="V221" s="16"/>
      <c r="W221" s="15"/>
      <c r="X221" s="15"/>
      <c r="Y221" s="15"/>
      <c r="Z221" s="15"/>
    </row>
    <row r="222" customHeight="1" spans="1:26">
      <c r="A222" s="17"/>
      <c r="B222" s="15"/>
      <c r="C222" s="15"/>
      <c r="D222" s="15"/>
      <c r="E222" s="15"/>
      <c r="F222" s="15"/>
      <c r="G222" s="15"/>
      <c r="H222" s="16"/>
      <c r="I222" s="16"/>
      <c r="J222" s="16"/>
      <c r="K222" s="16"/>
      <c r="L222" s="16"/>
      <c r="M222" s="16"/>
      <c r="N222" s="16"/>
      <c r="O222" s="16"/>
      <c r="P222" s="16"/>
      <c r="Q222" s="16"/>
      <c r="R222" s="16"/>
      <c r="S222" s="16"/>
      <c r="T222" s="16"/>
      <c r="U222" s="16"/>
      <c r="V222" s="16"/>
      <c r="W222" s="15"/>
      <c r="X222" s="15"/>
      <c r="Y222" s="15"/>
      <c r="Z222" s="15"/>
    </row>
    <row r="223" customHeight="1" spans="1:26">
      <c r="A223" s="17"/>
      <c r="B223" s="15"/>
      <c r="C223" s="15"/>
      <c r="D223" s="15"/>
      <c r="E223" s="15"/>
      <c r="F223" s="15"/>
      <c r="G223" s="15"/>
      <c r="H223" s="16"/>
      <c r="I223" s="16"/>
      <c r="J223" s="16"/>
      <c r="K223" s="16"/>
      <c r="L223" s="16"/>
      <c r="M223" s="16"/>
      <c r="N223" s="16"/>
      <c r="O223" s="16"/>
      <c r="P223" s="16"/>
      <c r="Q223" s="16"/>
      <c r="R223" s="16"/>
      <c r="S223" s="16"/>
      <c r="T223" s="16"/>
      <c r="U223" s="16"/>
      <c r="V223" s="16"/>
      <c r="W223" s="15"/>
      <c r="X223" s="15"/>
      <c r="Y223" s="15"/>
      <c r="Z223" s="15"/>
    </row>
    <row r="224" customHeight="1" spans="1:26">
      <c r="A224" s="17"/>
      <c r="B224" s="15"/>
      <c r="C224" s="15"/>
      <c r="D224" s="15"/>
      <c r="E224" s="15"/>
      <c r="F224" s="15"/>
      <c r="G224" s="15"/>
      <c r="H224" s="16"/>
      <c r="I224" s="16"/>
      <c r="J224" s="16"/>
      <c r="K224" s="16"/>
      <c r="L224" s="16"/>
      <c r="M224" s="16"/>
      <c r="N224" s="16"/>
      <c r="O224" s="16"/>
      <c r="P224" s="16"/>
      <c r="Q224" s="16"/>
      <c r="R224" s="16"/>
      <c r="S224" s="16"/>
      <c r="T224" s="16"/>
      <c r="U224" s="16"/>
      <c r="V224" s="16"/>
      <c r="W224" s="15"/>
      <c r="X224" s="15"/>
      <c r="Y224" s="15"/>
      <c r="Z224" s="15"/>
    </row>
    <row r="225" customHeight="1" spans="1:26">
      <c r="A225" s="17"/>
      <c r="B225" s="15"/>
      <c r="C225" s="15"/>
      <c r="D225" s="15"/>
      <c r="E225" s="15"/>
      <c r="F225" s="15"/>
      <c r="G225" s="15"/>
      <c r="H225" s="16"/>
      <c r="I225" s="16"/>
      <c r="J225" s="16"/>
      <c r="K225" s="16"/>
      <c r="L225" s="16"/>
      <c r="M225" s="16"/>
      <c r="N225" s="16"/>
      <c r="O225" s="16"/>
      <c r="P225" s="16"/>
      <c r="Q225" s="16"/>
      <c r="R225" s="16"/>
      <c r="S225" s="16"/>
      <c r="T225" s="16"/>
      <c r="U225" s="16"/>
      <c r="V225" s="16"/>
      <c r="W225" s="15"/>
      <c r="X225" s="15"/>
      <c r="Y225" s="15"/>
      <c r="Z225" s="15"/>
    </row>
    <row r="226" customHeight="1" spans="1:26">
      <c r="A226" s="17"/>
      <c r="B226" s="15"/>
      <c r="C226" s="15"/>
      <c r="D226" s="15"/>
      <c r="E226" s="15"/>
      <c r="F226" s="15"/>
      <c r="G226" s="15"/>
      <c r="H226" s="16"/>
      <c r="I226" s="16"/>
      <c r="J226" s="16"/>
      <c r="K226" s="16"/>
      <c r="L226" s="16"/>
      <c r="M226" s="16"/>
      <c r="N226" s="16"/>
      <c r="O226" s="16"/>
      <c r="P226" s="16"/>
      <c r="Q226" s="16"/>
      <c r="R226" s="16"/>
      <c r="S226" s="16"/>
      <c r="T226" s="16"/>
      <c r="U226" s="16"/>
      <c r="V226" s="16"/>
      <c r="W226" s="15"/>
      <c r="X226" s="15"/>
      <c r="Y226" s="15"/>
      <c r="Z226" s="15"/>
    </row>
    <row r="227" customHeight="1" spans="1:26">
      <c r="A227" s="17"/>
      <c r="B227" s="15"/>
      <c r="C227" s="15"/>
      <c r="D227" s="15"/>
      <c r="E227" s="15"/>
      <c r="F227" s="15"/>
      <c r="G227" s="15"/>
      <c r="H227" s="16"/>
      <c r="I227" s="16"/>
      <c r="J227" s="16"/>
      <c r="K227" s="16"/>
      <c r="L227" s="16"/>
      <c r="M227" s="16"/>
      <c r="N227" s="16"/>
      <c r="O227" s="16"/>
      <c r="P227" s="16"/>
      <c r="Q227" s="16"/>
      <c r="R227" s="16"/>
      <c r="S227" s="16"/>
      <c r="T227" s="16"/>
      <c r="U227" s="16"/>
      <c r="V227" s="16"/>
      <c r="W227" s="15"/>
      <c r="X227" s="15"/>
      <c r="Y227" s="15"/>
      <c r="Z227" s="15"/>
    </row>
    <row r="228" customHeight="1" spans="1:26">
      <c r="A228" s="17"/>
      <c r="B228" s="15"/>
      <c r="C228" s="15"/>
      <c r="D228" s="15"/>
      <c r="E228" s="15"/>
      <c r="F228" s="15"/>
      <c r="G228" s="15"/>
      <c r="H228" s="16"/>
      <c r="I228" s="16"/>
      <c r="J228" s="16"/>
      <c r="K228" s="16"/>
      <c r="L228" s="16"/>
      <c r="M228" s="16"/>
      <c r="N228" s="16"/>
      <c r="O228" s="16"/>
      <c r="P228" s="16"/>
      <c r="Q228" s="16"/>
      <c r="R228" s="16"/>
      <c r="S228" s="16"/>
      <c r="T228" s="16"/>
      <c r="U228" s="16"/>
      <c r="V228" s="16"/>
      <c r="W228" s="15"/>
      <c r="X228" s="15"/>
      <c r="Y228" s="15"/>
      <c r="Z228" s="15"/>
    </row>
    <row r="229" customHeight="1" spans="1:26">
      <c r="A229" s="17"/>
      <c r="B229" s="15"/>
      <c r="C229" s="15"/>
      <c r="D229" s="15"/>
      <c r="E229" s="15"/>
      <c r="F229" s="15"/>
      <c r="G229" s="15"/>
      <c r="H229" s="16"/>
      <c r="I229" s="16"/>
      <c r="J229" s="16"/>
      <c r="K229" s="16"/>
      <c r="L229" s="16"/>
      <c r="M229" s="16"/>
      <c r="N229" s="16"/>
      <c r="O229" s="16"/>
      <c r="P229" s="16"/>
      <c r="Q229" s="16"/>
      <c r="R229" s="16"/>
      <c r="S229" s="16"/>
      <c r="T229" s="16"/>
      <c r="U229" s="16"/>
      <c r="V229" s="16"/>
      <c r="W229" s="15"/>
      <c r="X229" s="15"/>
      <c r="Y229" s="15"/>
      <c r="Z229" s="15"/>
    </row>
    <row r="230" customHeight="1" spans="1:26">
      <c r="A230" s="17"/>
      <c r="B230" s="15"/>
      <c r="C230" s="15"/>
      <c r="D230" s="15"/>
      <c r="E230" s="15"/>
      <c r="F230" s="15"/>
      <c r="G230" s="15"/>
      <c r="H230" s="16"/>
      <c r="I230" s="16"/>
      <c r="J230" s="16"/>
      <c r="K230" s="16"/>
      <c r="L230" s="16"/>
      <c r="M230" s="16"/>
      <c r="N230" s="16"/>
      <c r="O230" s="16"/>
      <c r="P230" s="16"/>
      <c r="Q230" s="16"/>
      <c r="R230" s="16"/>
      <c r="S230" s="16"/>
      <c r="T230" s="16"/>
      <c r="U230" s="16"/>
      <c r="V230" s="16"/>
      <c r="W230" s="15"/>
      <c r="X230" s="15"/>
      <c r="Y230" s="15"/>
      <c r="Z230" s="15"/>
    </row>
    <row r="231" customHeight="1" spans="1:26">
      <c r="A231" s="17"/>
      <c r="B231" s="15"/>
      <c r="C231" s="15"/>
      <c r="D231" s="15"/>
      <c r="E231" s="15"/>
      <c r="F231" s="15"/>
      <c r="G231" s="15"/>
      <c r="H231" s="16"/>
      <c r="I231" s="16"/>
      <c r="J231" s="16"/>
      <c r="K231" s="16"/>
      <c r="L231" s="16"/>
      <c r="M231" s="16"/>
      <c r="N231" s="16"/>
      <c r="O231" s="16"/>
      <c r="P231" s="16"/>
      <c r="Q231" s="16"/>
      <c r="R231" s="16"/>
      <c r="S231" s="16"/>
      <c r="T231" s="16"/>
      <c r="U231" s="16"/>
      <c r="V231" s="16"/>
      <c r="W231" s="15"/>
      <c r="X231" s="15"/>
      <c r="Y231" s="15"/>
      <c r="Z231" s="15"/>
    </row>
    <row r="232" customHeight="1" spans="1:26">
      <c r="A232" s="17"/>
      <c r="B232" s="15"/>
      <c r="C232" s="15"/>
      <c r="D232" s="15"/>
      <c r="E232" s="15"/>
      <c r="F232" s="15"/>
      <c r="G232" s="15"/>
      <c r="H232" s="16"/>
      <c r="I232" s="16"/>
      <c r="J232" s="16"/>
      <c r="K232" s="16"/>
      <c r="L232" s="16"/>
      <c r="M232" s="16"/>
      <c r="N232" s="16"/>
      <c r="O232" s="16"/>
      <c r="P232" s="16"/>
      <c r="Q232" s="16"/>
      <c r="R232" s="16"/>
      <c r="S232" s="16"/>
      <c r="T232" s="16"/>
      <c r="U232" s="16"/>
      <c r="V232" s="16"/>
      <c r="W232" s="15"/>
      <c r="X232" s="15"/>
      <c r="Y232" s="15"/>
      <c r="Z232" s="15"/>
    </row>
    <row r="233" customHeight="1" spans="1:26">
      <c r="A233" s="17"/>
      <c r="B233" s="15"/>
      <c r="C233" s="15"/>
      <c r="D233" s="15"/>
      <c r="E233" s="15"/>
      <c r="F233" s="15"/>
      <c r="G233" s="15"/>
      <c r="H233" s="16"/>
      <c r="I233" s="16"/>
      <c r="J233" s="16"/>
      <c r="K233" s="16"/>
      <c r="L233" s="16"/>
      <c r="M233" s="16"/>
      <c r="N233" s="16"/>
      <c r="O233" s="16"/>
      <c r="P233" s="16"/>
      <c r="Q233" s="16"/>
      <c r="R233" s="16"/>
      <c r="S233" s="16"/>
      <c r="T233" s="16"/>
      <c r="U233" s="16"/>
      <c r="V233" s="16"/>
      <c r="W233" s="15"/>
      <c r="X233" s="15"/>
      <c r="Y233" s="15"/>
      <c r="Z233" s="15"/>
    </row>
    <row r="234" customHeight="1" spans="1:26">
      <c r="A234" s="17"/>
      <c r="B234" s="15"/>
      <c r="C234" s="15"/>
      <c r="D234" s="15"/>
      <c r="E234" s="15"/>
      <c r="F234" s="15"/>
      <c r="G234" s="15"/>
      <c r="H234" s="16"/>
      <c r="I234" s="16"/>
      <c r="J234" s="16"/>
      <c r="K234" s="16"/>
      <c r="L234" s="16"/>
      <c r="M234" s="16"/>
      <c r="N234" s="16"/>
      <c r="O234" s="16"/>
      <c r="P234" s="16"/>
      <c r="Q234" s="16"/>
      <c r="R234" s="16"/>
      <c r="S234" s="16"/>
      <c r="T234" s="16"/>
      <c r="U234" s="16"/>
      <c r="V234" s="16"/>
      <c r="W234" s="15"/>
      <c r="X234" s="15"/>
      <c r="Y234" s="15"/>
      <c r="Z234" s="15"/>
    </row>
    <row r="235" customHeight="1" spans="1:26">
      <c r="A235" s="17"/>
      <c r="B235" s="15"/>
      <c r="C235" s="15"/>
      <c r="D235" s="15"/>
      <c r="E235" s="15"/>
      <c r="F235" s="15"/>
      <c r="G235" s="15"/>
      <c r="H235" s="16"/>
      <c r="I235" s="16"/>
      <c r="J235" s="16"/>
      <c r="K235" s="16"/>
      <c r="L235" s="16"/>
      <c r="M235" s="16"/>
      <c r="N235" s="16"/>
      <c r="O235" s="16"/>
      <c r="P235" s="16"/>
      <c r="Q235" s="16"/>
      <c r="R235" s="16"/>
      <c r="S235" s="16"/>
      <c r="T235" s="16"/>
      <c r="U235" s="16"/>
      <c r="V235" s="16"/>
      <c r="W235" s="15"/>
      <c r="X235" s="15"/>
      <c r="Y235" s="15"/>
      <c r="Z235" s="15"/>
    </row>
    <row r="236" customHeight="1" spans="1:26">
      <c r="A236" s="17"/>
      <c r="B236" s="15"/>
      <c r="C236" s="15"/>
      <c r="D236" s="15"/>
      <c r="E236" s="15"/>
      <c r="F236" s="15"/>
      <c r="G236" s="15"/>
      <c r="H236" s="16"/>
      <c r="I236" s="16"/>
      <c r="J236" s="16"/>
      <c r="K236" s="16"/>
      <c r="L236" s="16"/>
      <c r="M236" s="16"/>
      <c r="N236" s="16"/>
      <c r="O236" s="16"/>
      <c r="P236" s="16"/>
      <c r="Q236" s="16"/>
      <c r="R236" s="16"/>
      <c r="S236" s="16"/>
      <c r="T236" s="16"/>
      <c r="U236" s="16"/>
      <c r="V236" s="16"/>
      <c r="W236" s="15"/>
      <c r="X236" s="15"/>
      <c r="Y236" s="15"/>
      <c r="Z236" s="15"/>
    </row>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24">
    <mergeCell ref="H2:I2"/>
    <mergeCell ref="J2:K2"/>
    <mergeCell ref="L2:M2"/>
    <mergeCell ref="H10:L10"/>
    <mergeCell ref="M10:Q10"/>
    <mergeCell ref="R10:V10"/>
    <mergeCell ref="H11:J11"/>
    <mergeCell ref="M11:O11"/>
    <mergeCell ref="R11:T11"/>
    <mergeCell ref="A10:A12"/>
    <mergeCell ref="B10:B12"/>
    <mergeCell ref="C10:C12"/>
    <mergeCell ref="D10:D12"/>
    <mergeCell ref="E10:E12"/>
    <mergeCell ref="F10:F12"/>
    <mergeCell ref="G10:G12"/>
    <mergeCell ref="K11:K12"/>
    <mergeCell ref="L11:L12"/>
    <mergeCell ref="N2:N3"/>
    <mergeCell ref="P11:P12"/>
    <mergeCell ref="Q11:Q12"/>
    <mergeCell ref="U11:U12"/>
    <mergeCell ref="V11:V12"/>
    <mergeCell ref="W10:W12"/>
  </mergeCells>
  <dataValidations count="1">
    <dataValidation type="list" allowBlank="1" showErrorMessage="1" sqref="H13:I36 R13:S36 M13:N36">
      <formula1>"Passed,Failed,Blocked,Not Run"</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showGridLines="0" workbookViewId="0">
      <selection activeCell="A1" sqref="A1"/>
    </sheetView>
  </sheetViews>
  <sheetFormatPr defaultColWidth="12.6296296296296" defaultRowHeight="15.75" customHeight="1"/>
  <cols>
    <col min="1" max="1" width="12.6296296296296" customWidth="1"/>
    <col min="2" max="2" width="21.25" customWidth="1"/>
    <col min="3" max="3" width="19.75" customWidth="1"/>
    <col min="4" max="5" width="25.1296296296296" customWidth="1"/>
    <col min="6" max="7" width="37.6296296296296" customWidth="1"/>
    <col min="8" max="9" width="18.5" customWidth="1"/>
    <col min="10" max="10" width="19.5" customWidth="1"/>
    <col min="11" max="11" width="23.75" customWidth="1"/>
    <col min="12" max="12" width="14.75" customWidth="1"/>
    <col min="13" max="14" width="18.5" customWidth="1"/>
    <col min="15" max="15" width="19.5" customWidth="1"/>
    <col min="16" max="16" width="27.75" customWidth="1"/>
    <col min="17" max="17" width="15.3796296296296" customWidth="1"/>
    <col min="18" max="19" width="18.5" customWidth="1"/>
    <col min="20" max="20" width="19.5" customWidth="1"/>
    <col min="21" max="21" width="26.3796296296296" customWidth="1"/>
    <col min="22" max="22" width="15" customWidth="1"/>
    <col min="23" max="23" width="27" customWidth="1"/>
    <col min="24" max="26" width="11.8796296296296" customWidth="1"/>
  </cols>
  <sheetData>
    <row r="1" customHeight="1" spans="1:26">
      <c r="A1" s="41" t="s">
        <v>86</v>
      </c>
      <c r="B1" s="15"/>
      <c r="C1" s="15"/>
      <c r="D1" s="15"/>
      <c r="E1" s="15"/>
      <c r="F1" s="15"/>
      <c r="G1" s="15"/>
      <c r="H1" s="16"/>
      <c r="I1" s="16"/>
      <c r="J1" s="16"/>
      <c r="K1" s="16"/>
      <c r="L1" s="16"/>
      <c r="M1" s="16"/>
      <c r="N1" s="16"/>
      <c r="O1" s="16"/>
      <c r="P1" s="16"/>
      <c r="Q1" s="16"/>
      <c r="R1" s="16"/>
      <c r="S1" s="16"/>
      <c r="T1" s="16"/>
      <c r="U1" s="16"/>
      <c r="V1" s="16"/>
      <c r="W1" s="15"/>
      <c r="X1" s="15"/>
      <c r="Y1" s="15"/>
      <c r="Z1" s="15"/>
    </row>
    <row r="2" customHeight="1" spans="1:26">
      <c r="A2" s="17"/>
      <c r="B2" s="15"/>
      <c r="C2" s="15"/>
      <c r="D2" s="15"/>
      <c r="E2" s="15"/>
      <c r="F2" s="15"/>
      <c r="G2" s="15"/>
      <c r="H2" s="18" t="s">
        <v>64</v>
      </c>
      <c r="I2" s="31"/>
      <c r="J2" s="18" t="s">
        <v>65</v>
      </c>
      <c r="K2" s="31"/>
      <c r="L2" s="18" t="s">
        <v>66</v>
      </c>
      <c r="M2" s="31"/>
      <c r="N2" s="23" t="s">
        <v>87</v>
      </c>
      <c r="O2" s="16"/>
      <c r="P2" s="16"/>
      <c r="Q2" s="16"/>
      <c r="R2" s="16"/>
      <c r="S2" s="16"/>
      <c r="T2" s="16"/>
      <c r="U2" s="16"/>
      <c r="V2" s="16"/>
      <c r="W2" s="15"/>
      <c r="X2" s="15"/>
      <c r="Y2" s="15"/>
      <c r="Z2" s="15"/>
    </row>
    <row r="3" customHeight="1" spans="1:26">
      <c r="A3" s="6" t="s">
        <v>26</v>
      </c>
      <c r="B3" s="6" t="s">
        <v>88</v>
      </c>
      <c r="C3" s="15"/>
      <c r="D3" s="6" t="s">
        <v>89</v>
      </c>
      <c r="E3" s="6" t="s">
        <v>90</v>
      </c>
      <c r="F3" s="15"/>
      <c r="G3" s="19"/>
      <c r="H3" s="6" t="s">
        <v>67</v>
      </c>
      <c r="I3" s="6" t="s">
        <v>68</v>
      </c>
      <c r="J3" s="6" t="s">
        <v>67</v>
      </c>
      <c r="K3" s="6" t="s">
        <v>68</v>
      </c>
      <c r="L3" s="6" t="s">
        <v>67</v>
      </c>
      <c r="M3" s="6" t="s">
        <v>68</v>
      </c>
      <c r="N3" s="25"/>
      <c r="O3" s="16"/>
      <c r="P3" s="16"/>
      <c r="Q3" s="16"/>
      <c r="R3" s="16"/>
      <c r="S3" s="16"/>
      <c r="T3" s="16"/>
      <c r="U3" s="16"/>
      <c r="V3" s="16"/>
      <c r="W3" s="15"/>
      <c r="X3" s="15"/>
      <c r="Y3" s="15"/>
      <c r="Z3" s="15"/>
    </row>
    <row r="4" customHeight="1" spans="1:26">
      <c r="A4" s="20" t="s">
        <v>13</v>
      </c>
      <c r="B4" s="21" t="s">
        <v>420</v>
      </c>
      <c r="C4" s="15"/>
      <c r="D4" s="20" t="s">
        <v>421</v>
      </c>
      <c r="E4" s="21" t="s">
        <v>422</v>
      </c>
      <c r="F4" s="15"/>
      <c r="G4" s="6" t="s">
        <v>96</v>
      </c>
      <c r="H4" s="22">
        <f t="shared" ref="H4:I4" si="0">COUNTIF(H13:H215,"PASSED")</f>
        <v>12</v>
      </c>
      <c r="I4" s="22">
        <f t="shared" si="0"/>
        <v>14</v>
      </c>
      <c r="J4" s="22">
        <f t="shared" ref="J4:K4" si="1">COUNTIF(M13:M215,"PASSED")</f>
        <v>12</v>
      </c>
      <c r="K4" s="22">
        <f t="shared" si="1"/>
        <v>13</v>
      </c>
      <c r="L4" s="22">
        <f t="shared" ref="L4:M4" si="2">COUNTIF(R13:R215,"PASSED")</f>
        <v>14</v>
      </c>
      <c r="M4" s="22">
        <f t="shared" si="2"/>
        <v>14</v>
      </c>
      <c r="N4" s="22">
        <f t="shared" ref="N4:N8" si="3">SUM(H4:M4)</f>
        <v>79</v>
      </c>
      <c r="O4" s="16"/>
      <c r="P4" s="16"/>
      <c r="Q4" s="16"/>
      <c r="R4" s="16"/>
      <c r="S4" s="16"/>
      <c r="T4" s="16"/>
      <c r="U4" s="16"/>
      <c r="V4" s="16"/>
      <c r="W4" s="15"/>
      <c r="X4" s="15"/>
      <c r="Y4" s="15"/>
      <c r="Z4" s="15"/>
    </row>
    <row r="5" customHeight="1" spans="1:26">
      <c r="A5" s="20"/>
      <c r="B5" s="20"/>
      <c r="C5" s="15"/>
      <c r="D5" s="20" t="s">
        <v>423</v>
      </c>
      <c r="E5" s="21" t="s">
        <v>424</v>
      </c>
      <c r="F5" s="15"/>
      <c r="G5" s="6" t="s">
        <v>97</v>
      </c>
      <c r="H5" s="22">
        <f t="shared" ref="H5:I5" si="4">COUNTIF(H13:H225,"FAILED")</f>
        <v>2</v>
      </c>
      <c r="I5" s="22">
        <f t="shared" si="4"/>
        <v>0</v>
      </c>
      <c r="J5" s="22">
        <f t="shared" ref="J5:K5" si="5">COUNTIF(M14:M216,"FAILED")</f>
        <v>2</v>
      </c>
      <c r="K5" s="22">
        <f t="shared" si="5"/>
        <v>1</v>
      </c>
      <c r="L5" s="22">
        <f t="shared" ref="L5:M5" si="6">COUNTIF(R14:R216,"FAILED")</f>
        <v>0</v>
      </c>
      <c r="M5" s="22">
        <f t="shared" si="6"/>
        <v>0</v>
      </c>
      <c r="N5" s="22">
        <f t="shared" si="3"/>
        <v>5</v>
      </c>
      <c r="O5" s="16"/>
      <c r="P5" s="16"/>
      <c r="Q5" s="16"/>
      <c r="R5" s="16"/>
      <c r="S5" s="16"/>
      <c r="T5" s="16"/>
      <c r="U5" s="16"/>
      <c r="V5" s="16"/>
      <c r="W5" s="15"/>
      <c r="X5" s="15"/>
      <c r="Y5" s="15"/>
      <c r="Z5" s="15"/>
    </row>
    <row r="6" customHeight="1" spans="1:26">
      <c r="A6" s="20"/>
      <c r="B6" s="20"/>
      <c r="C6" s="15"/>
      <c r="D6" s="20" t="s">
        <v>425</v>
      </c>
      <c r="E6" s="21" t="s">
        <v>426</v>
      </c>
      <c r="F6" s="15"/>
      <c r="G6" s="6" t="s">
        <v>98</v>
      </c>
      <c r="H6" s="22">
        <f t="shared" ref="H6:I6" si="7">COUNTIF(H13:H235,"BLOCKED")</f>
        <v>0</v>
      </c>
      <c r="I6" s="22">
        <f t="shared" si="7"/>
        <v>0</v>
      </c>
      <c r="J6" s="22">
        <f t="shared" ref="J6:K6" si="8">COUNTIF(M15:M217,"BLOCKED")</f>
        <v>0</v>
      </c>
      <c r="K6" s="22">
        <f t="shared" si="8"/>
        <v>0</v>
      </c>
      <c r="L6" s="22">
        <f t="shared" ref="L6:M6" si="9">COUNTIF(R15:R217,"BLOCKED")</f>
        <v>0</v>
      </c>
      <c r="M6" s="22">
        <f t="shared" si="9"/>
        <v>0</v>
      </c>
      <c r="N6" s="22">
        <f t="shared" si="3"/>
        <v>0</v>
      </c>
      <c r="O6" s="16"/>
      <c r="P6" s="16"/>
      <c r="Q6" s="16"/>
      <c r="R6" s="16"/>
      <c r="S6" s="16"/>
      <c r="T6" s="16"/>
      <c r="U6" s="16"/>
      <c r="V6" s="16"/>
      <c r="W6" s="15"/>
      <c r="X6" s="15"/>
      <c r="Y6" s="15"/>
      <c r="Z6" s="15"/>
    </row>
    <row r="7" customHeight="1" spans="1:26">
      <c r="A7" s="20"/>
      <c r="B7" s="20"/>
      <c r="C7" s="15"/>
      <c r="D7" s="20" t="s">
        <v>427</v>
      </c>
      <c r="E7" s="21" t="s">
        <v>428</v>
      </c>
      <c r="F7" s="15"/>
      <c r="G7" s="6" t="s">
        <v>99</v>
      </c>
      <c r="H7" s="22">
        <f t="shared" ref="H7:I7" si="10">COUNTIF(H13:H245,"NOT RUN")</f>
        <v>0</v>
      </c>
      <c r="I7" s="22">
        <f t="shared" si="10"/>
        <v>0</v>
      </c>
      <c r="J7" s="22">
        <f t="shared" ref="J7:K7" si="11">COUNTIF(M16:M218,"NOT RUN")</f>
        <v>0</v>
      </c>
      <c r="K7" s="22">
        <f t="shared" si="11"/>
        <v>0</v>
      </c>
      <c r="L7" s="22">
        <f t="shared" ref="L7:M7" si="12">COUNTIF(R16:R218,"NOT RUN")</f>
        <v>0</v>
      </c>
      <c r="M7" s="22">
        <f t="shared" si="12"/>
        <v>0</v>
      </c>
      <c r="N7" s="22">
        <f t="shared" si="3"/>
        <v>0</v>
      </c>
      <c r="O7" s="16"/>
      <c r="P7" s="16"/>
      <c r="Q7" s="16"/>
      <c r="R7" s="16"/>
      <c r="S7" s="16"/>
      <c r="T7" s="16"/>
      <c r="U7" s="16"/>
      <c r="V7" s="16"/>
      <c r="W7" s="15"/>
      <c r="X7" s="15"/>
      <c r="Y7" s="15"/>
      <c r="Z7" s="15"/>
    </row>
    <row r="8" customHeight="1" spans="1:26">
      <c r="A8" s="20"/>
      <c r="B8" s="20"/>
      <c r="C8" s="15"/>
      <c r="D8" s="20"/>
      <c r="E8" s="20"/>
      <c r="F8" s="15"/>
      <c r="G8" s="6" t="s">
        <v>100</v>
      </c>
      <c r="H8" s="22">
        <f t="shared" ref="H8:M8" si="13">COUNTA($G13:$G227)</f>
        <v>14</v>
      </c>
      <c r="I8" s="22">
        <f t="shared" si="13"/>
        <v>14</v>
      </c>
      <c r="J8" s="22">
        <f t="shared" si="13"/>
        <v>14</v>
      </c>
      <c r="K8" s="22">
        <f t="shared" si="13"/>
        <v>14</v>
      </c>
      <c r="L8" s="22">
        <f t="shared" si="13"/>
        <v>14</v>
      </c>
      <c r="M8" s="22">
        <f t="shared" si="13"/>
        <v>14</v>
      </c>
      <c r="N8" s="22">
        <f t="shared" si="3"/>
        <v>84</v>
      </c>
      <c r="O8" s="16"/>
      <c r="P8" s="16"/>
      <c r="Q8" s="16"/>
      <c r="R8" s="16"/>
      <c r="S8" s="16"/>
      <c r="T8" s="16"/>
      <c r="U8" s="16"/>
      <c r="V8" s="16"/>
      <c r="W8" s="15"/>
      <c r="X8" s="15"/>
      <c r="Y8" s="15"/>
      <c r="Z8" s="15"/>
    </row>
    <row r="9" customHeight="1" spans="1:26">
      <c r="A9" s="17"/>
      <c r="B9" s="15"/>
      <c r="C9" s="15"/>
      <c r="D9" s="15"/>
      <c r="E9" s="15"/>
      <c r="F9" s="15"/>
      <c r="G9" s="15"/>
      <c r="H9" s="16"/>
      <c r="I9" s="16"/>
      <c r="J9" s="16"/>
      <c r="K9" s="16"/>
      <c r="L9" s="16"/>
      <c r="M9" s="16"/>
      <c r="N9" s="16"/>
      <c r="O9" s="16"/>
      <c r="P9" s="16"/>
      <c r="Q9" s="16"/>
      <c r="R9" s="16"/>
      <c r="S9" s="16"/>
      <c r="T9" s="16"/>
      <c r="U9" s="16"/>
      <c r="V9" s="16"/>
      <c r="W9" s="15"/>
      <c r="X9" s="15"/>
      <c r="Y9" s="15"/>
      <c r="Z9" s="15"/>
    </row>
    <row r="10" customHeight="1" spans="1:26">
      <c r="A10" s="42" t="s">
        <v>22</v>
      </c>
      <c r="B10" s="42" t="s">
        <v>101</v>
      </c>
      <c r="C10" s="42" t="s">
        <v>102</v>
      </c>
      <c r="D10" s="42" t="s">
        <v>103</v>
      </c>
      <c r="E10" s="42" t="s">
        <v>104</v>
      </c>
      <c r="F10" s="42" t="s">
        <v>105</v>
      </c>
      <c r="G10" s="42" t="s">
        <v>106</v>
      </c>
      <c r="H10" s="43" t="s">
        <v>64</v>
      </c>
      <c r="I10" s="32"/>
      <c r="J10" s="32"/>
      <c r="K10" s="32"/>
      <c r="L10" s="31"/>
      <c r="M10" s="43" t="s">
        <v>65</v>
      </c>
      <c r="N10" s="32"/>
      <c r="O10" s="32"/>
      <c r="P10" s="32"/>
      <c r="Q10" s="31"/>
      <c r="R10" s="43" t="s">
        <v>66</v>
      </c>
      <c r="S10" s="32"/>
      <c r="T10" s="32"/>
      <c r="U10" s="32"/>
      <c r="V10" s="31"/>
      <c r="W10" s="42" t="s">
        <v>29</v>
      </c>
      <c r="X10" s="13"/>
      <c r="Y10" s="13"/>
      <c r="Z10" s="13"/>
    </row>
    <row r="11" customHeight="1" spans="1:26">
      <c r="A11" s="24"/>
      <c r="B11" s="24"/>
      <c r="C11" s="24"/>
      <c r="D11" s="24"/>
      <c r="E11" s="24"/>
      <c r="F11" s="24"/>
      <c r="G11" s="24"/>
      <c r="H11" s="43" t="s">
        <v>107</v>
      </c>
      <c r="I11" s="32"/>
      <c r="J11" s="31"/>
      <c r="K11" s="42" t="s">
        <v>108</v>
      </c>
      <c r="L11" s="42" t="s">
        <v>109</v>
      </c>
      <c r="M11" s="43" t="s">
        <v>107</v>
      </c>
      <c r="N11" s="32"/>
      <c r="O11" s="31"/>
      <c r="P11" s="42" t="s">
        <v>108</v>
      </c>
      <c r="Q11" s="42" t="s">
        <v>109</v>
      </c>
      <c r="R11" s="43" t="s">
        <v>107</v>
      </c>
      <c r="S11" s="32"/>
      <c r="T11" s="31"/>
      <c r="U11" s="42" t="s">
        <v>108</v>
      </c>
      <c r="V11" s="42" t="s">
        <v>109</v>
      </c>
      <c r="W11" s="24"/>
      <c r="X11" s="15"/>
      <c r="Y11" s="15"/>
      <c r="Z11" s="15"/>
    </row>
    <row r="12" customHeight="1" spans="1:26">
      <c r="A12" s="25"/>
      <c r="B12" s="25"/>
      <c r="C12" s="25"/>
      <c r="D12" s="25"/>
      <c r="E12" s="25"/>
      <c r="F12" s="25"/>
      <c r="G12" s="25"/>
      <c r="H12" s="6" t="s">
        <v>67</v>
      </c>
      <c r="I12" s="6" t="s">
        <v>68</v>
      </c>
      <c r="J12" s="7" t="s">
        <v>110</v>
      </c>
      <c r="K12" s="25"/>
      <c r="L12" s="25"/>
      <c r="M12" s="6" t="s">
        <v>67</v>
      </c>
      <c r="N12" s="6" t="s">
        <v>68</v>
      </c>
      <c r="O12" s="7" t="s">
        <v>110</v>
      </c>
      <c r="P12" s="25"/>
      <c r="Q12" s="25"/>
      <c r="R12" s="6" t="s">
        <v>67</v>
      </c>
      <c r="S12" s="6" t="s">
        <v>68</v>
      </c>
      <c r="T12" s="7" t="s">
        <v>110</v>
      </c>
      <c r="U12" s="25"/>
      <c r="V12" s="25"/>
      <c r="W12" s="25"/>
      <c r="X12" s="15"/>
      <c r="Y12" s="15"/>
      <c r="Z12" s="15"/>
    </row>
    <row r="13" ht="92.4" spans="1:26">
      <c r="A13" s="26" t="str">
        <f t="shared" ref="A13:A36" si="14">"ID-00"&amp;(ROW()-(ROW($A$12)))</f>
        <v>ID-001</v>
      </c>
      <c r="B13" s="9" t="s">
        <v>429</v>
      </c>
      <c r="C13" s="9" t="s">
        <v>191</v>
      </c>
      <c r="D13" s="28" t="s">
        <v>430</v>
      </c>
      <c r="E13" s="28" t="s">
        <v>193</v>
      </c>
      <c r="F13" s="28" t="s">
        <v>431</v>
      </c>
      <c r="G13" s="28" t="s">
        <v>432</v>
      </c>
      <c r="H13" s="26" t="s">
        <v>69</v>
      </c>
      <c r="I13" s="26" t="s">
        <v>69</v>
      </c>
      <c r="J13" s="26"/>
      <c r="K13" s="39" t="s">
        <v>197</v>
      </c>
      <c r="L13" s="26" t="s">
        <v>117</v>
      </c>
      <c r="M13" s="26" t="s">
        <v>69</v>
      </c>
      <c r="N13" s="26" t="s">
        <v>69</v>
      </c>
      <c r="O13" s="26"/>
      <c r="P13" s="39" t="s">
        <v>72</v>
      </c>
      <c r="Q13" s="26" t="s">
        <v>117</v>
      </c>
      <c r="R13" s="26" t="s">
        <v>69</v>
      </c>
      <c r="S13" s="26" t="s">
        <v>69</v>
      </c>
      <c r="T13" s="26"/>
      <c r="U13" s="39" t="s">
        <v>80</v>
      </c>
      <c r="V13" s="26" t="s">
        <v>117</v>
      </c>
      <c r="W13" s="27"/>
      <c r="X13" s="15"/>
      <c r="Y13" s="15"/>
      <c r="Z13" s="15"/>
    </row>
    <row r="14" ht="52.8" spans="1:26">
      <c r="A14" s="26" t="str">
        <f t="shared" si="14"/>
        <v>ID-002</v>
      </c>
      <c r="B14" s="9" t="s">
        <v>429</v>
      </c>
      <c r="C14" s="9" t="s">
        <v>433</v>
      </c>
      <c r="D14" s="28" t="s">
        <v>430</v>
      </c>
      <c r="E14" s="28" t="s">
        <v>434</v>
      </c>
      <c r="F14" s="28" t="s">
        <v>435</v>
      </c>
      <c r="G14" s="28" t="s">
        <v>436</v>
      </c>
      <c r="H14" s="26" t="s">
        <v>70</v>
      </c>
      <c r="I14" s="26" t="s">
        <v>69</v>
      </c>
      <c r="J14" s="26" t="s">
        <v>437</v>
      </c>
      <c r="K14" s="39" t="s">
        <v>197</v>
      </c>
      <c r="L14" s="26" t="s">
        <v>117</v>
      </c>
      <c r="M14" s="26" t="s">
        <v>69</v>
      </c>
      <c r="N14" s="26" t="s">
        <v>69</v>
      </c>
      <c r="O14" s="26"/>
      <c r="P14" s="39" t="s">
        <v>72</v>
      </c>
      <c r="Q14" s="26" t="s">
        <v>117</v>
      </c>
      <c r="R14" s="26" t="s">
        <v>69</v>
      </c>
      <c r="S14" s="26" t="s">
        <v>69</v>
      </c>
      <c r="T14" s="26"/>
      <c r="U14" s="26" t="s">
        <v>80</v>
      </c>
      <c r="V14" s="26" t="s">
        <v>117</v>
      </c>
      <c r="W14" s="27"/>
      <c r="X14" s="15"/>
      <c r="Y14" s="15"/>
      <c r="Z14" s="15"/>
    </row>
    <row r="15" ht="66" spans="1:26">
      <c r="A15" s="26" t="str">
        <f t="shared" si="14"/>
        <v>ID-003</v>
      </c>
      <c r="B15" s="9" t="s">
        <v>429</v>
      </c>
      <c r="C15" s="9" t="s">
        <v>438</v>
      </c>
      <c r="D15" s="28" t="s">
        <v>439</v>
      </c>
      <c r="E15" s="28" t="s">
        <v>440</v>
      </c>
      <c r="F15" s="28" t="s">
        <v>441</v>
      </c>
      <c r="G15" s="28" t="s">
        <v>442</v>
      </c>
      <c r="H15" s="26" t="s">
        <v>69</v>
      </c>
      <c r="I15" s="26" t="s">
        <v>69</v>
      </c>
      <c r="J15" s="26"/>
      <c r="K15" s="39" t="s">
        <v>197</v>
      </c>
      <c r="L15" s="26" t="s">
        <v>117</v>
      </c>
      <c r="M15" s="26" t="s">
        <v>70</v>
      </c>
      <c r="N15" s="26" t="s">
        <v>69</v>
      </c>
      <c r="O15" s="26" t="s">
        <v>443</v>
      </c>
      <c r="P15" s="39" t="s">
        <v>72</v>
      </c>
      <c r="Q15" s="26" t="s">
        <v>117</v>
      </c>
      <c r="R15" s="26" t="s">
        <v>69</v>
      </c>
      <c r="S15" s="26" t="s">
        <v>69</v>
      </c>
      <c r="T15" s="26"/>
      <c r="U15" s="39" t="s">
        <v>80</v>
      </c>
      <c r="V15" s="26" t="s">
        <v>117</v>
      </c>
      <c r="W15" s="27"/>
      <c r="X15" s="15"/>
      <c r="Y15" s="15"/>
      <c r="Z15" s="15"/>
    </row>
    <row r="16" ht="39.6" spans="1:26">
      <c r="A16" s="26" t="str">
        <f t="shared" si="14"/>
        <v>ID-004</v>
      </c>
      <c r="B16" s="9" t="s">
        <v>429</v>
      </c>
      <c r="C16" s="9" t="s">
        <v>444</v>
      </c>
      <c r="D16" s="28" t="s">
        <v>445</v>
      </c>
      <c r="E16" s="28" t="s">
        <v>446</v>
      </c>
      <c r="F16" s="28" t="s">
        <v>447</v>
      </c>
      <c r="G16" s="28" t="s">
        <v>448</v>
      </c>
      <c r="H16" s="26" t="s">
        <v>69</v>
      </c>
      <c r="I16" s="26" t="s">
        <v>69</v>
      </c>
      <c r="J16" s="26"/>
      <c r="K16" s="39" t="s">
        <v>197</v>
      </c>
      <c r="L16" s="26" t="s">
        <v>117</v>
      </c>
      <c r="M16" s="26" t="s">
        <v>70</v>
      </c>
      <c r="N16" s="26" t="s">
        <v>69</v>
      </c>
      <c r="O16" s="26" t="s">
        <v>449</v>
      </c>
      <c r="P16" s="39" t="s">
        <v>72</v>
      </c>
      <c r="Q16" s="26" t="s">
        <v>117</v>
      </c>
      <c r="R16" s="26" t="s">
        <v>69</v>
      </c>
      <c r="S16" s="26" t="s">
        <v>69</v>
      </c>
      <c r="T16" s="26"/>
      <c r="U16" s="26" t="s">
        <v>80</v>
      </c>
      <c r="V16" s="26" t="s">
        <v>117</v>
      </c>
      <c r="W16" s="27"/>
      <c r="X16" s="15"/>
      <c r="Y16" s="15"/>
      <c r="Z16" s="15"/>
    </row>
    <row r="17" ht="39.6" spans="1:26">
      <c r="A17" s="26" t="str">
        <f t="shared" si="14"/>
        <v>ID-005</v>
      </c>
      <c r="B17" s="9" t="s">
        <v>429</v>
      </c>
      <c r="C17" s="9" t="s">
        <v>241</v>
      </c>
      <c r="D17" s="28" t="s">
        <v>450</v>
      </c>
      <c r="E17" s="28" t="s">
        <v>451</v>
      </c>
      <c r="F17" s="28" t="s">
        <v>452</v>
      </c>
      <c r="G17" s="28" t="s">
        <v>453</v>
      </c>
      <c r="H17" s="26" t="s">
        <v>69</v>
      </c>
      <c r="I17" s="26" t="s">
        <v>69</v>
      </c>
      <c r="J17" s="26"/>
      <c r="K17" s="39" t="s">
        <v>197</v>
      </c>
      <c r="L17" s="26" t="s">
        <v>117</v>
      </c>
      <c r="M17" s="26" t="s">
        <v>69</v>
      </c>
      <c r="N17" s="26" t="s">
        <v>70</v>
      </c>
      <c r="O17" s="26" t="s">
        <v>454</v>
      </c>
      <c r="P17" s="26" t="s">
        <v>72</v>
      </c>
      <c r="Q17" s="26" t="s">
        <v>117</v>
      </c>
      <c r="R17" s="26" t="s">
        <v>69</v>
      </c>
      <c r="S17" s="26" t="s">
        <v>69</v>
      </c>
      <c r="T17" s="26"/>
      <c r="U17" s="39" t="s">
        <v>80</v>
      </c>
      <c r="V17" s="26" t="s">
        <v>117</v>
      </c>
      <c r="W17" s="27"/>
      <c r="X17" s="15"/>
      <c r="Y17" s="15"/>
      <c r="Z17" s="15"/>
    </row>
    <row r="18" ht="78" customHeight="1" spans="1:26">
      <c r="A18" s="26" t="str">
        <f t="shared" si="14"/>
        <v>ID-006</v>
      </c>
      <c r="B18" s="9" t="s">
        <v>429</v>
      </c>
      <c r="C18" s="9" t="s">
        <v>455</v>
      </c>
      <c r="D18" s="28" t="s">
        <v>456</v>
      </c>
      <c r="E18" s="28" t="s">
        <v>457</v>
      </c>
      <c r="F18" s="28" t="s">
        <v>458</v>
      </c>
      <c r="G18" s="28" t="s">
        <v>459</v>
      </c>
      <c r="H18" s="26" t="s">
        <v>70</v>
      </c>
      <c r="I18" s="26" t="s">
        <v>69</v>
      </c>
      <c r="J18" s="26" t="s">
        <v>460</v>
      </c>
      <c r="K18" s="39" t="s">
        <v>197</v>
      </c>
      <c r="L18" s="26" t="s">
        <v>117</v>
      </c>
      <c r="M18" s="26" t="s">
        <v>69</v>
      </c>
      <c r="N18" s="26" t="s">
        <v>69</v>
      </c>
      <c r="O18" s="26"/>
      <c r="P18" s="26" t="s">
        <v>72</v>
      </c>
      <c r="Q18" s="26" t="s">
        <v>117</v>
      </c>
      <c r="R18" s="26" t="s">
        <v>69</v>
      </c>
      <c r="S18" s="26" t="s">
        <v>69</v>
      </c>
      <c r="T18" s="26"/>
      <c r="U18" s="26" t="s">
        <v>80</v>
      </c>
      <c r="V18" s="26" t="s">
        <v>117</v>
      </c>
      <c r="W18" s="27"/>
      <c r="X18" s="15"/>
      <c r="Y18" s="15"/>
      <c r="Z18" s="15"/>
    </row>
    <row r="19" ht="57" customHeight="1" spans="1:26">
      <c r="A19" s="26" t="str">
        <f t="shared" si="14"/>
        <v>ID-007</v>
      </c>
      <c r="B19" s="9" t="s">
        <v>429</v>
      </c>
      <c r="C19" s="9" t="s">
        <v>403</v>
      </c>
      <c r="D19" s="28" t="s">
        <v>404</v>
      </c>
      <c r="E19" s="28" t="s">
        <v>461</v>
      </c>
      <c r="F19" s="28" t="s">
        <v>462</v>
      </c>
      <c r="G19" s="28" t="s">
        <v>463</v>
      </c>
      <c r="H19" s="26" t="s">
        <v>69</v>
      </c>
      <c r="I19" s="26" t="s">
        <v>69</v>
      </c>
      <c r="J19" s="26"/>
      <c r="K19" s="39" t="s">
        <v>197</v>
      </c>
      <c r="L19" s="26" t="s">
        <v>117</v>
      </c>
      <c r="M19" s="26" t="s">
        <v>69</v>
      </c>
      <c r="N19" s="26" t="s">
        <v>69</v>
      </c>
      <c r="O19" s="26"/>
      <c r="P19" s="26" t="s">
        <v>72</v>
      </c>
      <c r="Q19" s="26" t="s">
        <v>117</v>
      </c>
      <c r="R19" s="26" t="s">
        <v>69</v>
      </c>
      <c r="S19" s="26" t="s">
        <v>69</v>
      </c>
      <c r="T19" s="26"/>
      <c r="U19" s="39" t="s">
        <v>80</v>
      </c>
      <c r="V19" s="26" t="s">
        <v>117</v>
      </c>
      <c r="W19" s="27"/>
      <c r="X19" s="15"/>
      <c r="Y19" s="15"/>
      <c r="Z19" s="15"/>
    </row>
    <row r="20" ht="48" customHeight="1" spans="1:26">
      <c r="A20" s="26" t="str">
        <f t="shared" si="14"/>
        <v>ID-008</v>
      </c>
      <c r="B20" s="9" t="s">
        <v>429</v>
      </c>
      <c r="C20" s="9" t="s">
        <v>464</v>
      </c>
      <c r="D20" s="28" t="s">
        <v>465</v>
      </c>
      <c r="E20" s="28" t="s">
        <v>466</v>
      </c>
      <c r="F20" s="28" t="s">
        <v>467</v>
      </c>
      <c r="G20" s="28" t="s">
        <v>468</v>
      </c>
      <c r="H20" s="26" t="s">
        <v>69</v>
      </c>
      <c r="I20" s="26" t="s">
        <v>69</v>
      </c>
      <c r="J20" s="26"/>
      <c r="K20" s="39" t="s">
        <v>197</v>
      </c>
      <c r="L20" s="26" t="s">
        <v>117</v>
      </c>
      <c r="M20" s="26" t="s">
        <v>69</v>
      </c>
      <c r="N20" s="26" t="s">
        <v>69</v>
      </c>
      <c r="O20" s="26"/>
      <c r="P20" s="26" t="s">
        <v>72</v>
      </c>
      <c r="Q20" s="26" t="s">
        <v>117</v>
      </c>
      <c r="R20" s="26" t="s">
        <v>69</v>
      </c>
      <c r="S20" s="26" t="s">
        <v>69</v>
      </c>
      <c r="T20" s="26"/>
      <c r="U20" s="26" t="s">
        <v>80</v>
      </c>
      <c r="V20" s="26" t="s">
        <v>117</v>
      </c>
      <c r="W20" s="27"/>
      <c r="X20" s="15"/>
      <c r="Y20" s="15"/>
      <c r="Z20" s="15"/>
    </row>
    <row r="21" ht="40.5" customHeight="1" spans="1:26">
      <c r="A21" s="26" t="str">
        <f t="shared" si="14"/>
        <v>ID-009</v>
      </c>
      <c r="B21" s="9" t="s">
        <v>429</v>
      </c>
      <c r="C21" s="9" t="s">
        <v>469</v>
      </c>
      <c r="D21" s="28" t="s">
        <v>450</v>
      </c>
      <c r="E21" s="28" t="s">
        <v>470</v>
      </c>
      <c r="F21" s="28" t="s">
        <v>471</v>
      </c>
      <c r="G21" s="28" t="s">
        <v>472</v>
      </c>
      <c r="H21" s="26" t="s">
        <v>69</v>
      </c>
      <c r="I21" s="26" t="s">
        <v>69</v>
      </c>
      <c r="J21" s="26"/>
      <c r="K21" s="39" t="s">
        <v>197</v>
      </c>
      <c r="L21" s="26" t="s">
        <v>117</v>
      </c>
      <c r="M21" s="26" t="s">
        <v>69</v>
      </c>
      <c r="N21" s="26" t="s">
        <v>69</v>
      </c>
      <c r="O21" s="26"/>
      <c r="P21" s="26" t="s">
        <v>72</v>
      </c>
      <c r="Q21" s="26" t="s">
        <v>117</v>
      </c>
      <c r="R21" s="26" t="s">
        <v>69</v>
      </c>
      <c r="S21" s="26" t="s">
        <v>69</v>
      </c>
      <c r="T21" s="26"/>
      <c r="U21" s="26" t="s">
        <v>80</v>
      </c>
      <c r="V21" s="26" t="s">
        <v>117</v>
      </c>
      <c r="W21" s="27"/>
      <c r="X21" s="15"/>
      <c r="Y21" s="15"/>
      <c r="Z21" s="15"/>
    </row>
    <row r="22" ht="28.5" customHeight="1" spans="1:26">
      <c r="A22" s="26" t="str">
        <f t="shared" si="14"/>
        <v>ID-0010</v>
      </c>
      <c r="B22" s="9" t="s">
        <v>429</v>
      </c>
      <c r="C22" s="9" t="s">
        <v>473</v>
      </c>
      <c r="D22" s="28" t="s">
        <v>474</v>
      </c>
      <c r="E22" s="28" t="s">
        <v>475</v>
      </c>
      <c r="F22" s="28" t="s">
        <v>476</v>
      </c>
      <c r="G22" s="28" t="s">
        <v>477</v>
      </c>
      <c r="H22" s="26" t="s">
        <v>69</v>
      </c>
      <c r="I22" s="26" t="s">
        <v>69</v>
      </c>
      <c r="J22" s="26"/>
      <c r="K22" s="39" t="s">
        <v>197</v>
      </c>
      <c r="L22" s="26" t="s">
        <v>117</v>
      </c>
      <c r="M22" s="26" t="s">
        <v>69</v>
      </c>
      <c r="N22" s="26" t="s">
        <v>69</v>
      </c>
      <c r="O22" s="26"/>
      <c r="P22" s="26" t="s">
        <v>72</v>
      </c>
      <c r="Q22" s="26" t="s">
        <v>117</v>
      </c>
      <c r="R22" s="26" t="s">
        <v>69</v>
      </c>
      <c r="S22" s="26" t="s">
        <v>69</v>
      </c>
      <c r="T22" s="26"/>
      <c r="U22" s="26" t="s">
        <v>80</v>
      </c>
      <c r="V22" s="26" t="s">
        <v>117</v>
      </c>
      <c r="W22" s="27"/>
      <c r="X22" s="15"/>
      <c r="Y22" s="15"/>
      <c r="Z22" s="15"/>
    </row>
    <row r="23" ht="39.6" spans="1:26">
      <c r="A23" s="26" t="str">
        <f t="shared" si="14"/>
        <v>ID-0011</v>
      </c>
      <c r="B23" s="9" t="s">
        <v>429</v>
      </c>
      <c r="C23" s="27" t="s">
        <v>478</v>
      </c>
      <c r="D23" s="38" t="s">
        <v>479</v>
      </c>
      <c r="E23" s="28" t="s">
        <v>480</v>
      </c>
      <c r="F23" s="28" t="s">
        <v>481</v>
      </c>
      <c r="G23" s="28" t="s">
        <v>482</v>
      </c>
      <c r="H23" s="26" t="s">
        <v>69</v>
      </c>
      <c r="I23" s="26" t="s">
        <v>69</v>
      </c>
      <c r="J23" s="26"/>
      <c r="K23" s="39" t="s">
        <v>197</v>
      </c>
      <c r="L23" s="26" t="s">
        <v>117</v>
      </c>
      <c r="M23" s="26" t="s">
        <v>69</v>
      </c>
      <c r="N23" s="26" t="s">
        <v>69</v>
      </c>
      <c r="O23" s="26"/>
      <c r="P23" s="26" t="s">
        <v>72</v>
      </c>
      <c r="Q23" s="26" t="s">
        <v>117</v>
      </c>
      <c r="R23" s="26" t="s">
        <v>69</v>
      </c>
      <c r="S23" s="26" t="s">
        <v>69</v>
      </c>
      <c r="T23" s="26"/>
      <c r="U23" s="26" t="s">
        <v>80</v>
      </c>
      <c r="V23" s="26" t="s">
        <v>117</v>
      </c>
      <c r="W23" s="27"/>
      <c r="X23" s="15"/>
      <c r="Y23" s="15"/>
      <c r="Z23" s="15"/>
    </row>
    <row r="24" ht="39.6" spans="1:26">
      <c r="A24" s="26" t="str">
        <f t="shared" si="14"/>
        <v>ID-0012</v>
      </c>
      <c r="B24" s="9" t="s">
        <v>429</v>
      </c>
      <c r="C24" s="27" t="s">
        <v>483</v>
      </c>
      <c r="D24" s="38" t="s">
        <v>484</v>
      </c>
      <c r="E24" s="28" t="s">
        <v>485</v>
      </c>
      <c r="F24" s="28" t="s">
        <v>486</v>
      </c>
      <c r="G24" s="28" t="s">
        <v>487</v>
      </c>
      <c r="H24" s="26" t="s">
        <v>69</v>
      </c>
      <c r="I24" s="26" t="s">
        <v>69</v>
      </c>
      <c r="J24" s="26"/>
      <c r="K24" s="39" t="s">
        <v>197</v>
      </c>
      <c r="L24" s="26" t="s">
        <v>117</v>
      </c>
      <c r="M24" s="26" t="s">
        <v>69</v>
      </c>
      <c r="N24" s="26" t="s">
        <v>69</v>
      </c>
      <c r="O24" s="26"/>
      <c r="P24" s="26" t="s">
        <v>72</v>
      </c>
      <c r="Q24" s="26" t="s">
        <v>117</v>
      </c>
      <c r="R24" s="26" t="s">
        <v>69</v>
      </c>
      <c r="S24" s="26" t="s">
        <v>69</v>
      </c>
      <c r="T24" s="26"/>
      <c r="U24" s="26" t="s">
        <v>80</v>
      </c>
      <c r="V24" s="26" t="s">
        <v>117</v>
      </c>
      <c r="W24" s="27"/>
      <c r="X24" s="15"/>
      <c r="Y24" s="15"/>
      <c r="Z24" s="15"/>
    </row>
    <row r="25" ht="39.6" spans="1:26">
      <c r="A25" s="26" t="str">
        <f t="shared" si="14"/>
        <v>ID-0013</v>
      </c>
      <c r="B25" s="9" t="s">
        <v>429</v>
      </c>
      <c r="C25" s="27" t="s">
        <v>488</v>
      </c>
      <c r="D25" s="38" t="s">
        <v>412</v>
      </c>
      <c r="E25" s="28" t="s">
        <v>489</v>
      </c>
      <c r="F25" s="28" t="s">
        <v>490</v>
      </c>
      <c r="G25" s="28" t="s">
        <v>491</v>
      </c>
      <c r="H25" s="26" t="s">
        <v>69</v>
      </c>
      <c r="I25" s="26" t="s">
        <v>69</v>
      </c>
      <c r="J25" s="26"/>
      <c r="K25" s="39" t="s">
        <v>197</v>
      </c>
      <c r="L25" s="26" t="s">
        <v>117</v>
      </c>
      <c r="M25" s="26" t="s">
        <v>69</v>
      </c>
      <c r="N25" s="26" t="s">
        <v>69</v>
      </c>
      <c r="O25" s="26"/>
      <c r="P25" s="26" t="s">
        <v>72</v>
      </c>
      <c r="Q25" s="26" t="s">
        <v>117</v>
      </c>
      <c r="R25" s="26" t="s">
        <v>69</v>
      </c>
      <c r="S25" s="26" t="s">
        <v>69</v>
      </c>
      <c r="T25" s="26"/>
      <c r="U25" s="26" t="s">
        <v>80</v>
      </c>
      <c r="V25" s="26" t="s">
        <v>117</v>
      </c>
      <c r="W25" s="27"/>
      <c r="X25" s="15"/>
      <c r="Y25" s="15"/>
      <c r="Z25" s="15"/>
    </row>
    <row r="26" ht="26.4" spans="1:26">
      <c r="A26" s="26" t="str">
        <f t="shared" si="14"/>
        <v>ID-0014</v>
      </c>
      <c r="B26" s="9" t="s">
        <v>429</v>
      </c>
      <c r="C26" s="27" t="s">
        <v>492</v>
      </c>
      <c r="D26" s="38" t="s">
        <v>493</v>
      </c>
      <c r="E26" s="28" t="s">
        <v>494</v>
      </c>
      <c r="F26" s="28" t="s">
        <v>495</v>
      </c>
      <c r="G26" s="28" t="s">
        <v>496</v>
      </c>
      <c r="H26" s="26" t="s">
        <v>69</v>
      </c>
      <c r="I26" s="26" t="s">
        <v>69</v>
      </c>
      <c r="J26" s="26"/>
      <c r="K26" s="39" t="s">
        <v>197</v>
      </c>
      <c r="L26" s="26" t="s">
        <v>117</v>
      </c>
      <c r="M26" s="26" t="s">
        <v>69</v>
      </c>
      <c r="N26" s="26" t="s">
        <v>69</v>
      </c>
      <c r="O26" s="26"/>
      <c r="P26" s="26" t="s">
        <v>72</v>
      </c>
      <c r="Q26" s="26" t="s">
        <v>117</v>
      </c>
      <c r="R26" s="26" t="s">
        <v>69</v>
      </c>
      <c r="S26" s="26" t="s">
        <v>69</v>
      </c>
      <c r="T26" s="26"/>
      <c r="U26" s="26" t="s">
        <v>80</v>
      </c>
      <c r="V26" s="26" t="s">
        <v>117</v>
      </c>
      <c r="W26" s="27"/>
      <c r="X26" s="15"/>
      <c r="Y26" s="15"/>
      <c r="Z26" s="15"/>
    </row>
    <row r="27" customHeight="1" spans="1:26">
      <c r="A27" s="26" t="str">
        <f t="shared" si="14"/>
        <v>ID-0015</v>
      </c>
      <c r="B27" s="27"/>
      <c r="C27" s="27"/>
      <c r="D27" s="27"/>
      <c r="E27" s="27"/>
      <c r="F27" s="27"/>
      <c r="G27" s="27"/>
      <c r="H27" s="26"/>
      <c r="I27" s="26"/>
      <c r="J27" s="26"/>
      <c r="K27" s="26"/>
      <c r="L27" s="26"/>
      <c r="M27" s="26"/>
      <c r="N27" s="26"/>
      <c r="O27" s="26"/>
      <c r="P27" s="26"/>
      <c r="Q27" s="26"/>
      <c r="R27" s="26"/>
      <c r="S27" s="26"/>
      <c r="T27" s="26"/>
      <c r="U27" s="26"/>
      <c r="V27" s="26"/>
      <c r="W27" s="27"/>
      <c r="X27" s="15"/>
      <c r="Y27" s="15"/>
      <c r="Z27" s="15"/>
    </row>
    <row r="28" customHeight="1" spans="1:26">
      <c r="A28" s="26" t="str">
        <f t="shared" si="14"/>
        <v>ID-0016</v>
      </c>
      <c r="B28" s="27"/>
      <c r="C28" s="27"/>
      <c r="D28" s="27"/>
      <c r="E28" s="27"/>
      <c r="F28" s="27"/>
      <c r="G28" s="27"/>
      <c r="H28" s="26"/>
      <c r="I28" s="26"/>
      <c r="J28" s="26"/>
      <c r="K28" s="26"/>
      <c r="L28" s="26"/>
      <c r="M28" s="26"/>
      <c r="N28" s="26"/>
      <c r="O28" s="26"/>
      <c r="P28" s="26"/>
      <c r="Q28" s="26"/>
      <c r="R28" s="26"/>
      <c r="S28" s="26"/>
      <c r="T28" s="26"/>
      <c r="U28" s="26"/>
      <c r="V28" s="26"/>
      <c r="W28" s="27"/>
      <c r="X28" s="15"/>
      <c r="Y28" s="15"/>
      <c r="Z28" s="15"/>
    </row>
    <row r="29" customHeight="1" spans="1:26">
      <c r="A29" s="26" t="str">
        <f t="shared" si="14"/>
        <v>ID-0017</v>
      </c>
      <c r="B29" s="27"/>
      <c r="C29" s="27"/>
      <c r="D29" s="27"/>
      <c r="E29" s="27"/>
      <c r="F29" s="27"/>
      <c r="G29" s="27"/>
      <c r="H29" s="26"/>
      <c r="I29" s="26"/>
      <c r="J29" s="26"/>
      <c r="K29" s="26"/>
      <c r="L29" s="26"/>
      <c r="M29" s="26"/>
      <c r="N29" s="26"/>
      <c r="O29" s="26"/>
      <c r="P29" s="26"/>
      <c r="Q29" s="26"/>
      <c r="R29" s="26"/>
      <c r="S29" s="26"/>
      <c r="T29" s="26"/>
      <c r="U29" s="26"/>
      <c r="V29" s="26"/>
      <c r="W29" s="27"/>
      <c r="X29" s="15"/>
      <c r="Y29" s="15"/>
      <c r="Z29" s="15"/>
    </row>
    <row r="30" customHeight="1" spans="1:26">
      <c r="A30" s="26" t="str">
        <f t="shared" si="14"/>
        <v>ID-0018</v>
      </c>
      <c r="B30" s="27"/>
      <c r="C30" s="27"/>
      <c r="D30" s="27"/>
      <c r="E30" s="27"/>
      <c r="F30" s="27"/>
      <c r="G30" s="27"/>
      <c r="H30" s="26"/>
      <c r="I30" s="26"/>
      <c r="J30" s="26"/>
      <c r="K30" s="26"/>
      <c r="L30" s="26"/>
      <c r="M30" s="26"/>
      <c r="N30" s="26"/>
      <c r="O30" s="26"/>
      <c r="P30" s="26"/>
      <c r="Q30" s="26"/>
      <c r="R30" s="26"/>
      <c r="S30" s="26"/>
      <c r="T30" s="26"/>
      <c r="U30" s="26"/>
      <c r="V30" s="26"/>
      <c r="W30" s="27"/>
      <c r="X30" s="15"/>
      <c r="Y30" s="15"/>
      <c r="Z30" s="15"/>
    </row>
    <row r="31" customHeight="1" spans="1:26">
      <c r="A31" s="26" t="str">
        <f t="shared" si="14"/>
        <v>ID-0019</v>
      </c>
      <c r="B31" s="27"/>
      <c r="C31" s="27"/>
      <c r="D31" s="27"/>
      <c r="E31" s="27"/>
      <c r="F31" s="27"/>
      <c r="G31" s="27"/>
      <c r="H31" s="26"/>
      <c r="I31" s="26"/>
      <c r="J31" s="26"/>
      <c r="K31" s="26"/>
      <c r="L31" s="26"/>
      <c r="M31" s="26"/>
      <c r="N31" s="26"/>
      <c r="O31" s="26"/>
      <c r="P31" s="26"/>
      <c r="Q31" s="26"/>
      <c r="R31" s="26"/>
      <c r="S31" s="26"/>
      <c r="T31" s="26"/>
      <c r="U31" s="26"/>
      <c r="V31" s="26"/>
      <c r="W31" s="27"/>
      <c r="X31" s="15"/>
      <c r="Y31" s="15"/>
      <c r="Z31" s="15"/>
    </row>
    <row r="32" customHeight="1" spans="1:26">
      <c r="A32" s="26" t="str">
        <f t="shared" si="14"/>
        <v>ID-0020</v>
      </c>
      <c r="B32" s="27"/>
      <c r="C32" s="27"/>
      <c r="D32" s="27"/>
      <c r="E32" s="27"/>
      <c r="F32" s="27"/>
      <c r="G32" s="27"/>
      <c r="H32" s="26"/>
      <c r="I32" s="26"/>
      <c r="J32" s="26"/>
      <c r="K32" s="26"/>
      <c r="L32" s="26"/>
      <c r="M32" s="26"/>
      <c r="N32" s="26"/>
      <c r="O32" s="26"/>
      <c r="P32" s="26"/>
      <c r="Q32" s="26"/>
      <c r="R32" s="26"/>
      <c r="S32" s="26"/>
      <c r="T32" s="26"/>
      <c r="U32" s="26"/>
      <c r="V32" s="26"/>
      <c r="W32" s="27"/>
      <c r="X32" s="15"/>
      <c r="Y32" s="15"/>
      <c r="Z32" s="15"/>
    </row>
    <row r="33" customHeight="1" spans="1:26">
      <c r="A33" s="26" t="str">
        <f t="shared" si="14"/>
        <v>ID-0021</v>
      </c>
      <c r="B33" s="27"/>
      <c r="C33" s="27"/>
      <c r="D33" s="27"/>
      <c r="E33" s="27"/>
      <c r="F33" s="27"/>
      <c r="G33" s="27"/>
      <c r="H33" s="26"/>
      <c r="I33" s="26"/>
      <c r="J33" s="26"/>
      <c r="K33" s="26"/>
      <c r="L33" s="26"/>
      <c r="M33" s="26"/>
      <c r="N33" s="26"/>
      <c r="O33" s="26"/>
      <c r="P33" s="26"/>
      <c r="Q33" s="26"/>
      <c r="R33" s="26"/>
      <c r="S33" s="26"/>
      <c r="T33" s="26"/>
      <c r="U33" s="26"/>
      <c r="V33" s="26"/>
      <c r="W33" s="27"/>
      <c r="X33" s="15"/>
      <c r="Y33" s="15"/>
      <c r="Z33" s="15"/>
    </row>
    <row r="34" customHeight="1" spans="1:26">
      <c r="A34" s="26" t="str">
        <f t="shared" si="14"/>
        <v>ID-0022</v>
      </c>
      <c r="B34" s="27"/>
      <c r="C34" s="27"/>
      <c r="D34" s="27"/>
      <c r="E34" s="27"/>
      <c r="F34" s="27"/>
      <c r="G34" s="27"/>
      <c r="H34" s="26"/>
      <c r="I34" s="26"/>
      <c r="J34" s="26"/>
      <c r="K34" s="26"/>
      <c r="L34" s="26"/>
      <c r="M34" s="26"/>
      <c r="N34" s="26"/>
      <c r="O34" s="26"/>
      <c r="P34" s="26"/>
      <c r="Q34" s="26"/>
      <c r="R34" s="26"/>
      <c r="S34" s="26"/>
      <c r="T34" s="26"/>
      <c r="U34" s="26"/>
      <c r="V34" s="26"/>
      <c r="W34" s="27"/>
      <c r="X34" s="15"/>
      <c r="Y34" s="15"/>
      <c r="Z34" s="15"/>
    </row>
    <row r="35" customHeight="1" spans="1:26">
      <c r="A35" s="26" t="str">
        <f t="shared" si="14"/>
        <v>ID-0023</v>
      </c>
      <c r="B35" s="27"/>
      <c r="C35" s="27"/>
      <c r="D35" s="27"/>
      <c r="E35" s="27"/>
      <c r="F35" s="27"/>
      <c r="G35" s="27"/>
      <c r="H35" s="26"/>
      <c r="I35" s="26"/>
      <c r="J35" s="26"/>
      <c r="K35" s="26"/>
      <c r="L35" s="26"/>
      <c r="M35" s="26"/>
      <c r="N35" s="26"/>
      <c r="O35" s="26"/>
      <c r="P35" s="26"/>
      <c r="Q35" s="26"/>
      <c r="R35" s="26"/>
      <c r="S35" s="26"/>
      <c r="T35" s="26"/>
      <c r="U35" s="26"/>
      <c r="V35" s="26"/>
      <c r="W35" s="27"/>
      <c r="X35" s="15"/>
      <c r="Y35" s="15"/>
      <c r="Z35" s="15"/>
    </row>
    <row r="36" customHeight="1" spans="1:26">
      <c r="A36" s="26" t="str">
        <f t="shared" si="14"/>
        <v>ID-0024</v>
      </c>
      <c r="B36" s="27"/>
      <c r="C36" s="27"/>
      <c r="D36" s="27"/>
      <c r="E36" s="27"/>
      <c r="F36" s="27"/>
      <c r="G36" s="27"/>
      <c r="H36" s="26"/>
      <c r="I36" s="26"/>
      <c r="J36" s="26"/>
      <c r="K36" s="26"/>
      <c r="L36" s="26"/>
      <c r="M36" s="26"/>
      <c r="N36" s="26"/>
      <c r="O36" s="26"/>
      <c r="P36" s="26"/>
      <c r="Q36" s="26"/>
      <c r="R36" s="26"/>
      <c r="S36" s="26"/>
      <c r="T36" s="26"/>
      <c r="U36" s="26"/>
      <c r="V36" s="26"/>
      <c r="W36" s="27"/>
      <c r="X36" s="15"/>
      <c r="Y36" s="15"/>
      <c r="Z36" s="15"/>
    </row>
    <row r="37" customHeight="1" spans="1:26">
      <c r="A37" s="17"/>
      <c r="B37" s="15"/>
      <c r="C37" s="15"/>
      <c r="D37" s="15"/>
      <c r="E37" s="15"/>
      <c r="F37" s="15"/>
      <c r="G37" s="15"/>
      <c r="H37" s="16"/>
      <c r="I37" s="16"/>
      <c r="J37" s="16"/>
      <c r="K37" s="16"/>
      <c r="L37" s="16"/>
      <c r="M37" s="16"/>
      <c r="N37" s="16"/>
      <c r="O37" s="16"/>
      <c r="P37" s="16"/>
      <c r="Q37" s="16"/>
      <c r="R37" s="16"/>
      <c r="S37" s="16"/>
      <c r="T37" s="16"/>
      <c r="U37" s="16"/>
      <c r="V37" s="16"/>
      <c r="W37" s="15"/>
      <c r="X37" s="15"/>
      <c r="Y37" s="15"/>
      <c r="Z37" s="15"/>
    </row>
    <row r="38" customHeight="1" spans="1:26">
      <c r="A38" s="17"/>
      <c r="B38" s="15"/>
      <c r="C38" s="15"/>
      <c r="D38" s="15"/>
      <c r="E38" s="15"/>
      <c r="F38" s="15"/>
      <c r="G38" s="15"/>
      <c r="H38" s="16"/>
      <c r="I38" s="16"/>
      <c r="J38" s="16"/>
      <c r="K38" s="16"/>
      <c r="L38" s="16"/>
      <c r="M38" s="16"/>
      <c r="N38" s="16"/>
      <c r="O38" s="16"/>
      <c r="P38" s="16"/>
      <c r="Q38" s="16"/>
      <c r="R38" s="16"/>
      <c r="S38" s="16"/>
      <c r="T38" s="16"/>
      <c r="U38" s="16"/>
      <c r="V38" s="16"/>
      <c r="W38" s="15"/>
      <c r="X38" s="15"/>
      <c r="Y38" s="15"/>
      <c r="Z38" s="15"/>
    </row>
    <row r="39" customHeight="1" spans="1:26">
      <c r="A39" s="17"/>
      <c r="B39" s="15"/>
      <c r="C39" s="15"/>
      <c r="D39" s="15"/>
      <c r="E39" s="15"/>
      <c r="F39" s="15"/>
      <c r="G39" s="15"/>
      <c r="H39" s="16"/>
      <c r="I39" s="16"/>
      <c r="J39" s="16"/>
      <c r="K39" s="16"/>
      <c r="L39" s="16"/>
      <c r="M39" s="16"/>
      <c r="N39" s="16"/>
      <c r="O39" s="16"/>
      <c r="P39" s="16"/>
      <c r="Q39" s="16"/>
      <c r="R39" s="16"/>
      <c r="S39" s="16"/>
      <c r="T39" s="16"/>
      <c r="U39" s="16"/>
      <c r="V39" s="16"/>
      <c r="W39" s="15"/>
      <c r="X39" s="15"/>
      <c r="Y39" s="15"/>
      <c r="Z39" s="15"/>
    </row>
    <row r="40" customHeight="1" spans="1:26">
      <c r="A40" s="17"/>
      <c r="B40" s="15"/>
      <c r="C40" s="15"/>
      <c r="D40" s="15"/>
      <c r="E40" s="15"/>
      <c r="F40" s="15"/>
      <c r="G40" s="15"/>
      <c r="H40" s="16"/>
      <c r="I40" s="16"/>
      <c r="J40" s="16"/>
      <c r="K40" s="16"/>
      <c r="L40" s="16"/>
      <c r="M40" s="16"/>
      <c r="N40" s="16"/>
      <c r="O40" s="16"/>
      <c r="P40" s="16"/>
      <c r="Q40" s="16"/>
      <c r="R40" s="16"/>
      <c r="S40" s="16"/>
      <c r="T40" s="16"/>
      <c r="U40" s="16"/>
      <c r="V40" s="16"/>
      <c r="W40" s="15"/>
      <c r="X40" s="15"/>
      <c r="Y40" s="15"/>
      <c r="Z40" s="15"/>
    </row>
    <row r="41" customHeight="1" spans="1:26">
      <c r="A41" s="17"/>
      <c r="B41" s="15"/>
      <c r="C41" s="15"/>
      <c r="D41" s="15"/>
      <c r="E41" s="15"/>
      <c r="F41" s="15"/>
      <c r="G41" s="15"/>
      <c r="H41" s="16"/>
      <c r="I41" s="16"/>
      <c r="J41" s="16"/>
      <c r="K41" s="16"/>
      <c r="L41" s="16"/>
      <c r="M41" s="16"/>
      <c r="N41" s="16"/>
      <c r="O41" s="16"/>
      <c r="P41" s="16"/>
      <c r="Q41" s="16"/>
      <c r="R41" s="16"/>
      <c r="S41" s="16"/>
      <c r="T41" s="16"/>
      <c r="U41" s="16"/>
      <c r="V41" s="16"/>
      <c r="W41" s="15"/>
      <c r="X41" s="15"/>
      <c r="Y41" s="15"/>
      <c r="Z41" s="15"/>
    </row>
    <row r="42" customHeight="1" spans="1:26">
      <c r="A42" s="17"/>
      <c r="B42" s="15"/>
      <c r="C42" s="15"/>
      <c r="D42" s="15"/>
      <c r="E42" s="15"/>
      <c r="F42" s="15"/>
      <c r="G42" s="15"/>
      <c r="H42" s="16"/>
      <c r="I42" s="16"/>
      <c r="J42" s="16"/>
      <c r="K42" s="16"/>
      <c r="L42" s="16"/>
      <c r="M42" s="16"/>
      <c r="N42" s="16"/>
      <c r="O42" s="16"/>
      <c r="P42" s="16"/>
      <c r="Q42" s="16"/>
      <c r="R42" s="16"/>
      <c r="S42" s="16"/>
      <c r="T42" s="16"/>
      <c r="U42" s="16"/>
      <c r="V42" s="16"/>
      <c r="W42" s="15"/>
      <c r="X42" s="15"/>
      <c r="Y42" s="15"/>
      <c r="Z42" s="15"/>
    </row>
    <row r="43" customHeight="1" spans="1:26">
      <c r="A43" s="17"/>
      <c r="B43" s="15"/>
      <c r="C43" s="15"/>
      <c r="D43" s="15"/>
      <c r="E43" s="15"/>
      <c r="F43" s="15"/>
      <c r="G43" s="15"/>
      <c r="H43" s="16"/>
      <c r="I43" s="16"/>
      <c r="J43" s="16"/>
      <c r="K43" s="16"/>
      <c r="L43" s="16"/>
      <c r="M43" s="16"/>
      <c r="N43" s="16"/>
      <c r="O43" s="16"/>
      <c r="P43" s="16"/>
      <c r="Q43" s="16"/>
      <c r="R43" s="16"/>
      <c r="S43" s="16"/>
      <c r="T43" s="16"/>
      <c r="U43" s="16"/>
      <c r="V43" s="16"/>
      <c r="W43" s="15"/>
      <c r="X43" s="15"/>
      <c r="Y43" s="15"/>
      <c r="Z43" s="15"/>
    </row>
    <row r="44" customHeight="1" spans="1:26">
      <c r="A44" s="17"/>
      <c r="B44" s="15"/>
      <c r="C44" s="15"/>
      <c r="D44" s="15"/>
      <c r="E44" s="15"/>
      <c r="F44" s="15"/>
      <c r="G44" s="15"/>
      <c r="H44" s="16"/>
      <c r="I44" s="16"/>
      <c r="J44" s="16"/>
      <c r="K44" s="16"/>
      <c r="L44" s="16"/>
      <c r="M44" s="16"/>
      <c r="N44" s="16"/>
      <c r="O44" s="16"/>
      <c r="P44" s="16"/>
      <c r="Q44" s="16"/>
      <c r="R44" s="16"/>
      <c r="S44" s="16"/>
      <c r="T44" s="16"/>
      <c r="U44" s="16"/>
      <c r="V44" s="16"/>
      <c r="W44" s="15"/>
      <c r="X44" s="15"/>
      <c r="Y44" s="15"/>
      <c r="Z44" s="15"/>
    </row>
    <row r="45" customHeight="1" spans="1:26">
      <c r="A45" s="17"/>
      <c r="B45" s="15"/>
      <c r="C45" s="15"/>
      <c r="D45" s="15"/>
      <c r="E45" s="15"/>
      <c r="F45" s="15"/>
      <c r="G45" s="15"/>
      <c r="H45" s="16"/>
      <c r="I45" s="16"/>
      <c r="J45" s="16"/>
      <c r="K45" s="16"/>
      <c r="L45" s="16"/>
      <c r="M45" s="16"/>
      <c r="N45" s="16"/>
      <c r="O45" s="16"/>
      <c r="P45" s="16"/>
      <c r="Q45" s="16"/>
      <c r="R45" s="16"/>
      <c r="S45" s="16"/>
      <c r="T45" s="16"/>
      <c r="U45" s="16"/>
      <c r="V45" s="16"/>
      <c r="W45" s="15"/>
      <c r="X45" s="15"/>
      <c r="Y45" s="15"/>
      <c r="Z45" s="15"/>
    </row>
    <row r="46" customHeight="1" spans="1:26">
      <c r="A46" s="17"/>
      <c r="B46" s="15"/>
      <c r="C46" s="15"/>
      <c r="D46" s="15"/>
      <c r="E46" s="15"/>
      <c r="F46" s="15"/>
      <c r="G46" s="15"/>
      <c r="H46" s="16"/>
      <c r="I46" s="16"/>
      <c r="J46" s="16"/>
      <c r="K46" s="16"/>
      <c r="L46" s="16"/>
      <c r="M46" s="16"/>
      <c r="N46" s="16"/>
      <c r="O46" s="16"/>
      <c r="P46" s="16"/>
      <c r="Q46" s="16"/>
      <c r="R46" s="16"/>
      <c r="S46" s="16"/>
      <c r="T46" s="16"/>
      <c r="U46" s="16"/>
      <c r="V46" s="16"/>
      <c r="W46" s="15"/>
      <c r="X46" s="15"/>
      <c r="Y46" s="15"/>
      <c r="Z46" s="15"/>
    </row>
    <row r="47" customHeight="1" spans="1:26">
      <c r="A47" s="17"/>
      <c r="B47" s="15"/>
      <c r="C47" s="15"/>
      <c r="D47" s="15"/>
      <c r="E47" s="15"/>
      <c r="F47" s="15"/>
      <c r="G47" s="15"/>
      <c r="H47" s="16"/>
      <c r="I47" s="16"/>
      <c r="J47" s="16"/>
      <c r="K47" s="16"/>
      <c r="L47" s="16"/>
      <c r="M47" s="16"/>
      <c r="N47" s="16"/>
      <c r="O47" s="16"/>
      <c r="P47" s="16"/>
      <c r="Q47" s="16"/>
      <c r="R47" s="16"/>
      <c r="S47" s="16"/>
      <c r="T47" s="16"/>
      <c r="U47" s="16"/>
      <c r="V47" s="16"/>
      <c r="W47" s="15"/>
      <c r="X47" s="15"/>
      <c r="Y47" s="15"/>
      <c r="Z47" s="15"/>
    </row>
    <row r="48" customHeight="1" spans="1:26">
      <c r="A48" s="17"/>
      <c r="B48" s="15"/>
      <c r="C48" s="15"/>
      <c r="D48" s="15"/>
      <c r="E48" s="15"/>
      <c r="F48" s="15"/>
      <c r="G48" s="15"/>
      <c r="H48" s="16"/>
      <c r="I48" s="16"/>
      <c r="J48" s="16"/>
      <c r="K48" s="16"/>
      <c r="L48" s="16"/>
      <c r="M48" s="16"/>
      <c r="N48" s="16"/>
      <c r="O48" s="16"/>
      <c r="P48" s="16"/>
      <c r="Q48" s="16"/>
      <c r="R48" s="16"/>
      <c r="S48" s="16"/>
      <c r="T48" s="16"/>
      <c r="U48" s="16"/>
      <c r="V48" s="16"/>
      <c r="W48" s="15"/>
      <c r="X48" s="15"/>
      <c r="Y48" s="15"/>
      <c r="Z48" s="15"/>
    </row>
    <row r="49" customHeight="1" spans="1:26">
      <c r="A49" s="17"/>
      <c r="B49" s="15"/>
      <c r="C49" s="15"/>
      <c r="D49" s="15"/>
      <c r="E49" s="15"/>
      <c r="F49" s="15"/>
      <c r="G49" s="15"/>
      <c r="H49" s="16"/>
      <c r="I49" s="16"/>
      <c r="J49" s="16"/>
      <c r="K49" s="16"/>
      <c r="L49" s="16"/>
      <c r="M49" s="16"/>
      <c r="N49" s="16"/>
      <c r="O49" s="16"/>
      <c r="P49" s="16"/>
      <c r="Q49" s="16"/>
      <c r="R49" s="16"/>
      <c r="S49" s="16"/>
      <c r="T49" s="16"/>
      <c r="U49" s="16"/>
      <c r="V49" s="16"/>
      <c r="W49" s="15"/>
      <c r="X49" s="15"/>
      <c r="Y49" s="15"/>
      <c r="Z49" s="15"/>
    </row>
    <row r="50" customHeight="1" spans="1:26">
      <c r="A50" s="17"/>
      <c r="B50" s="15"/>
      <c r="C50" s="15"/>
      <c r="D50" s="15"/>
      <c r="E50" s="15"/>
      <c r="F50" s="15"/>
      <c r="G50" s="15"/>
      <c r="H50" s="16"/>
      <c r="I50" s="16"/>
      <c r="J50" s="16"/>
      <c r="K50" s="16"/>
      <c r="L50" s="16"/>
      <c r="M50" s="16"/>
      <c r="N50" s="16"/>
      <c r="O50" s="16"/>
      <c r="P50" s="16"/>
      <c r="Q50" s="16"/>
      <c r="R50" s="16"/>
      <c r="S50" s="16"/>
      <c r="T50" s="16"/>
      <c r="U50" s="16"/>
      <c r="V50" s="16"/>
      <c r="W50" s="15"/>
      <c r="X50" s="15"/>
      <c r="Y50" s="15"/>
      <c r="Z50" s="15"/>
    </row>
    <row r="51" customHeight="1" spans="1:26">
      <c r="A51" s="17"/>
      <c r="B51" s="15"/>
      <c r="C51" s="15"/>
      <c r="D51" s="15"/>
      <c r="E51" s="15"/>
      <c r="F51" s="15"/>
      <c r="G51" s="15"/>
      <c r="H51" s="16"/>
      <c r="I51" s="16"/>
      <c r="J51" s="16"/>
      <c r="K51" s="16"/>
      <c r="L51" s="16"/>
      <c r="M51" s="16"/>
      <c r="N51" s="16"/>
      <c r="O51" s="16"/>
      <c r="P51" s="16"/>
      <c r="Q51" s="16"/>
      <c r="R51" s="16"/>
      <c r="S51" s="16"/>
      <c r="T51" s="16"/>
      <c r="U51" s="16"/>
      <c r="V51" s="16"/>
      <c r="W51" s="15"/>
      <c r="X51" s="15"/>
      <c r="Y51" s="15"/>
      <c r="Z51" s="15"/>
    </row>
    <row r="52" customHeight="1" spans="1:26">
      <c r="A52" s="17"/>
      <c r="B52" s="15"/>
      <c r="C52" s="15"/>
      <c r="D52" s="15"/>
      <c r="E52" s="15"/>
      <c r="F52" s="15"/>
      <c r="G52" s="15"/>
      <c r="H52" s="16"/>
      <c r="I52" s="16"/>
      <c r="J52" s="16"/>
      <c r="K52" s="16"/>
      <c r="L52" s="16"/>
      <c r="M52" s="16"/>
      <c r="N52" s="16"/>
      <c r="O52" s="16"/>
      <c r="P52" s="16"/>
      <c r="Q52" s="16"/>
      <c r="R52" s="16"/>
      <c r="S52" s="16"/>
      <c r="T52" s="16"/>
      <c r="U52" s="16"/>
      <c r="V52" s="16"/>
      <c r="W52" s="15"/>
      <c r="X52" s="15"/>
      <c r="Y52" s="15"/>
      <c r="Z52" s="15"/>
    </row>
    <row r="53" customHeight="1" spans="1:26">
      <c r="A53" s="17"/>
      <c r="B53" s="15"/>
      <c r="C53" s="15"/>
      <c r="D53" s="15"/>
      <c r="E53" s="15"/>
      <c r="F53" s="15"/>
      <c r="G53" s="15"/>
      <c r="H53" s="16"/>
      <c r="I53" s="16"/>
      <c r="J53" s="16"/>
      <c r="K53" s="16"/>
      <c r="L53" s="16"/>
      <c r="M53" s="16"/>
      <c r="N53" s="16"/>
      <c r="O53" s="16"/>
      <c r="P53" s="16"/>
      <c r="Q53" s="16"/>
      <c r="R53" s="16"/>
      <c r="S53" s="16"/>
      <c r="T53" s="16"/>
      <c r="U53" s="16"/>
      <c r="V53" s="16"/>
      <c r="W53" s="15"/>
      <c r="X53" s="15"/>
      <c r="Y53" s="15"/>
      <c r="Z53" s="15"/>
    </row>
    <row r="54" customHeight="1" spans="1:26">
      <c r="A54" s="17"/>
      <c r="B54" s="15"/>
      <c r="C54" s="15"/>
      <c r="D54" s="15"/>
      <c r="E54" s="15"/>
      <c r="F54" s="15"/>
      <c r="G54" s="15"/>
      <c r="H54" s="16"/>
      <c r="I54" s="16"/>
      <c r="J54" s="16"/>
      <c r="K54" s="16"/>
      <c r="L54" s="16"/>
      <c r="M54" s="16"/>
      <c r="N54" s="16"/>
      <c r="O54" s="16"/>
      <c r="P54" s="16"/>
      <c r="Q54" s="16"/>
      <c r="R54" s="16"/>
      <c r="S54" s="16"/>
      <c r="T54" s="16"/>
      <c r="U54" s="16"/>
      <c r="V54" s="16"/>
      <c r="W54" s="15"/>
      <c r="X54" s="15"/>
      <c r="Y54" s="15"/>
      <c r="Z54" s="15"/>
    </row>
    <row r="55" customHeight="1" spans="1:26">
      <c r="A55" s="17"/>
      <c r="B55" s="15"/>
      <c r="C55" s="15"/>
      <c r="D55" s="15"/>
      <c r="E55" s="15"/>
      <c r="F55" s="15"/>
      <c r="G55" s="15"/>
      <c r="H55" s="16"/>
      <c r="I55" s="16"/>
      <c r="J55" s="16"/>
      <c r="K55" s="16"/>
      <c r="L55" s="16"/>
      <c r="M55" s="16"/>
      <c r="N55" s="16"/>
      <c r="O55" s="16"/>
      <c r="P55" s="16"/>
      <c r="Q55" s="16"/>
      <c r="R55" s="16"/>
      <c r="S55" s="16"/>
      <c r="T55" s="16"/>
      <c r="U55" s="16"/>
      <c r="V55" s="16"/>
      <c r="W55" s="15"/>
      <c r="X55" s="15"/>
      <c r="Y55" s="15"/>
      <c r="Z55" s="15"/>
    </row>
    <row r="56" customHeight="1" spans="1:26">
      <c r="A56" s="17"/>
      <c r="B56" s="15"/>
      <c r="C56" s="15"/>
      <c r="D56" s="15"/>
      <c r="E56" s="15"/>
      <c r="F56" s="15"/>
      <c r="G56" s="15"/>
      <c r="H56" s="16"/>
      <c r="I56" s="16"/>
      <c r="J56" s="16"/>
      <c r="K56" s="16"/>
      <c r="L56" s="16"/>
      <c r="M56" s="16"/>
      <c r="N56" s="16"/>
      <c r="O56" s="16"/>
      <c r="P56" s="16"/>
      <c r="Q56" s="16"/>
      <c r="R56" s="16"/>
      <c r="S56" s="16"/>
      <c r="T56" s="16"/>
      <c r="U56" s="16"/>
      <c r="V56" s="16"/>
      <c r="W56" s="15"/>
      <c r="X56" s="15"/>
      <c r="Y56" s="15"/>
      <c r="Z56" s="15"/>
    </row>
    <row r="57" customHeight="1" spans="1:26">
      <c r="A57" s="17"/>
      <c r="B57" s="15"/>
      <c r="C57" s="15"/>
      <c r="D57" s="15"/>
      <c r="E57" s="15"/>
      <c r="F57" s="15"/>
      <c r="G57" s="15"/>
      <c r="H57" s="16"/>
      <c r="I57" s="16"/>
      <c r="J57" s="16"/>
      <c r="K57" s="16"/>
      <c r="L57" s="16"/>
      <c r="M57" s="16"/>
      <c r="N57" s="16"/>
      <c r="O57" s="16"/>
      <c r="P57" s="16"/>
      <c r="Q57" s="16"/>
      <c r="R57" s="16"/>
      <c r="S57" s="16"/>
      <c r="T57" s="16"/>
      <c r="U57" s="16"/>
      <c r="V57" s="16"/>
      <c r="W57" s="15"/>
      <c r="X57" s="15"/>
      <c r="Y57" s="15"/>
      <c r="Z57" s="15"/>
    </row>
    <row r="58" customHeight="1" spans="1:26">
      <c r="A58" s="17"/>
      <c r="B58" s="15"/>
      <c r="C58" s="15"/>
      <c r="D58" s="15"/>
      <c r="E58" s="15"/>
      <c r="F58" s="15"/>
      <c r="G58" s="15"/>
      <c r="H58" s="16"/>
      <c r="I58" s="16"/>
      <c r="J58" s="16"/>
      <c r="K58" s="16"/>
      <c r="L58" s="16"/>
      <c r="M58" s="16"/>
      <c r="N58" s="16"/>
      <c r="O58" s="16"/>
      <c r="P58" s="16"/>
      <c r="Q58" s="16"/>
      <c r="R58" s="16"/>
      <c r="S58" s="16"/>
      <c r="T58" s="16"/>
      <c r="U58" s="16"/>
      <c r="V58" s="16"/>
      <c r="W58" s="15"/>
      <c r="X58" s="15"/>
      <c r="Y58" s="15"/>
      <c r="Z58" s="15"/>
    </row>
    <row r="59" customHeight="1" spans="1:26">
      <c r="A59" s="17"/>
      <c r="B59" s="15"/>
      <c r="C59" s="15"/>
      <c r="D59" s="15"/>
      <c r="E59" s="15"/>
      <c r="F59" s="15"/>
      <c r="G59" s="15"/>
      <c r="H59" s="16"/>
      <c r="I59" s="16"/>
      <c r="J59" s="16"/>
      <c r="K59" s="16"/>
      <c r="L59" s="16"/>
      <c r="M59" s="16"/>
      <c r="N59" s="16"/>
      <c r="O59" s="16"/>
      <c r="P59" s="16"/>
      <c r="Q59" s="16"/>
      <c r="R59" s="16"/>
      <c r="S59" s="16"/>
      <c r="T59" s="16"/>
      <c r="U59" s="16"/>
      <c r="V59" s="16"/>
      <c r="W59" s="15"/>
      <c r="X59" s="15"/>
      <c r="Y59" s="15"/>
      <c r="Z59" s="15"/>
    </row>
    <row r="60" customHeight="1" spans="1:26">
      <c r="A60" s="17"/>
      <c r="B60" s="15"/>
      <c r="C60" s="15"/>
      <c r="D60" s="15"/>
      <c r="E60" s="15"/>
      <c r="F60" s="15"/>
      <c r="G60" s="15"/>
      <c r="H60" s="16"/>
      <c r="I60" s="16"/>
      <c r="J60" s="16"/>
      <c r="K60" s="16"/>
      <c r="L60" s="16"/>
      <c r="M60" s="16"/>
      <c r="N60" s="16"/>
      <c r="O60" s="16"/>
      <c r="P60" s="16"/>
      <c r="Q60" s="16"/>
      <c r="R60" s="16"/>
      <c r="S60" s="16"/>
      <c r="T60" s="16"/>
      <c r="U60" s="16"/>
      <c r="V60" s="16"/>
      <c r="W60" s="15"/>
      <c r="X60" s="15"/>
      <c r="Y60" s="15"/>
      <c r="Z60" s="15"/>
    </row>
    <row r="61" customHeight="1" spans="1:26">
      <c r="A61" s="17"/>
      <c r="B61" s="15"/>
      <c r="C61" s="15"/>
      <c r="D61" s="15"/>
      <c r="E61" s="15"/>
      <c r="F61" s="15"/>
      <c r="G61" s="15"/>
      <c r="H61" s="16"/>
      <c r="I61" s="16"/>
      <c r="J61" s="16"/>
      <c r="K61" s="16"/>
      <c r="L61" s="16"/>
      <c r="M61" s="16"/>
      <c r="N61" s="16"/>
      <c r="O61" s="16"/>
      <c r="P61" s="16"/>
      <c r="Q61" s="16"/>
      <c r="R61" s="16"/>
      <c r="S61" s="16"/>
      <c r="T61" s="16"/>
      <c r="U61" s="16"/>
      <c r="V61" s="16"/>
      <c r="W61" s="15"/>
      <c r="X61" s="15"/>
      <c r="Y61" s="15"/>
      <c r="Z61" s="15"/>
    </row>
    <row r="62" customHeight="1" spans="1:26">
      <c r="A62" s="17"/>
      <c r="B62" s="15"/>
      <c r="C62" s="15"/>
      <c r="D62" s="15"/>
      <c r="E62" s="15"/>
      <c r="F62" s="15"/>
      <c r="G62" s="15"/>
      <c r="H62" s="16"/>
      <c r="I62" s="16"/>
      <c r="J62" s="16"/>
      <c r="K62" s="16"/>
      <c r="L62" s="16"/>
      <c r="M62" s="16"/>
      <c r="N62" s="16"/>
      <c r="O62" s="16"/>
      <c r="P62" s="16"/>
      <c r="Q62" s="16"/>
      <c r="R62" s="16"/>
      <c r="S62" s="16"/>
      <c r="T62" s="16"/>
      <c r="U62" s="16"/>
      <c r="V62" s="16"/>
      <c r="W62" s="15"/>
      <c r="X62" s="15"/>
      <c r="Y62" s="15"/>
      <c r="Z62" s="15"/>
    </row>
    <row r="63" customHeight="1" spans="1:26">
      <c r="A63" s="17"/>
      <c r="B63" s="15"/>
      <c r="C63" s="15"/>
      <c r="D63" s="15"/>
      <c r="E63" s="15"/>
      <c r="F63" s="15"/>
      <c r="G63" s="15"/>
      <c r="H63" s="16"/>
      <c r="I63" s="16"/>
      <c r="J63" s="16"/>
      <c r="K63" s="16"/>
      <c r="L63" s="16"/>
      <c r="M63" s="16"/>
      <c r="N63" s="16"/>
      <c r="O63" s="16"/>
      <c r="P63" s="16"/>
      <c r="Q63" s="16"/>
      <c r="R63" s="16"/>
      <c r="S63" s="16"/>
      <c r="T63" s="16"/>
      <c r="U63" s="16"/>
      <c r="V63" s="16"/>
      <c r="W63" s="15"/>
      <c r="X63" s="15"/>
      <c r="Y63" s="15"/>
      <c r="Z63" s="15"/>
    </row>
    <row r="64" customHeight="1" spans="1:26">
      <c r="A64" s="17"/>
      <c r="B64" s="15"/>
      <c r="C64" s="15"/>
      <c r="D64" s="15"/>
      <c r="E64" s="15"/>
      <c r="F64" s="15"/>
      <c r="G64" s="15"/>
      <c r="H64" s="16"/>
      <c r="I64" s="16"/>
      <c r="J64" s="16"/>
      <c r="K64" s="16"/>
      <c r="L64" s="16"/>
      <c r="M64" s="16"/>
      <c r="N64" s="16"/>
      <c r="O64" s="16"/>
      <c r="P64" s="16"/>
      <c r="Q64" s="16"/>
      <c r="R64" s="16"/>
      <c r="S64" s="16"/>
      <c r="T64" s="16"/>
      <c r="U64" s="16"/>
      <c r="V64" s="16"/>
      <c r="W64" s="15"/>
      <c r="X64" s="15"/>
      <c r="Y64" s="15"/>
      <c r="Z64" s="15"/>
    </row>
    <row r="65" customHeight="1" spans="1:26">
      <c r="A65" s="17"/>
      <c r="B65" s="15"/>
      <c r="C65" s="15"/>
      <c r="D65" s="15"/>
      <c r="E65" s="15"/>
      <c r="F65" s="15"/>
      <c r="G65" s="15"/>
      <c r="H65" s="16"/>
      <c r="I65" s="16"/>
      <c r="J65" s="16"/>
      <c r="K65" s="16"/>
      <c r="L65" s="16"/>
      <c r="M65" s="16"/>
      <c r="N65" s="16"/>
      <c r="O65" s="16"/>
      <c r="P65" s="16"/>
      <c r="Q65" s="16"/>
      <c r="R65" s="16"/>
      <c r="S65" s="16"/>
      <c r="T65" s="16"/>
      <c r="U65" s="16"/>
      <c r="V65" s="16"/>
      <c r="W65" s="15"/>
      <c r="X65" s="15"/>
      <c r="Y65" s="15"/>
      <c r="Z65" s="15"/>
    </row>
    <row r="66" customHeight="1" spans="1:26">
      <c r="A66" s="17"/>
      <c r="B66" s="15"/>
      <c r="C66" s="15"/>
      <c r="D66" s="15"/>
      <c r="E66" s="15"/>
      <c r="F66" s="15"/>
      <c r="G66" s="15"/>
      <c r="H66" s="16"/>
      <c r="I66" s="16"/>
      <c r="J66" s="16"/>
      <c r="K66" s="16"/>
      <c r="L66" s="16"/>
      <c r="M66" s="16"/>
      <c r="N66" s="16"/>
      <c r="O66" s="16"/>
      <c r="P66" s="16"/>
      <c r="Q66" s="16"/>
      <c r="R66" s="16"/>
      <c r="S66" s="16"/>
      <c r="T66" s="16"/>
      <c r="U66" s="16"/>
      <c r="V66" s="16"/>
      <c r="W66" s="15"/>
      <c r="X66" s="15"/>
      <c r="Y66" s="15"/>
      <c r="Z66" s="15"/>
    </row>
    <row r="67" customHeight="1" spans="1:26">
      <c r="A67" s="17"/>
      <c r="B67" s="15"/>
      <c r="C67" s="15"/>
      <c r="D67" s="15"/>
      <c r="E67" s="15"/>
      <c r="F67" s="15"/>
      <c r="G67" s="15"/>
      <c r="H67" s="16"/>
      <c r="I67" s="16"/>
      <c r="J67" s="16"/>
      <c r="K67" s="16"/>
      <c r="L67" s="16"/>
      <c r="M67" s="16"/>
      <c r="N67" s="16"/>
      <c r="O67" s="16"/>
      <c r="P67" s="16"/>
      <c r="Q67" s="16"/>
      <c r="R67" s="16"/>
      <c r="S67" s="16"/>
      <c r="T67" s="16"/>
      <c r="U67" s="16"/>
      <c r="V67" s="16"/>
      <c r="W67" s="15"/>
      <c r="X67" s="15"/>
      <c r="Y67" s="15"/>
      <c r="Z67" s="15"/>
    </row>
    <row r="68" customHeight="1" spans="1:26">
      <c r="A68" s="17"/>
      <c r="B68" s="15"/>
      <c r="C68" s="15"/>
      <c r="D68" s="15"/>
      <c r="E68" s="15"/>
      <c r="F68" s="15"/>
      <c r="G68" s="15"/>
      <c r="H68" s="16"/>
      <c r="I68" s="16"/>
      <c r="J68" s="16"/>
      <c r="K68" s="16"/>
      <c r="L68" s="16"/>
      <c r="M68" s="16"/>
      <c r="N68" s="16"/>
      <c r="O68" s="16"/>
      <c r="P68" s="16"/>
      <c r="Q68" s="16"/>
      <c r="R68" s="16"/>
      <c r="S68" s="16"/>
      <c r="T68" s="16"/>
      <c r="U68" s="16"/>
      <c r="V68" s="16"/>
      <c r="W68" s="15"/>
      <c r="X68" s="15"/>
      <c r="Y68" s="15"/>
      <c r="Z68" s="15"/>
    </row>
    <row r="69" customHeight="1" spans="1:26">
      <c r="A69" s="17"/>
      <c r="B69" s="15"/>
      <c r="C69" s="15"/>
      <c r="D69" s="15"/>
      <c r="E69" s="15"/>
      <c r="F69" s="15"/>
      <c r="G69" s="15"/>
      <c r="H69" s="16"/>
      <c r="I69" s="16"/>
      <c r="J69" s="16"/>
      <c r="K69" s="16"/>
      <c r="L69" s="16"/>
      <c r="M69" s="16"/>
      <c r="N69" s="16"/>
      <c r="O69" s="16"/>
      <c r="P69" s="16"/>
      <c r="Q69" s="16"/>
      <c r="R69" s="16"/>
      <c r="S69" s="16"/>
      <c r="T69" s="16"/>
      <c r="U69" s="16"/>
      <c r="V69" s="16"/>
      <c r="W69" s="15"/>
      <c r="X69" s="15"/>
      <c r="Y69" s="15"/>
      <c r="Z69" s="15"/>
    </row>
    <row r="70" customHeight="1" spans="1:26">
      <c r="A70" s="17"/>
      <c r="B70" s="15"/>
      <c r="C70" s="15"/>
      <c r="D70" s="15"/>
      <c r="E70" s="15"/>
      <c r="F70" s="15"/>
      <c r="G70" s="15"/>
      <c r="H70" s="16"/>
      <c r="I70" s="16"/>
      <c r="J70" s="16"/>
      <c r="K70" s="16"/>
      <c r="L70" s="16"/>
      <c r="M70" s="16"/>
      <c r="N70" s="16"/>
      <c r="O70" s="16"/>
      <c r="P70" s="16"/>
      <c r="Q70" s="16"/>
      <c r="R70" s="16"/>
      <c r="S70" s="16"/>
      <c r="T70" s="16"/>
      <c r="U70" s="16"/>
      <c r="V70" s="16"/>
      <c r="W70" s="15"/>
      <c r="X70" s="15"/>
      <c r="Y70" s="15"/>
      <c r="Z70" s="15"/>
    </row>
    <row r="71" customHeight="1" spans="1:26">
      <c r="A71" s="17"/>
      <c r="B71" s="15"/>
      <c r="C71" s="15"/>
      <c r="D71" s="15"/>
      <c r="E71" s="15"/>
      <c r="F71" s="15"/>
      <c r="G71" s="15"/>
      <c r="H71" s="16"/>
      <c r="I71" s="16"/>
      <c r="J71" s="16"/>
      <c r="K71" s="16"/>
      <c r="L71" s="16"/>
      <c r="M71" s="16"/>
      <c r="N71" s="16"/>
      <c r="O71" s="16"/>
      <c r="P71" s="16"/>
      <c r="Q71" s="16"/>
      <c r="R71" s="16"/>
      <c r="S71" s="16"/>
      <c r="T71" s="16"/>
      <c r="U71" s="16"/>
      <c r="V71" s="16"/>
      <c r="W71" s="15"/>
      <c r="X71" s="15"/>
      <c r="Y71" s="15"/>
      <c r="Z71" s="15"/>
    </row>
    <row r="72" customHeight="1" spans="1:26">
      <c r="A72" s="17"/>
      <c r="B72" s="15"/>
      <c r="C72" s="15"/>
      <c r="D72" s="15"/>
      <c r="E72" s="15"/>
      <c r="F72" s="15"/>
      <c r="G72" s="15"/>
      <c r="H72" s="16"/>
      <c r="I72" s="16"/>
      <c r="J72" s="16"/>
      <c r="K72" s="16"/>
      <c r="L72" s="16"/>
      <c r="M72" s="16"/>
      <c r="N72" s="16"/>
      <c r="O72" s="16"/>
      <c r="P72" s="16"/>
      <c r="Q72" s="16"/>
      <c r="R72" s="16"/>
      <c r="S72" s="16"/>
      <c r="T72" s="16"/>
      <c r="U72" s="16"/>
      <c r="V72" s="16"/>
      <c r="W72" s="15"/>
      <c r="X72" s="15"/>
      <c r="Y72" s="15"/>
      <c r="Z72" s="15"/>
    </row>
    <row r="73" customHeight="1" spans="1:26">
      <c r="A73" s="17"/>
      <c r="B73" s="15"/>
      <c r="C73" s="15"/>
      <c r="D73" s="15"/>
      <c r="E73" s="15"/>
      <c r="F73" s="15"/>
      <c r="G73" s="15"/>
      <c r="H73" s="16"/>
      <c r="I73" s="16"/>
      <c r="J73" s="16"/>
      <c r="K73" s="16"/>
      <c r="L73" s="16"/>
      <c r="M73" s="16"/>
      <c r="N73" s="16"/>
      <c r="O73" s="16"/>
      <c r="P73" s="16"/>
      <c r="Q73" s="16"/>
      <c r="R73" s="16"/>
      <c r="S73" s="16"/>
      <c r="T73" s="16"/>
      <c r="U73" s="16"/>
      <c r="V73" s="16"/>
      <c r="W73" s="15"/>
      <c r="X73" s="15"/>
      <c r="Y73" s="15"/>
      <c r="Z73" s="15"/>
    </row>
    <row r="74" customHeight="1" spans="1:26">
      <c r="A74" s="17"/>
      <c r="B74" s="15"/>
      <c r="C74" s="15"/>
      <c r="D74" s="15"/>
      <c r="E74" s="15"/>
      <c r="F74" s="15"/>
      <c r="G74" s="15"/>
      <c r="H74" s="16"/>
      <c r="I74" s="16"/>
      <c r="J74" s="16"/>
      <c r="K74" s="16"/>
      <c r="L74" s="16"/>
      <c r="M74" s="16"/>
      <c r="N74" s="16"/>
      <c r="O74" s="16"/>
      <c r="P74" s="16"/>
      <c r="Q74" s="16"/>
      <c r="R74" s="16"/>
      <c r="S74" s="16"/>
      <c r="T74" s="16"/>
      <c r="U74" s="16"/>
      <c r="V74" s="16"/>
      <c r="W74" s="15"/>
      <c r="X74" s="15"/>
      <c r="Y74" s="15"/>
      <c r="Z74" s="15"/>
    </row>
    <row r="75" customHeight="1" spans="1:26">
      <c r="A75" s="17"/>
      <c r="B75" s="15"/>
      <c r="C75" s="15"/>
      <c r="D75" s="15"/>
      <c r="E75" s="15"/>
      <c r="F75" s="15"/>
      <c r="G75" s="15"/>
      <c r="H75" s="16"/>
      <c r="I75" s="16"/>
      <c r="J75" s="16"/>
      <c r="K75" s="16"/>
      <c r="L75" s="16"/>
      <c r="M75" s="16"/>
      <c r="N75" s="16"/>
      <c r="O75" s="16"/>
      <c r="P75" s="16"/>
      <c r="Q75" s="16"/>
      <c r="R75" s="16"/>
      <c r="S75" s="16"/>
      <c r="T75" s="16"/>
      <c r="U75" s="16"/>
      <c r="V75" s="16"/>
      <c r="W75" s="15"/>
      <c r="X75" s="15"/>
      <c r="Y75" s="15"/>
      <c r="Z75" s="15"/>
    </row>
    <row r="76" customHeight="1" spans="1:26">
      <c r="A76" s="17"/>
      <c r="B76" s="15"/>
      <c r="C76" s="15"/>
      <c r="D76" s="15"/>
      <c r="E76" s="15"/>
      <c r="F76" s="15"/>
      <c r="G76" s="15"/>
      <c r="H76" s="16"/>
      <c r="I76" s="16"/>
      <c r="J76" s="16"/>
      <c r="K76" s="16"/>
      <c r="L76" s="16"/>
      <c r="M76" s="16"/>
      <c r="N76" s="16"/>
      <c r="O76" s="16"/>
      <c r="P76" s="16"/>
      <c r="Q76" s="16"/>
      <c r="R76" s="16"/>
      <c r="S76" s="16"/>
      <c r="T76" s="16"/>
      <c r="U76" s="16"/>
      <c r="V76" s="16"/>
      <c r="W76" s="15"/>
      <c r="X76" s="15"/>
      <c r="Y76" s="15"/>
      <c r="Z76" s="15"/>
    </row>
    <row r="77" customHeight="1" spans="1:26">
      <c r="A77" s="17"/>
      <c r="B77" s="15"/>
      <c r="C77" s="15"/>
      <c r="D77" s="15"/>
      <c r="E77" s="15"/>
      <c r="F77" s="15"/>
      <c r="G77" s="15"/>
      <c r="H77" s="16"/>
      <c r="I77" s="16"/>
      <c r="J77" s="16"/>
      <c r="K77" s="16"/>
      <c r="L77" s="16"/>
      <c r="M77" s="16"/>
      <c r="N77" s="16"/>
      <c r="O77" s="16"/>
      <c r="P77" s="16"/>
      <c r="Q77" s="16"/>
      <c r="R77" s="16"/>
      <c r="S77" s="16"/>
      <c r="T77" s="16"/>
      <c r="U77" s="16"/>
      <c r="V77" s="16"/>
      <c r="W77" s="15"/>
      <c r="X77" s="15"/>
      <c r="Y77" s="15"/>
      <c r="Z77" s="15"/>
    </row>
    <row r="78" customHeight="1" spans="1:26">
      <c r="A78" s="17"/>
      <c r="B78" s="15"/>
      <c r="C78" s="15"/>
      <c r="D78" s="15"/>
      <c r="E78" s="15"/>
      <c r="F78" s="15"/>
      <c r="G78" s="15"/>
      <c r="H78" s="16"/>
      <c r="I78" s="16"/>
      <c r="J78" s="16"/>
      <c r="K78" s="16"/>
      <c r="L78" s="16"/>
      <c r="M78" s="16"/>
      <c r="N78" s="16"/>
      <c r="O78" s="16"/>
      <c r="P78" s="16"/>
      <c r="Q78" s="16"/>
      <c r="R78" s="16"/>
      <c r="S78" s="16"/>
      <c r="T78" s="16"/>
      <c r="U78" s="16"/>
      <c r="V78" s="16"/>
      <c r="W78" s="15"/>
      <c r="X78" s="15"/>
      <c r="Y78" s="15"/>
      <c r="Z78" s="15"/>
    </row>
    <row r="79" customHeight="1" spans="1:26">
      <c r="A79" s="17"/>
      <c r="B79" s="15"/>
      <c r="C79" s="15"/>
      <c r="D79" s="15"/>
      <c r="E79" s="15"/>
      <c r="F79" s="15"/>
      <c r="G79" s="15"/>
      <c r="H79" s="16"/>
      <c r="I79" s="16"/>
      <c r="J79" s="16"/>
      <c r="K79" s="16"/>
      <c r="L79" s="16"/>
      <c r="M79" s="16"/>
      <c r="N79" s="16"/>
      <c r="O79" s="16"/>
      <c r="P79" s="16"/>
      <c r="Q79" s="16"/>
      <c r="R79" s="16"/>
      <c r="S79" s="16"/>
      <c r="T79" s="16"/>
      <c r="U79" s="16"/>
      <c r="V79" s="16"/>
      <c r="W79" s="15"/>
      <c r="X79" s="15"/>
      <c r="Y79" s="15"/>
      <c r="Z79" s="15"/>
    </row>
    <row r="80" customHeight="1" spans="1:26">
      <c r="A80" s="17"/>
      <c r="B80" s="15"/>
      <c r="C80" s="15"/>
      <c r="D80" s="15"/>
      <c r="E80" s="15"/>
      <c r="F80" s="15"/>
      <c r="G80" s="15"/>
      <c r="H80" s="16"/>
      <c r="I80" s="16"/>
      <c r="J80" s="16"/>
      <c r="K80" s="16"/>
      <c r="L80" s="16"/>
      <c r="M80" s="16"/>
      <c r="N80" s="16"/>
      <c r="O80" s="16"/>
      <c r="P80" s="16"/>
      <c r="Q80" s="16"/>
      <c r="R80" s="16"/>
      <c r="S80" s="16"/>
      <c r="T80" s="16"/>
      <c r="U80" s="16"/>
      <c r="V80" s="16"/>
      <c r="W80" s="15"/>
      <c r="X80" s="15"/>
      <c r="Y80" s="15"/>
      <c r="Z80" s="15"/>
    </row>
    <row r="81" customHeight="1" spans="1:26">
      <c r="A81" s="17"/>
      <c r="B81" s="15"/>
      <c r="C81" s="15"/>
      <c r="D81" s="15"/>
      <c r="E81" s="15"/>
      <c r="F81" s="15"/>
      <c r="G81" s="15"/>
      <c r="H81" s="16"/>
      <c r="I81" s="16"/>
      <c r="J81" s="16"/>
      <c r="K81" s="16"/>
      <c r="L81" s="16"/>
      <c r="M81" s="16"/>
      <c r="N81" s="16"/>
      <c r="O81" s="16"/>
      <c r="P81" s="16"/>
      <c r="Q81" s="16"/>
      <c r="R81" s="16"/>
      <c r="S81" s="16"/>
      <c r="T81" s="16"/>
      <c r="U81" s="16"/>
      <c r="V81" s="16"/>
      <c r="W81" s="15"/>
      <c r="X81" s="15"/>
      <c r="Y81" s="15"/>
      <c r="Z81" s="15"/>
    </row>
    <row r="82" customHeight="1" spans="1:26">
      <c r="A82" s="17"/>
      <c r="B82" s="15"/>
      <c r="C82" s="15"/>
      <c r="D82" s="15"/>
      <c r="E82" s="15"/>
      <c r="F82" s="15"/>
      <c r="G82" s="15"/>
      <c r="H82" s="16"/>
      <c r="I82" s="16"/>
      <c r="J82" s="16"/>
      <c r="K82" s="16"/>
      <c r="L82" s="16"/>
      <c r="M82" s="16"/>
      <c r="N82" s="16"/>
      <c r="O82" s="16"/>
      <c r="P82" s="16"/>
      <c r="Q82" s="16"/>
      <c r="R82" s="16"/>
      <c r="S82" s="16"/>
      <c r="T82" s="16"/>
      <c r="U82" s="16"/>
      <c r="V82" s="16"/>
      <c r="W82" s="15"/>
      <c r="X82" s="15"/>
      <c r="Y82" s="15"/>
      <c r="Z82" s="15"/>
    </row>
    <row r="83" customHeight="1" spans="1:26">
      <c r="A83" s="17"/>
      <c r="B83" s="15"/>
      <c r="C83" s="15"/>
      <c r="D83" s="15"/>
      <c r="E83" s="15"/>
      <c r="F83" s="15"/>
      <c r="G83" s="15"/>
      <c r="H83" s="16"/>
      <c r="I83" s="16"/>
      <c r="J83" s="16"/>
      <c r="K83" s="16"/>
      <c r="L83" s="16"/>
      <c r="M83" s="16"/>
      <c r="N83" s="16"/>
      <c r="O83" s="16"/>
      <c r="P83" s="16"/>
      <c r="Q83" s="16"/>
      <c r="R83" s="16"/>
      <c r="S83" s="16"/>
      <c r="T83" s="16"/>
      <c r="U83" s="16"/>
      <c r="V83" s="16"/>
      <c r="W83" s="15"/>
      <c r="X83" s="15"/>
      <c r="Y83" s="15"/>
      <c r="Z83" s="15"/>
    </row>
    <row r="84" customHeight="1" spans="1:26">
      <c r="A84" s="17"/>
      <c r="B84" s="15"/>
      <c r="C84" s="15"/>
      <c r="D84" s="15"/>
      <c r="E84" s="15"/>
      <c r="F84" s="15"/>
      <c r="G84" s="15"/>
      <c r="H84" s="16"/>
      <c r="I84" s="16"/>
      <c r="J84" s="16"/>
      <c r="K84" s="16"/>
      <c r="L84" s="16"/>
      <c r="M84" s="16"/>
      <c r="N84" s="16"/>
      <c r="O84" s="16"/>
      <c r="P84" s="16"/>
      <c r="Q84" s="16"/>
      <c r="R84" s="16"/>
      <c r="S84" s="16"/>
      <c r="T84" s="16"/>
      <c r="U84" s="16"/>
      <c r="V84" s="16"/>
      <c r="W84" s="15"/>
      <c r="X84" s="15"/>
      <c r="Y84" s="15"/>
      <c r="Z84" s="15"/>
    </row>
    <row r="85" customHeight="1" spans="1:26">
      <c r="A85" s="17"/>
      <c r="B85" s="15"/>
      <c r="C85" s="15"/>
      <c r="D85" s="15"/>
      <c r="E85" s="15"/>
      <c r="F85" s="15"/>
      <c r="G85" s="15"/>
      <c r="H85" s="16"/>
      <c r="I85" s="16"/>
      <c r="J85" s="16"/>
      <c r="K85" s="16"/>
      <c r="L85" s="16"/>
      <c r="M85" s="16"/>
      <c r="N85" s="16"/>
      <c r="O85" s="16"/>
      <c r="P85" s="16"/>
      <c r="Q85" s="16"/>
      <c r="R85" s="16"/>
      <c r="S85" s="16"/>
      <c r="T85" s="16"/>
      <c r="U85" s="16"/>
      <c r="V85" s="16"/>
      <c r="W85" s="15"/>
      <c r="X85" s="15"/>
      <c r="Y85" s="15"/>
      <c r="Z85" s="15"/>
    </row>
    <row r="86" customHeight="1" spans="1:26">
      <c r="A86" s="17"/>
      <c r="B86" s="15"/>
      <c r="C86" s="15"/>
      <c r="D86" s="15"/>
      <c r="E86" s="15"/>
      <c r="F86" s="15"/>
      <c r="G86" s="15"/>
      <c r="H86" s="16"/>
      <c r="I86" s="16"/>
      <c r="J86" s="16"/>
      <c r="K86" s="16"/>
      <c r="L86" s="16"/>
      <c r="M86" s="16"/>
      <c r="N86" s="16"/>
      <c r="O86" s="16"/>
      <c r="P86" s="16"/>
      <c r="Q86" s="16"/>
      <c r="R86" s="16"/>
      <c r="S86" s="16"/>
      <c r="T86" s="16"/>
      <c r="U86" s="16"/>
      <c r="V86" s="16"/>
      <c r="W86" s="15"/>
      <c r="X86" s="15"/>
      <c r="Y86" s="15"/>
      <c r="Z86" s="15"/>
    </row>
    <row r="87" customHeight="1" spans="1:26">
      <c r="A87" s="17"/>
      <c r="B87" s="15"/>
      <c r="C87" s="15"/>
      <c r="D87" s="15"/>
      <c r="E87" s="15"/>
      <c r="F87" s="15"/>
      <c r="G87" s="15"/>
      <c r="H87" s="16"/>
      <c r="I87" s="16"/>
      <c r="J87" s="16"/>
      <c r="K87" s="16"/>
      <c r="L87" s="16"/>
      <c r="M87" s="16"/>
      <c r="N87" s="16"/>
      <c r="O87" s="16"/>
      <c r="P87" s="16"/>
      <c r="Q87" s="16"/>
      <c r="R87" s="16"/>
      <c r="S87" s="16"/>
      <c r="T87" s="16"/>
      <c r="U87" s="16"/>
      <c r="V87" s="16"/>
      <c r="W87" s="15"/>
      <c r="X87" s="15"/>
      <c r="Y87" s="15"/>
      <c r="Z87" s="15"/>
    </row>
    <row r="88" customHeight="1" spans="1:26">
      <c r="A88" s="17"/>
      <c r="B88" s="15"/>
      <c r="C88" s="15"/>
      <c r="D88" s="15"/>
      <c r="E88" s="15"/>
      <c r="F88" s="15"/>
      <c r="G88" s="15"/>
      <c r="H88" s="16"/>
      <c r="I88" s="16"/>
      <c r="J88" s="16"/>
      <c r="K88" s="16"/>
      <c r="L88" s="16"/>
      <c r="M88" s="16"/>
      <c r="N88" s="16"/>
      <c r="O88" s="16"/>
      <c r="P88" s="16"/>
      <c r="Q88" s="16"/>
      <c r="R88" s="16"/>
      <c r="S88" s="16"/>
      <c r="T88" s="16"/>
      <c r="U88" s="16"/>
      <c r="V88" s="16"/>
      <c r="W88" s="15"/>
      <c r="X88" s="15"/>
      <c r="Y88" s="15"/>
      <c r="Z88" s="15"/>
    </row>
    <row r="89" customHeight="1" spans="1:26">
      <c r="A89" s="17"/>
      <c r="B89" s="15"/>
      <c r="C89" s="15"/>
      <c r="D89" s="15"/>
      <c r="E89" s="15"/>
      <c r="F89" s="15"/>
      <c r="G89" s="15"/>
      <c r="H89" s="16"/>
      <c r="I89" s="16"/>
      <c r="J89" s="16"/>
      <c r="K89" s="16"/>
      <c r="L89" s="16"/>
      <c r="M89" s="16"/>
      <c r="N89" s="16"/>
      <c r="O89" s="16"/>
      <c r="P89" s="16"/>
      <c r="Q89" s="16"/>
      <c r="R89" s="16"/>
      <c r="S89" s="16"/>
      <c r="T89" s="16"/>
      <c r="U89" s="16"/>
      <c r="V89" s="16"/>
      <c r="W89" s="15"/>
      <c r="X89" s="15"/>
      <c r="Y89" s="15"/>
      <c r="Z89" s="15"/>
    </row>
    <row r="90" customHeight="1" spans="1:26">
      <c r="A90" s="17"/>
      <c r="B90" s="15"/>
      <c r="C90" s="15"/>
      <c r="D90" s="15"/>
      <c r="E90" s="15"/>
      <c r="F90" s="15"/>
      <c r="G90" s="15"/>
      <c r="H90" s="16"/>
      <c r="I90" s="16"/>
      <c r="J90" s="16"/>
      <c r="K90" s="16"/>
      <c r="L90" s="16"/>
      <c r="M90" s="16"/>
      <c r="N90" s="16"/>
      <c r="O90" s="16"/>
      <c r="P90" s="16"/>
      <c r="Q90" s="16"/>
      <c r="R90" s="16"/>
      <c r="S90" s="16"/>
      <c r="T90" s="16"/>
      <c r="U90" s="16"/>
      <c r="V90" s="16"/>
      <c r="W90" s="15"/>
      <c r="X90" s="15"/>
      <c r="Y90" s="15"/>
      <c r="Z90" s="15"/>
    </row>
    <row r="91" customHeight="1" spans="1:26">
      <c r="A91" s="17"/>
      <c r="B91" s="15"/>
      <c r="C91" s="15"/>
      <c r="D91" s="15"/>
      <c r="E91" s="15"/>
      <c r="F91" s="15"/>
      <c r="G91" s="15"/>
      <c r="H91" s="16"/>
      <c r="I91" s="16"/>
      <c r="J91" s="16"/>
      <c r="K91" s="16"/>
      <c r="L91" s="16"/>
      <c r="M91" s="16"/>
      <c r="N91" s="16"/>
      <c r="O91" s="16"/>
      <c r="P91" s="16"/>
      <c r="Q91" s="16"/>
      <c r="R91" s="16"/>
      <c r="S91" s="16"/>
      <c r="T91" s="16"/>
      <c r="U91" s="16"/>
      <c r="V91" s="16"/>
      <c r="W91" s="15"/>
      <c r="X91" s="15"/>
      <c r="Y91" s="15"/>
      <c r="Z91" s="15"/>
    </row>
    <row r="92" customHeight="1" spans="1:26">
      <c r="A92" s="17"/>
      <c r="B92" s="15"/>
      <c r="C92" s="15"/>
      <c r="D92" s="15"/>
      <c r="E92" s="15"/>
      <c r="F92" s="15"/>
      <c r="G92" s="15"/>
      <c r="H92" s="16"/>
      <c r="I92" s="16"/>
      <c r="J92" s="16"/>
      <c r="K92" s="16"/>
      <c r="L92" s="16"/>
      <c r="M92" s="16"/>
      <c r="N92" s="16"/>
      <c r="O92" s="16"/>
      <c r="P92" s="16"/>
      <c r="Q92" s="16"/>
      <c r="R92" s="16"/>
      <c r="S92" s="16"/>
      <c r="T92" s="16"/>
      <c r="U92" s="16"/>
      <c r="V92" s="16"/>
      <c r="W92" s="15"/>
      <c r="X92" s="15"/>
      <c r="Y92" s="15"/>
      <c r="Z92" s="15"/>
    </row>
    <row r="93" customHeight="1" spans="1:26">
      <c r="A93" s="17"/>
      <c r="B93" s="15"/>
      <c r="C93" s="15"/>
      <c r="D93" s="15"/>
      <c r="E93" s="15"/>
      <c r="F93" s="15"/>
      <c r="G93" s="15"/>
      <c r="H93" s="16"/>
      <c r="I93" s="16"/>
      <c r="J93" s="16"/>
      <c r="K93" s="16"/>
      <c r="L93" s="16"/>
      <c r="M93" s="16"/>
      <c r="N93" s="16"/>
      <c r="O93" s="16"/>
      <c r="P93" s="16"/>
      <c r="Q93" s="16"/>
      <c r="R93" s="16"/>
      <c r="S93" s="16"/>
      <c r="T93" s="16"/>
      <c r="U93" s="16"/>
      <c r="V93" s="16"/>
      <c r="W93" s="15"/>
      <c r="X93" s="15"/>
      <c r="Y93" s="15"/>
      <c r="Z93" s="15"/>
    </row>
    <row r="94" customHeight="1" spans="1:26">
      <c r="A94" s="17"/>
      <c r="B94" s="15"/>
      <c r="C94" s="15"/>
      <c r="D94" s="15"/>
      <c r="E94" s="15"/>
      <c r="F94" s="15"/>
      <c r="G94" s="15"/>
      <c r="H94" s="16"/>
      <c r="I94" s="16"/>
      <c r="J94" s="16"/>
      <c r="K94" s="16"/>
      <c r="L94" s="16"/>
      <c r="M94" s="16"/>
      <c r="N94" s="16"/>
      <c r="O94" s="16"/>
      <c r="P94" s="16"/>
      <c r="Q94" s="16"/>
      <c r="R94" s="16"/>
      <c r="S94" s="16"/>
      <c r="T94" s="16"/>
      <c r="U94" s="16"/>
      <c r="V94" s="16"/>
      <c r="W94" s="15"/>
      <c r="X94" s="15"/>
      <c r="Y94" s="15"/>
      <c r="Z94" s="15"/>
    </row>
    <row r="95" customHeight="1" spans="1:26">
      <c r="A95" s="17"/>
      <c r="B95" s="15"/>
      <c r="C95" s="15"/>
      <c r="D95" s="15"/>
      <c r="E95" s="15"/>
      <c r="F95" s="15"/>
      <c r="G95" s="15"/>
      <c r="H95" s="16"/>
      <c r="I95" s="16"/>
      <c r="J95" s="16"/>
      <c r="K95" s="16"/>
      <c r="L95" s="16"/>
      <c r="M95" s="16"/>
      <c r="N95" s="16"/>
      <c r="O95" s="16"/>
      <c r="P95" s="16"/>
      <c r="Q95" s="16"/>
      <c r="R95" s="16"/>
      <c r="S95" s="16"/>
      <c r="T95" s="16"/>
      <c r="U95" s="16"/>
      <c r="V95" s="16"/>
      <c r="W95" s="15"/>
      <c r="X95" s="15"/>
      <c r="Y95" s="15"/>
      <c r="Z95" s="15"/>
    </row>
    <row r="96" customHeight="1" spans="1:26">
      <c r="A96" s="17"/>
      <c r="B96" s="15"/>
      <c r="C96" s="15"/>
      <c r="D96" s="15"/>
      <c r="E96" s="15"/>
      <c r="F96" s="15"/>
      <c r="G96" s="15"/>
      <c r="H96" s="16"/>
      <c r="I96" s="16"/>
      <c r="J96" s="16"/>
      <c r="K96" s="16"/>
      <c r="L96" s="16"/>
      <c r="M96" s="16"/>
      <c r="N96" s="16"/>
      <c r="O96" s="16"/>
      <c r="P96" s="16"/>
      <c r="Q96" s="16"/>
      <c r="R96" s="16"/>
      <c r="S96" s="16"/>
      <c r="T96" s="16"/>
      <c r="U96" s="16"/>
      <c r="V96" s="16"/>
      <c r="W96" s="15"/>
      <c r="X96" s="15"/>
      <c r="Y96" s="15"/>
      <c r="Z96" s="15"/>
    </row>
    <row r="97" customHeight="1" spans="1:26">
      <c r="A97" s="17"/>
      <c r="B97" s="15"/>
      <c r="C97" s="15"/>
      <c r="D97" s="15"/>
      <c r="E97" s="15"/>
      <c r="F97" s="15"/>
      <c r="G97" s="15"/>
      <c r="H97" s="16"/>
      <c r="I97" s="16"/>
      <c r="J97" s="16"/>
      <c r="K97" s="16"/>
      <c r="L97" s="16"/>
      <c r="M97" s="16"/>
      <c r="N97" s="16"/>
      <c r="O97" s="16"/>
      <c r="P97" s="16"/>
      <c r="Q97" s="16"/>
      <c r="R97" s="16"/>
      <c r="S97" s="16"/>
      <c r="T97" s="16"/>
      <c r="U97" s="16"/>
      <c r="V97" s="16"/>
      <c r="W97" s="15"/>
      <c r="X97" s="15"/>
      <c r="Y97" s="15"/>
      <c r="Z97" s="15"/>
    </row>
    <row r="98" customHeight="1" spans="1:26">
      <c r="A98" s="17"/>
      <c r="B98" s="15"/>
      <c r="C98" s="15"/>
      <c r="D98" s="15"/>
      <c r="E98" s="15"/>
      <c r="F98" s="15"/>
      <c r="G98" s="15"/>
      <c r="H98" s="16"/>
      <c r="I98" s="16"/>
      <c r="J98" s="16"/>
      <c r="K98" s="16"/>
      <c r="L98" s="16"/>
      <c r="M98" s="16"/>
      <c r="N98" s="16"/>
      <c r="O98" s="16"/>
      <c r="P98" s="16"/>
      <c r="Q98" s="16"/>
      <c r="R98" s="16"/>
      <c r="S98" s="16"/>
      <c r="T98" s="16"/>
      <c r="U98" s="16"/>
      <c r="V98" s="16"/>
      <c r="W98" s="15"/>
      <c r="X98" s="15"/>
      <c r="Y98" s="15"/>
      <c r="Z98" s="15"/>
    </row>
    <row r="99" customHeight="1" spans="1:26">
      <c r="A99" s="17"/>
      <c r="B99" s="15"/>
      <c r="C99" s="15"/>
      <c r="D99" s="15"/>
      <c r="E99" s="15"/>
      <c r="F99" s="15"/>
      <c r="G99" s="15"/>
      <c r="H99" s="16"/>
      <c r="I99" s="16"/>
      <c r="J99" s="16"/>
      <c r="K99" s="16"/>
      <c r="L99" s="16"/>
      <c r="M99" s="16"/>
      <c r="N99" s="16"/>
      <c r="O99" s="16"/>
      <c r="P99" s="16"/>
      <c r="Q99" s="16"/>
      <c r="R99" s="16"/>
      <c r="S99" s="16"/>
      <c r="T99" s="16"/>
      <c r="U99" s="16"/>
      <c r="V99" s="16"/>
      <c r="W99" s="15"/>
      <c r="X99" s="15"/>
      <c r="Y99" s="15"/>
      <c r="Z99" s="15"/>
    </row>
    <row r="100" customHeight="1" spans="1:26">
      <c r="A100" s="17"/>
      <c r="B100" s="15"/>
      <c r="C100" s="15"/>
      <c r="D100" s="15"/>
      <c r="E100" s="15"/>
      <c r="F100" s="15"/>
      <c r="G100" s="15"/>
      <c r="H100" s="16"/>
      <c r="I100" s="16"/>
      <c r="J100" s="16"/>
      <c r="K100" s="16"/>
      <c r="L100" s="16"/>
      <c r="M100" s="16"/>
      <c r="N100" s="16"/>
      <c r="O100" s="16"/>
      <c r="P100" s="16"/>
      <c r="Q100" s="16"/>
      <c r="R100" s="16"/>
      <c r="S100" s="16"/>
      <c r="T100" s="16"/>
      <c r="U100" s="16"/>
      <c r="V100" s="16"/>
      <c r="W100" s="15"/>
      <c r="X100" s="15"/>
      <c r="Y100" s="15"/>
      <c r="Z100" s="15"/>
    </row>
    <row r="101" customHeight="1" spans="1:26">
      <c r="A101" s="17"/>
      <c r="B101" s="15"/>
      <c r="C101" s="15"/>
      <c r="D101" s="15"/>
      <c r="E101" s="15"/>
      <c r="F101" s="15"/>
      <c r="G101" s="15"/>
      <c r="H101" s="16"/>
      <c r="I101" s="16"/>
      <c r="J101" s="16"/>
      <c r="K101" s="16"/>
      <c r="L101" s="16"/>
      <c r="M101" s="16"/>
      <c r="N101" s="16"/>
      <c r="O101" s="16"/>
      <c r="P101" s="16"/>
      <c r="Q101" s="16"/>
      <c r="R101" s="16"/>
      <c r="S101" s="16"/>
      <c r="T101" s="16"/>
      <c r="U101" s="16"/>
      <c r="V101" s="16"/>
      <c r="W101" s="15"/>
      <c r="X101" s="15"/>
      <c r="Y101" s="15"/>
      <c r="Z101" s="15"/>
    </row>
    <row r="102" customHeight="1" spans="1:26">
      <c r="A102" s="17"/>
      <c r="B102" s="15"/>
      <c r="C102" s="15"/>
      <c r="D102" s="15"/>
      <c r="E102" s="15"/>
      <c r="F102" s="15"/>
      <c r="G102" s="15"/>
      <c r="H102" s="16"/>
      <c r="I102" s="16"/>
      <c r="J102" s="16"/>
      <c r="K102" s="16"/>
      <c r="L102" s="16"/>
      <c r="M102" s="16"/>
      <c r="N102" s="16"/>
      <c r="O102" s="16"/>
      <c r="P102" s="16"/>
      <c r="Q102" s="16"/>
      <c r="R102" s="16"/>
      <c r="S102" s="16"/>
      <c r="T102" s="16"/>
      <c r="U102" s="16"/>
      <c r="V102" s="16"/>
      <c r="W102" s="15"/>
      <c r="X102" s="15"/>
      <c r="Y102" s="15"/>
      <c r="Z102" s="15"/>
    </row>
    <row r="103" customHeight="1" spans="1:26">
      <c r="A103" s="17"/>
      <c r="B103" s="15"/>
      <c r="C103" s="15"/>
      <c r="D103" s="15"/>
      <c r="E103" s="15"/>
      <c r="F103" s="15"/>
      <c r="G103" s="15"/>
      <c r="H103" s="16"/>
      <c r="I103" s="16"/>
      <c r="J103" s="16"/>
      <c r="K103" s="16"/>
      <c r="L103" s="16"/>
      <c r="M103" s="16"/>
      <c r="N103" s="16"/>
      <c r="O103" s="16"/>
      <c r="P103" s="16"/>
      <c r="Q103" s="16"/>
      <c r="R103" s="16"/>
      <c r="S103" s="16"/>
      <c r="T103" s="16"/>
      <c r="U103" s="16"/>
      <c r="V103" s="16"/>
      <c r="W103" s="15"/>
      <c r="X103" s="15"/>
      <c r="Y103" s="15"/>
      <c r="Z103" s="15"/>
    </row>
    <row r="104" customHeight="1" spans="1:26">
      <c r="A104" s="17"/>
      <c r="B104" s="15"/>
      <c r="C104" s="15"/>
      <c r="D104" s="15"/>
      <c r="E104" s="15"/>
      <c r="F104" s="15"/>
      <c r="G104" s="15"/>
      <c r="H104" s="16"/>
      <c r="I104" s="16"/>
      <c r="J104" s="16"/>
      <c r="K104" s="16"/>
      <c r="L104" s="16"/>
      <c r="M104" s="16"/>
      <c r="N104" s="16"/>
      <c r="O104" s="16"/>
      <c r="P104" s="16"/>
      <c r="Q104" s="16"/>
      <c r="R104" s="16"/>
      <c r="S104" s="16"/>
      <c r="T104" s="16"/>
      <c r="U104" s="16"/>
      <c r="V104" s="16"/>
      <c r="W104" s="15"/>
      <c r="X104" s="15"/>
      <c r="Y104" s="15"/>
      <c r="Z104" s="15"/>
    </row>
    <row r="105" customHeight="1" spans="1:26">
      <c r="A105" s="17"/>
      <c r="B105" s="15"/>
      <c r="C105" s="15"/>
      <c r="D105" s="15"/>
      <c r="E105" s="15"/>
      <c r="F105" s="15"/>
      <c r="G105" s="15"/>
      <c r="H105" s="16"/>
      <c r="I105" s="16"/>
      <c r="J105" s="16"/>
      <c r="K105" s="16"/>
      <c r="L105" s="16"/>
      <c r="M105" s="16"/>
      <c r="N105" s="16"/>
      <c r="O105" s="16"/>
      <c r="P105" s="16"/>
      <c r="Q105" s="16"/>
      <c r="R105" s="16"/>
      <c r="S105" s="16"/>
      <c r="T105" s="16"/>
      <c r="U105" s="16"/>
      <c r="V105" s="16"/>
      <c r="W105" s="15"/>
      <c r="X105" s="15"/>
      <c r="Y105" s="15"/>
      <c r="Z105" s="15"/>
    </row>
    <row r="106" customHeight="1" spans="1:26">
      <c r="A106" s="17"/>
      <c r="B106" s="15"/>
      <c r="C106" s="15"/>
      <c r="D106" s="15"/>
      <c r="E106" s="15"/>
      <c r="F106" s="15"/>
      <c r="G106" s="15"/>
      <c r="H106" s="16"/>
      <c r="I106" s="16"/>
      <c r="J106" s="16"/>
      <c r="K106" s="16"/>
      <c r="L106" s="16"/>
      <c r="M106" s="16"/>
      <c r="N106" s="16"/>
      <c r="O106" s="16"/>
      <c r="P106" s="16"/>
      <c r="Q106" s="16"/>
      <c r="R106" s="16"/>
      <c r="S106" s="16"/>
      <c r="T106" s="16"/>
      <c r="U106" s="16"/>
      <c r="V106" s="16"/>
      <c r="W106" s="15"/>
      <c r="X106" s="15"/>
      <c r="Y106" s="15"/>
      <c r="Z106" s="15"/>
    </row>
    <row r="107" customHeight="1" spans="1:26">
      <c r="A107" s="17"/>
      <c r="B107" s="15"/>
      <c r="C107" s="15"/>
      <c r="D107" s="15"/>
      <c r="E107" s="15"/>
      <c r="F107" s="15"/>
      <c r="G107" s="15"/>
      <c r="H107" s="16"/>
      <c r="I107" s="16"/>
      <c r="J107" s="16"/>
      <c r="K107" s="16"/>
      <c r="L107" s="16"/>
      <c r="M107" s="16"/>
      <c r="N107" s="16"/>
      <c r="O107" s="16"/>
      <c r="P107" s="16"/>
      <c r="Q107" s="16"/>
      <c r="R107" s="16"/>
      <c r="S107" s="16"/>
      <c r="T107" s="16"/>
      <c r="U107" s="16"/>
      <c r="V107" s="16"/>
      <c r="W107" s="15"/>
      <c r="X107" s="15"/>
      <c r="Y107" s="15"/>
      <c r="Z107" s="15"/>
    </row>
    <row r="108" customHeight="1" spans="1:26">
      <c r="A108" s="17"/>
      <c r="B108" s="15"/>
      <c r="C108" s="15"/>
      <c r="D108" s="15"/>
      <c r="E108" s="15"/>
      <c r="F108" s="15"/>
      <c r="G108" s="15"/>
      <c r="H108" s="16"/>
      <c r="I108" s="16"/>
      <c r="J108" s="16"/>
      <c r="K108" s="16"/>
      <c r="L108" s="16"/>
      <c r="M108" s="16"/>
      <c r="N108" s="16"/>
      <c r="O108" s="16"/>
      <c r="P108" s="16"/>
      <c r="Q108" s="16"/>
      <c r="R108" s="16"/>
      <c r="S108" s="16"/>
      <c r="T108" s="16"/>
      <c r="U108" s="16"/>
      <c r="V108" s="16"/>
      <c r="W108" s="15"/>
      <c r="X108" s="15"/>
      <c r="Y108" s="15"/>
      <c r="Z108" s="15"/>
    </row>
    <row r="109" customHeight="1" spans="1:26">
      <c r="A109" s="17"/>
      <c r="B109" s="15"/>
      <c r="C109" s="15"/>
      <c r="D109" s="15"/>
      <c r="E109" s="15"/>
      <c r="F109" s="15"/>
      <c r="G109" s="15"/>
      <c r="H109" s="16"/>
      <c r="I109" s="16"/>
      <c r="J109" s="16"/>
      <c r="K109" s="16"/>
      <c r="L109" s="16"/>
      <c r="M109" s="16"/>
      <c r="N109" s="16"/>
      <c r="O109" s="16"/>
      <c r="P109" s="16"/>
      <c r="Q109" s="16"/>
      <c r="R109" s="16"/>
      <c r="S109" s="16"/>
      <c r="T109" s="16"/>
      <c r="U109" s="16"/>
      <c r="V109" s="16"/>
      <c r="W109" s="15"/>
      <c r="X109" s="15"/>
      <c r="Y109" s="15"/>
      <c r="Z109" s="15"/>
    </row>
    <row r="110" customHeight="1" spans="1:26">
      <c r="A110" s="17"/>
      <c r="B110" s="15"/>
      <c r="C110" s="15"/>
      <c r="D110" s="15"/>
      <c r="E110" s="15"/>
      <c r="F110" s="15"/>
      <c r="G110" s="15"/>
      <c r="H110" s="16"/>
      <c r="I110" s="16"/>
      <c r="J110" s="16"/>
      <c r="K110" s="16"/>
      <c r="L110" s="16"/>
      <c r="M110" s="16"/>
      <c r="N110" s="16"/>
      <c r="O110" s="16"/>
      <c r="P110" s="16"/>
      <c r="Q110" s="16"/>
      <c r="R110" s="16"/>
      <c r="S110" s="16"/>
      <c r="T110" s="16"/>
      <c r="U110" s="16"/>
      <c r="V110" s="16"/>
      <c r="W110" s="15"/>
      <c r="X110" s="15"/>
      <c r="Y110" s="15"/>
      <c r="Z110" s="15"/>
    </row>
    <row r="111" customHeight="1" spans="1:26">
      <c r="A111" s="17"/>
      <c r="B111" s="15"/>
      <c r="C111" s="15"/>
      <c r="D111" s="15"/>
      <c r="E111" s="15"/>
      <c r="F111" s="15"/>
      <c r="G111" s="15"/>
      <c r="H111" s="16"/>
      <c r="I111" s="16"/>
      <c r="J111" s="16"/>
      <c r="K111" s="16"/>
      <c r="L111" s="16"/>
      <c r="M111" s="16"/>
      <c r="N111" s="16"/>
      <c r="O111" s="16"/>
      <c r="P111" s="16"/>
      <c r="Q111" s="16"/>
      <c r="R111" s="16"/>
      <c r="S111" s="16"/>
      <c r="T111" s="16"/>
      <c r="U111" s="16"/>
      <c r="V111" s="16"/>
      <c r="W111" s="15"/>
      <c r="X111" s="15"/>
      <c r="Y111" s="15"/>
      <c r="Z111" s="15"/>
    </row>
    <row r="112" customHeight="1" spans="1:26">
      <c r="A112" s="17"/>
      <c r="B112" s="15"/>
      <c r="C112" s="15"/>
      <c r="D112" s="15"/>
      <c r="E112" s="15"/>
      <c r="F112" s="15"/>
      <c r="G112" s="15"/>
      <c r="H112" s="16"/>
      <c r="I112" s="16"/>
      <c r="J112" s="16"/>
      <c r="K112" s="16"/>
      <c r="L112" s="16"/>
      <c r="M112" s="16"/>
      <c r="N112" s="16"/>
      <c r="O112" s="16"/>
      <c r="P112" s="16"/>
      <c r="Q112" s="16"/>
      <c r="R112" s="16"/>
      <c r="S112" s="16"/>
      <c r="T112" s="16"/>
      <c r="U112" s="16"/>
      <c r="V112" s="16"/>
      <c r="W112" s="15"/>
      <c r="X112" s="15"/>
      <c r="Y112" s="15"/>
      <c r="Z112" s="15"/>
    </row>
    <row r="113" customHeight="1" spans="1:26">
      <c r="A113" s="17"/>
      <c r="B113" s="15"/>
      <c r="C113" s="15"/>
      <c r="D113" s="15"/>
      <c r="E113" s="15"/>
      <c r="F113" s="15"/>
      <c r="G113" s="15"/>
      <c r="H113" s="16"/>
      <c r="I113" s="16"/>
      <c r="J113" s="16"/>
      <c r="K113" s="16"/>
      <c r="L113" s="16"/>
      <c r="M113" s="16"/>
      <c r="N113" s="16"/>
      <c r="O113" s="16"/>
      <c r="P113" s="16"/>
      <c r="Q113" s="16"/>
      <c r="R113" s="16"/>
      <c r="S113" s="16"/>
      <c r="T113" s="16"/>
      <c r="U113" s="16"/>
      <c r="V113" s="16"/>
      <c r="W113" s="15"/>
      <c r="X113" s="15"/>
      <c r="Y113" s="15"/>
      <c r="Z113" s="15"/>
    </row>
    <row r="114" customHeight="1" spans="1:26">
      <c r="A114" s="17"/>
      <c r="B114" s="15"/>
      <c r="C114" s="15"/>
      <c r="D114" s="15"/>
      <c r="E114" s="15"/>
      <c r="F114" s="15"/>
      <c r="G114" s="15"/>
      <c r="H114" s="16"/>
      <c r="I114" s="16"/>
      <c r="J114" s="16"/>
      <c r="K114" s="16"/>
      <c r="L114" s="16"/>
      <c r="M114" s="16"/>
      <c r="N114" s="16"/>
      <c r="O114" s="16"/>
      <c r="P114" s="16"/>
      <c r="Q114" s="16"/>
      <c r="R114" s="16"/>
      <c r="S114" s="16"/>
      <c r="T114" s="16"/>
      <c r="U114" s="16"/>
      <c r="V114" s="16"/>
      <c r="W114" s="15"/>
      <c r="X114" s="15"/>
      <c r="Y114" s="15"/>
      <c r="Z114" s="15"/>
    </row>
    <row r="115" customHeight="1" spans="1:26">
      <c r="A115" s="17"/>
      <c r="B115" s="15"/>
      <c r="C115" s="15"/>
      <c r="D115" s="15"/>
      <c r="E115" s="15"/>
      <c r="F115" s="15"/>
      <c r="G115" s="15"/>
      <c r="H115" s="16"/>
      <c r="I115" s="16"/>
      <c r="J115" s="16"/>
      <c r="K115" s="16"/>
      <c r="L115" s="16"/>
      <c r="M115" s="16"/>
      <c r="N115" s="16"/>
      <c r="O115" s="16"/>
      <c r="P115" s="16"/>
      <c r="Q115" s="16"/>
      <c r="R115" s="16"/>
      <c r="S115" s="16"/>
      <c r="T115" s="16"/>
      <c r="U115" s="16"/>
      <c r="V115" s="16"/>
      <c r="W115" s="15"/>
      <c r="X115" s="15"/>
      <c r="Y115" s="15"/>
      <c r="Z115" s="15"/>
    </row>
    <row r="116" customHeight="1" spans="1:26">
      <c r="A116" s="17"/>
      <c r="B116" s="15"/>
      <c r="C116" s="15"/>
      <c r="D116" s="15"/>
      <c r="E116" s="15"/>
      <c r="F116" s="15"/>
      <c r="G116" s="15"/>
      <c r="H116" s="16"/>
      <c r="I116" s="16"/>
      <c r="J116" s="16"/>
      <c r="K116" s="16"/>
      <c r="L116" s="16"/>
      <c r="M116" s="16"/>
      <c r="N116" s="16"/>
      <c r="O116" s="16"/>
      <c r="P116" s="16"/>
      <c r="Q116" s="16"/>
      <c r="R116" s="16"/>
      <c r="S116" s="16"/>
      <c r="T116" s="16"/>
      <c r="U116" s="16"/>
      <c r="V116" s="16"/>
      <c r="W116" s="15"/>
      <c r="X116" s="15"/>
      <c r="Y116" s="15"/>
      <c r="Z116" s="15"/>
    </row>
    <row r="117" customHeight="1" spans="1:26">
      <c r="A117" s="17"/>
      <c r="B117" s="15"/>
      <c r="C117" s="15"/>
      <c r="D117" s="15"/>
      <c r="E117" s="15"/>
      <c r="F117" s="15"/>
      <c r="G117" s="15"/>
      <c r="H117" s="16"/>
      <c r="I117" s="16"/>
      <c r="J117" s="16"/>
      <c r="K117" s="16"/>
      <c r="L117" s="16"/>
      <c r="M117" s="16"/>
      <c r="N117" s="16"/>
      <c r="O117" s="16"/>
      <c r="P117" s="16"/>
      <c r="Q117" s="16"/>
      <c r="R117" s="16"/>
      <c r="S117" s="16"/>
      <c r="T117" s="16"/>
      <c r="U117" s="16"/>
      <c r="V117" s="16"/>
      <c r="W117" s="15"/>
      <c r="X117" s="15"/>
      <c r="Y117" s="15"/>
      <c r="Z117" s="15"/>
    </row>
    <row r="118" customHeight="1" spans="1:26">
      <c r="A118" s="17"/>
      <c r="B118" s="15"/>
      <c r="C118" s="15"/>
      <c r="D118" s="15"/>
      <c r="E118" s="15"/>
      <c r="F118" s="15"/>
      <c r="G118" s="15"/>
      <c r="H118" s="16"/>
      <c r="I118" s="16"/>
      <c r="J118" s="16"/>
      <c r="K118" s="16"/>
      <c r="L118" s="16"/>
      <c r="M118" s="16"/>
      <c r="N118" s="16"/>
      <c r="O118" s="16"/>
      <c r="P118" s="16"/>
      <c r="Q118" s="16"/>
      <c r="R118" s="16"/>
      <c r="S118" s="16"/>
      <c r="T118" s="16"/>
      <c r="U118" s="16"/>
      <c r="V118" s="16"/>
      <c r="W118" s="15"/>
      <c r="X118" s="15"/>
      <c r="Y118" s="15"/>
      <c r="Z118" s="15"/>
    </row>
    <row r="119" customHeight="1" spans="1:26">
      <c r="A119" s="17"/>
      <c r="B119" s="15"/>
      <c r="C119" s="15"/>
      <c r="D119" s="15"/>
      <c r="E119" s="15"/>
      <c r="F119" s="15"/>
      <c r="G119" s="15"/>
      <c r="H119" s="16"/>
      <c r="I119" s="16"/>
      <c r="J119" s="16"/>
      <c r="K119" s="16"/>
      <c r="L119" s="16"/>
      <c r="M119" s="16"/>
      <c r="N119" s="16"/>
      <c r="O119" s="16"/>
      <c r="P119" s="16"/>
      <c r="Q119" s="16"/>
      <c r="R119" s="16"/>
      <c r="S119" s="16"/>
      <c r="T119" s="16"/>
      <c r="U119" s="16"/>
      <c r="V119" s="16"/>
      <c r="W119" s="15"/>
      <c r="X119" s="15"/>
      <c r="Y119" s="15"/>
      <c r="Z119" s="15"/>
    </row>
    <row r="120" customHeight="1" spans="1:26">
      <c r="A120" s="17"/>
      <c r="B120" s="15"/>
      <c r="C120" s="15"/>
      <c r="D120" s="15"/>
      <c r="E120" s="15"/>
      <c r="F120" s="15"/>
      <c r="G120" s="15"/>
      <c r="H120" s="16"/>
      <c r="I120" s="16"/>
      <c r="J120" s="16"/>
      <c r="K120" s="16"/>
      <c r="L120" s="16"/>
      <c r="M120" s="16"/>
      <c r="N120" s="16"/>
      <c r="O120" s="16"/>
      <c r="P120" s="16"/>
      <c r="Q120" s="16"/>
      <c r="R120" s="16"/>
      <c r="S120" s="16"/>
      <c r="T120" s="16"/>
      <c r="U120" s="16"/>
      <c r="V120" s="16"/>
      <c r="W120" s="15"/>
      <c r="X120" s="15"/>
      <c r="Y120" s="15"/>
      <c r="Z120" s="15"/>
    </row>
    <row r="121" customHeight="1" spans="1:26">
      <c r="A121" s="17"/>
      <c r="B121" s="15"/>
      <c r="C121" s="15"/>
      <c r="D121" s="15"/>
      <c r="E121" s="15"/>
      <c r="F121" s="15"/>
      <c r="G121" s="15"/>
      <c r="H121" s="16"/>
      <c r="I121" s="16"/>
      <c r="J121" s="16"/>
      <c r="K121" s="16"/>
      <c r="L121" s="16"/>
      <c r="M121" s="16"/>
      <c r="N121" s="16"/>
      <c r="O121" s="16"/>
      <c r="P121" s="16"/>
      <c r="Q121" s="16"/>
      <c r="R121" s="16"/>
      <c r="S121" s="16"/>
      <c r="T121" s="16"/>
      <c r="U121" s="16"/>
      <c r="V121" s="16"/>
      <c r="W121" s="15"/>
      <c r="X121" s="15"/>
      <c r="Y121" s="15"/>
      <c r="Z121" s="15"/>
    </row>
    <row r="122" customHeight="1" spans="1:26">
      <c r="A122" s="17"/>
      <c r="B122" s="15"/>
      <c r="C122" s="15"/>
      <c r="D122" s="15"/>
      <c r="E122" s="15"/>
      <c r="F122" s="15"/>
      <c r="G122" s="15"/>
      <c r="H122" s="16"/>
      <c r="I122" s="16"/>
      <c r="J122" s="16"/>
      <c r="K122" s="16"/>
      <c r="L122" s="16"/>
      <c r="M122" s="16"/>
      <c r="N122" s="16"/>
      <c r="O122" s="16"/>
      <c r="P122" s="16"/>
      <c r="Q122" s="16"/>
      <c r="R122" s="16"/>
      <c r="S122" s="16"/>
      <c r="T122" s="16"/>
      <c r="U122" s="16"/>
      <c r="V122" s="16"/>
      <c r="W122" s="15"/>
      <c r="X122" s="15"/>
      <c r="Y122" s="15"/>
      <c r="Z122" s="15"/>
    </row>
    <row r="123" customHeight="1" spans="1:26">
      <c r="A123" s="17"/>
      <c r="B123" s="15"/>
      <c r="C123" s="15"/>
      <c r="D123" s="15"/>
      <c r="E123" s="15"/>
      <c r="F123" s="15"/>
      <c r="G123" s="15"/>
      <c r="H123" s="16"/>
      <c r="I123" s="16"/>
      <c r="J123" s="16"/>
      <c r="K123" s="16"/>
      <c r="L123" s="16"/>
      <c r="M123" s="16"/>
      <c r="N123" s="16"/>
      <c r="O123" s="16"/>
      <c r="P123" s="16"/>
      <c r="Q123" s="16"/>
      <c r="R123" s="16"/>
      <c r="S123" s="16"/>
      <c r="T123" s="16"/>
      <c r="U123" s="16"/>
      <c r="V123" s="16"/>
      <c r="W123" s="15"/>
      <c r="X123" s="15"/>
      <c r="Y123" s="15"/>
      <c r="Z123" s="15"/>
    </row>
    <row r="124" customHeight="1" spans="1:26">
      <c r="A124" s="17"/>
      <c r="B124" s="15"/>
      <c r="C124" s="15"/>
      <c r="D124" s="15"/>
      <c r="E124" s="15"/>
      <c r="F124" s="15"/>
      <c r="G124" s="15"/>
      <c r="H124" s="16"/>
      <c r="I124" s="16"/>
      <c r="J124" s="16"/>
      <c r="K124" s="16"/>
      <c r="L124" s="16"/>
      <c r="M124" s="16"/>
      <c r="N124" s="16"/>
      <c r="O124" s="16"/>
      <c r="P124" s="16"/>
      <c r="Q124" s="16"/>
      <c r="R124" s="16"/>
      <c r="S124" s="16"/>
      <c r="T124" s="16"/>
      <c r="U124" s="16"/>
      <c r="V124" s="16"/>
      <c r="W124" s="15"/>
      <c r="X124" s="15"/>
      <c r="Y124" s="15"/>
      <c r="Z124" s="15"/>
    </row>
    <row r="125" customHeight="1" spans="1:26">
      <c r="A125" s="17"/>
      <c r="B125" s="15"/>
      <c r="C125" s="15"/>
      <c r="D125" s="15"/>
      <c r="E125" s="15"/>
      <c r="F125" s="15"/>
      <c r="G125" s="15"/>
      <c r="H125" s="16"/>
      <c r="I125" s="16"/>
      <c r="J125" s="16"/>
      <c r="K125" s="16"/>
      <c r="L125" s="16"/>
      <c r="M125" s="16"/>
      <c r="N125" s="16"/>
      <c r="O125" s="16"/>
      <c r="P125" s="16"/>
      <c r="Q125" s="16"/>
      <c r="R125" s="16"/>
      <c r="S125" s="16"/>
      <c r="T125" s="16"/>
      <c r="U125" s="16"/>
      <c r="V125" s="16"/>
      <c r="W125" s="15"/>
      <c r="X125" s="15"/>
      <c r="Y125" s="15"/>
      <c r="Z125" s="15"/>
    </row>
    <row r="126" customHeight="1" spans="1:26">
      <c r="A126" s="17"/>
      <c r="B126" s="15"/>
      <c r="C126" s="15"/>
      <c r="D126" s="15"/>
      <c r="E126" s="15"/>
      <c r="F126" s="15"/>
      <c r="G126" s="15"/>
      <c r="H126" s="16"/>
      <c r="I126" s="16"/>
      <c r="J126" s="16"/>
      <c r="K126" s="16"/>
      <c r="L126" s="16"/>
      <c r="M126" s="16"/>
      <c r="N126" s="16"/>
      <c r="O126" s="16"/>
      <c r="P126" s="16"/>
      <c r="Q126" s="16"/>
      <c r="R126" s="16"/>
      <c r="S126" s="16"/>
      <c r="T126" s="16"/>
      <c r="U126" s="16"/>
      <c r="V126" s="16"/>
      <c r="W126" s="15"/>
      <c r="X126" s="15"/>
      <c r="Y126" s="15"/>
      <c r="Z126" s="15"/>
    </row>
    <row r="127" customHeight="1" spans="1:26">
      <c r="A127" s="17"/>
      <c r="B127" s="15"/>
      <c r="C127" s="15"/>
      <c r="D127" s="15"/>
      <c r="E127" s="15"/>
      <c r="F127" s="15"/>
      <c r="G127" s="15"/>
      <c r="H127" s="16"/>
      <c r="I127" s="16"/>
      <c r="J127" s="16"/>
      <c r="K127" s="16"/>
      <c r="L127" s="16"/>
      <c r="M127" s="16"/>
      <c r="N127" s="16"/>
      <c r="O127" s="16"/>
      <c r="P127" s="16"/>
      <c r="Q127" s="16"/>
      <c r="R127" s="16"/>
      <c r="S127" s="16"/>
      <c r="T127" s="16"/>
      <c r="U127" s="16"/>
      <c r="V127" s="16"/>
      <c r="W127" s="15"/>
      <c r="X127" s="15"/>
      <c r="Y127" s="15"/>
      <c r="Z127" s="15"/>
    </row>
    <row r="128" customHeight="1" spans="1:26">
      <c r="A128" s="17"/>
      <c r="B128" s="15"/>
      <c r="C128" s="15"/>
      <c r="D128" s="15"/>
      <c r="E128" s="15"/>
      <c r="F128" s="15"/>
      <c r="G128" s="15"/>
      <c r="H128" s="16"/>
      <c r="I128" s="16"/>
      <c r="J128" s="16"/>
      <c r="K128" s="16"/>
      <c r="L128" s="16"/>
      <c r="M128" s="16"/>
      <c r="N128" s="16"/>
      <c r="O128" s="16"/>
      <c r="P128" s="16"/>
      <c r="Q128" s="16"/>
      <c r="R128" s="16"/>
      <c r="S128" s="16"/>
      <c r="T128" s="16"/>
      <c r="U128" s="16"/>
      <c r="V128" s="16"/>
      <c r="W128" s="15"/>
      <c r="X128" s="15"/>
      <c r="Y128" s="15"/>
      <c r="Z128" s="15"/>
    </row>
    <row r="129" customHeight="1" spans="1:26">
      <c r="A129" s="17"/>
      <c r="B129" s="15"/>
      <c r="C129" s="15"/>
      <c r="D129" s="15"/>
      <c r="E129" s="15"/>
      <c r="F129" s="15"/>
      <c r="G129" s="15"/>
      <c r="H129" s="16"/>
      <c r="I129" s="16"/>
      <c r="J129" s="16"/>
      <c r="K129" s="16"/>
      <c r="L129" s="16"/>
      <c r="M129" s="16"/>
      <c r="N129" s="16"/>
      <c r="O129" s="16"/>
      <c r="P129" s="16"/>
      <c r="Q129" s="16"/>
      <c r="R129" s="16"/>
      <c r="S129" s="16"/>
      <c r="T129" s="16"/>
      <c r="U129" s="16"/>
      <c r="V129" s="16"/>
      <c r="W129" s="15"/>
      <c r="X129" s="15"/>
      <c r="Y129" s="15"/>
      <c r="Z129" s="15"/>
    </row>
    <row r="130" customHeight="1" spans="1:26">
      <c r="A130" s="17"/>
      <c r="B130" s="15"/>
      <c r="C130" s="15"/>
      <c r="D130" s="15"/>
      <c r="E130" s="15"/>
      <c r="F130" s="15"/>
      <c r="G130" s="15"/>
      <c r="H130" s="16"/>
      <c r="I130" s="16"/>
      <c r="J130" s="16"/>
      <c r="K130" s="16"/>
      <c r="L130" s="16"/>
      <c r="M130" s="16"/>
      <c r="N130" s="16"/>
      <c r="O130" s="16"/>
      <c r="P130" s="16"/>
      <c r="Q130" s="16"/>
      <c r="R130" s="16"/>
      <c r="S130" s="16"/>
      <c r="T130" s="16"/>
      <c r="U130" s="16"/>
      <c r="V130" s="16"/>
      <c r="W130" s="15"/>
      <c r="X130" s="15"/>
      <c r="Y130" s="15"/>
      <c r="Z130" s="15"/>
    </row>
    <row r="131" customHeight="1" spans="1:26">
      <c r="A131" s="17"/>
      <c r="B131" s="15"/>
      <c r="C131" s="15"/>
      <c r="D131" s="15"/>
      <c r="E131" s="15"/>
      <c r="F131" s="15"/>
      <c r="G131" s="15"/>
      <c r="H131" s="16"/>
      <c r="I131" s="16"/>
      <c r="J131" s="16"/>
      <c r="K131" s="16"/>
      <c r="L131" s="16"/>
      <c r="M131" s="16"/>
      <c r="N131" s="16"/>
      <c r="O131" s="16"/>
      <c r="P131" s="16"/>
      <c r="Q131" s="16"/>
      <c r="R131" s="16"/>
      <c r="S131" s="16"/>
      <c r="T131" s="16"/>
      <c r="U131" s="16"/>
      <c r="V131" s="16"/>
      <c r="W131" s="15"/>
      <c r="X131" s="15"/>
      <c r="Y131" s="15"/>
      <c r="Z131" s="15"/>
    </row>
    <row r="132" customHeight="1" spans="1:26">
      <c r="A132" s="17"/>
      <c r="B132" s="15"/>
      <c r="C132" s="15"/>
      <c r="D132" s="15"/>
      <c r="E132" s="15"/>
      <c r="F132" s="15"/>
      <c r="G132" s="15"/>
      <c r="H132" s="16"/>
      <c r="I132" s="16"/>
      <c r="J132" s="16"/>
      <c r="K132" s="16"/>
      <c r="L132" s="16"/>
      <c r="M132" s="16"/>
      <c r="N132" s="16"/>
      <c r="O132" s="16"/>
      <c r="P132" s="16"/>
      <c r="Q132" s="16"/>
      <c r="R132" s="16"/>
      <c r="S132" s="16"/>
      <c r="T132" s="16"/>
      <c r="U132" s="16"/>
      <c r="V132" s="16"/>
      <c r="W132" s="15"/>
      <c r="X132" s="15"/>
      <c r="Y132" s="15"/>
      <c r="Z132" s="15"/>
    </row>
    <row r="133" customHeight="1" spans="1:26">
      <c r="A133" s="17"/>
      <c r="B133" s="15"/>
      <c r="C133" s="15"/>
      <c r="D133" s="15"/>
      <c r="E133" s="15"/>
      <c r="F133" s="15"/>
      <c r="G133" s="15"/>
      <c r="H133" s="16"/>
      <c r="I133" s="16"/>
      <c r="J133" s="16"/>
      <c r="K133" s="16"/>
      <c r="L133" s="16"/>
      <c r="M133" s="16"/>
      <c r="N133" s="16"/>
      <c r="O133" s="16"/>
      <c r="P133" s="16"/>
      <c r="Q133" s="16"/>
      <c r="R133" s="16"/>
      <c r="S133" s="16"/>
      <c r="T133" s="16"/>
      <c r="U133" s="16"/>
      <c r="V133" s="16"/>
      <c r="W133" s="15"/>
      <c r="X133" s="15"/>
      <c r="Y133" s="15"/>
      <c r="Z133" s="15"/>
    </row>
    <row r="134" customHeight="1" spans="1:26">
      <c r="A134" s="17"/>
      <c r="B134" s="15"/>
      <c r="C134" s="15"/>
      <c r="D134" s="15"/>
      <c r="E134" s="15"/>
      <c r="F134" s="15"/>
      <c r="G134" s="15"/>
      <c r="H134" s="16"/>
      <c r="I134" s="16"/>
      <c r="J134" s="16"/>
      <c r="K134" s="16"/>
      <c r="L134" s="16"/>
      <c r="M134" s="16"/>
      <c r="N134" s="16"/>
      <c r="O134" s="16"/>
      <c r="P134" s="16"/>
      <c r="Q134" s="16"/>
      <c r="R134" s="16"/>
      <c r="S134" s="16"/>
      <c r="T134" s="16"/>
      <c r="U134" s="16"/>
      <c r="V134" s="16"/>
      <c r="W134" s="15"/>
      <c r="X134" s="15"/>
      <c r="Y134" s="15"/>
      <c r="Z134" s="15"/>
    </row>
    <row r="135" customHeight="1" spans="1:26">
      <c r="A135" s="17"/>
      <c r="B135" s="15"/>
      <c r="C135" s="15"/>
      <c r="D135" s="15"/>
      <c r="E135" s="15"/>
      <c r="F135" s="15"/>
      <c r="G135" s="15"/>
      <c r="H135" s="16"/>
      <c r="I135" s="16"/>
      <c r="J135" s="16"/>
      <c r="K135" s="16"/>
      <c r="L135" s="16"/>
      <c r="M135" s="16"/>
      <c r="N135" s="16"/>
      <c r="O135" s="16"/>
      <c r="P135" s="16"/>
      <c r="Q135" s="16"/>
      <c r="R135" s="16"/>
      <c r="S135" s="16"/>
      <c r="T135" s="16"/>
      <c r="U135" s="16"/>
      <c r="V135" s="16"/>
      <c r="W135" s="15"/>
      <c r="X135" s="15"/>
      <c r="Y135" s="15"/>
      <c r="Z135" s="15"/>
    </row>
    <row r="136" customHeight="1" spans="1:26">
      <c r="A136" s="17"/>
      <c r="B136" s="15"/>
      <c r="C136" s="15"/>
      <c r="D136" s="15"/>
      <c r="E136" s="15"/>
      <c r="F136" s="15"/>
      <c r="G136" s="15"/>
      <c r="H136" s="16"/>
      <c r="I136" s="16"/>
      <c r="J136" s="16"/>
      <c r="K136" s="16"/>
      <c r="L136" s="16"/>
      <c r="M136" s="16"/>
      <c r="N136" s="16"/>
      <c r="O136" s="16"/>
      <c r="P136" s="16"/>
      <c r="Q136" s="16"/>
      <c r="R136" s="16"/>
      <c r="S136" s="16"/>
      <c r="T136" s="16"/>
      <c r="U136" s="16"/>
      <c r="V136" s="16"/>
      <c r="W136" s="15"/>
      <c r="X136" s="15"/>
      <c r="Y136" s="15"/>
      <c r="Z136" s="15"/>
    </row>
    <row r="137" customHeight="1" spans="1:26">
      <c r="A137" s="17"/>
      <c r="B137" s="15"/>
      <c r="C137" s="15"/>
      <c r="D137" s="15"/>
      <c r="E137" s="15"/>
      <c r="F137" s="15"/>
      <c r="G137" s="15"/>
      <c r="H137" s="16"/>
      <c r="I137" s="16"/>
      <c r="J137" s="16"/>
      <c r="K137" s="16"/>
      <c r="L137" s="16"/>
      <c r="M137" s="16"/>
      <c r="N137" s="16"/>
      <c r="O137" s="16"/>
      <c r="P137" s="16"/>
      <c r="Q137" s="16"/>
      <c r="R137" s="16"/>
      <c r="S137" s="16"/>
      <c r="T137" s="16"/>
      <c r="U137" s="16"/>
      <c r="V137" s="16"/>
      <c r="W137" s="15"/>
      <c r="X137" s="15"/>
      <c r="Y137" s="15"/>
      <c r="Z137" s="15"/>
    </row>
    <row r="138" customHeight="1" spans="1:26">
      <c r="A138" s="17"/>
      <c r="B138" s="15"/>
      <c r="C138" s="15"/>
      <c r="D138" s="15"/>
      <c r="E138" s="15"/>
      <c r="F138" s="15"/>
      <c r="G138" s="15"/>
      <c r="H138" s="16"/>
      <c r="I138" s="16"/>
      <c r="J138" s="16"/>
      <c r="K138" s="16"/>
      <c r="L138" s="16"/>
      <c r="M138" s="16"/>
      <c r="N138" s="16"/>
      <c r="O138" s="16"/>
      <c r="P138" s="16"/>
      <c r="Q138" s="16"/>
      <c r="R138" s="16"/>
      <c r="S138" s="16"/>
      <c r="T138" s="16"/>
      <c r="U138" s="16"/>
      <c r="V138" s="16"/>
      <c r="W138" s="15"/>
      <c r="X138" s="15"/>
      <c r="Y138" s="15"/>
      <c r="Z138" s="15"/>
    </row>
    <row r="139" customHeight="1" spans="1:26">
      <c r="A139" s="17"/>
      <c r="B139" s="15"/>
      <c r="C139" s="15"/>
      <c r="D139" s="15"/>
      <c r="E139" s="15"/>
      <c r="F139" s="15"/>
      <c r="G139" s="15"/>
      <c r="H139" s="16"/>
      <c r="I139" s="16"/>
      <c r="J139" s="16"/>
      <c r="K139" s="16"/>
      <c r="L139" s="16"/>
      <c r="M139" s="16"/>
      <c r="N139" s="16"/>
      <c r="O139" s="16"/>
      <c r="P139" s="16"/>
      <c r="Q139" s="16"/>
      <c r="R139" s="16"/>
      <c r="S139" s="16"/>
      <c r="T139" s="16"/>
      <c r="U139" s="16"/>
      <c r="V139" s="16"/>
      <c r="W139" s="15"/>
      <c r="X139" s="15"/>
      <c r="Y139" s="15"/>
      <c r="Z139" s="15"/>
    </row>
    <row r="140" customHeight="1" spans="1:26">
      <c r="A140" s="17"/>
      <c r="B140" s="15"/>
      <c r="C140" s="15"/>
      <c r="D140" s="15"/>
      <c r="E140" s="15"/>
      <c r="F140" s="15"/>
      <c r="G140" s="15"/>
      <c r="H140" s="16"/>
      <c r="I140" s="16"/>
      <c r="J140" s="16"/>
      <c r="K140" s="16"/>
      <c r="L140" s="16"/>
      <c r="M140" s="16"/>
      <c r="N140" s="16"/>
      <c r="O140" s="16"/>
      <c r="P140" s="16"/>
      <c r="Q140" s="16"/>
      <c r="R140" s="16"/>
      <c r="S140" s="16"/>
      <c r="T140" s="16"/>
      <c r="U140" s="16"/>
      <c r="V140" s="16"/>
      <c r="W140" s="15"/>
      <c r="X140" s="15"/>
      <c r="Y140" s="15"/>
      <c r="Z140" s="15"/>
    </row>
    <row r="141" customHeight="1" spans="1:26">
      <c r="A141" s="17"/>
      <c r="B141" s="15"/>
      <c r="C141" s="15"/>
      <c r="D141" s="15"/>
      <c r="E141" s="15"/>
      <c r="F141" s="15"/>
      <c r="G141" s="15"/>
      <c r="H141" s="16"/>
      <c r="I141" s="16"/>
      <c r="J141" s="16"/>
      <c r="K141" s="16"/>
      <c r="L141" s="16"/>
      <c r="M141" s="16"/>
      <c r="N141" s="16"/>
      <c r="O141" s="16"/>
      <c r="P141" s="16"/>
      <c r="Q141" s="16"/>
      <c r="R141" s="16"/>
      <c r="S141" s="16"/>
      <c r="T141" s="16"/>
      <c r="U141" s="16"/>
      <c r="V141" s="16"/>
      <c r="W141" s="15"/>
      <c r="X141" s="15"/>
      <c r="Y141" s="15"/>
      <c r="Z141" s="15"/>
    </row>
    <row r="142" customHeight="1" spans="1:26">
      <c r="A142" s="17"/>
      <c r="B142" s="15"/>
      <c r="C142" s="15"/>
      <c r="D142" s="15"/>
      <c r="E142" s="15"/>
      <c r="F142" s="15"/>
      <c r="G142" s="15"/>
      <c r="H142" s="16"/>
      <c r="I142" s="16"/>
      <c r="J142" s="16"/>
      <c r="K142" s="16"/>
      <c r="L142" s="16"/>
      <c r="M142" s="16"/>
      <c r="N142" s="16"/>
      <c r="O142" s="16"/>
      <c r="P142" s="16"/>
      <c r="Q142" s="16"/>
      <c r="R142" s="16"/>
      <c r="S142" s="16"/>
      <c r="T142" s="16"/>
      <c r="U142" s="16"/>
      <c r="V142" s="16"/>
      <c r="W142" s="15"/>
      <c r="X142" s="15"/>
      <c r="Y142" s="15"/>
      <c r="Z142" s="15"/>
    </row>
    <row r="143" customHeight="1" spans="1:26">
      <c r="A143" s="17"/>
      <c r="B143" s="15"/>
      <c r="C143" s="15"/>
      <c r="D143" s="15"/>
      <c r="E143" s="15"/>
      <c r="F143" s="15"/>
      <c r="G143" s="15"/>
      <c r="H143" s="16"/>
      <c r="I143" s="16"/>
      <c r="J143" s="16"/>
      <c r="K143" s="16"/>
      <c r="L143" s="16"/>
      <c r="M143" s="16"/>
      <c r="N143" s="16"/>
      <c r="O143" s="16"/>
      <c r="P143" s="16"/>
      <c r="Q143" s="16"/>
      <c r="R143" s="16"/>
      <c r="S143" s="16"/>
      <c r="T143" s="16"/>
      <c r="U143" s="16"/>
      <c r="V143" s="16"/>
      <c r="W143" s="15"/>
      <c r="X143" s="15"/>
      <c r="Y143" s="15"/>
      <c r="Z143" s="15"/>
    </row>
    <row r="144" customHeight="1" spans="1:26">
      <c r="A144" s="17"/>
      <c r="B144" s="15"/>
      <c r="C144" s="15"/>
      <c r="D144" s="15"/>
      <c r="E144" s="15"/>
      <c r="F144" s="15"/>
      <c r="G144" s="15"/>
      <c r="H144" s="16"/>
      <c r="I144" s="16"/>
      <c r="J144" s="16"/>
      <c r="K144" s="16"/>
      <c r="L144" s="16"/>
      <c r="M144" s="16"/>
      <c r="N144" s="16"/>
      <c r="O144" s="16"/>
      <c r="P144" s="16"/>
      <c r="Q144" s="16"/>
      <c r="R144" s="16"/>
      <c r="S144" s="16"/>
      <c r="T144" s="16"/>
      <c r="U144" s="16"/>
      <c r="V144" s="16"/>
      <c r="W144" s="15"/>
      <c r="X144" s="15"/>
      <c r="Y144" s="15"/>
      <c r="Z144" s="15"/>
    </row>
    <row r="145" customHeight="1" spans="1:26">
      <c r="A145" s="17"/>
      <c r="B145" s="15"/>
      <c r="C145" s="15"/>
      <c r="D145" s="15"/>
      <c r="E145" s="15"/>
      <c r="F145" s="15"/>
      <c r="G145" s="15"/>
      <c r="H145" s="16"/>
      <c r="I145" s="16"/>
      <c r="J145" s="16"/>
      <c r="K145" s="16"/>
      <c r="L145" s="16"/>
      <c r="M145" s="16"/>
      <c r="N145" s="16"/>
      <c r="O145" s="16"/>
      <c r="P145" s="16"/>
      <c r="Q145" s="16"/>
      <c r="R145" s="16"/>
      <c r="S145" s="16"/>
      <c r="T145" s="16"/>
      <c r="U145" s="16"/>
      <c r="V145" s="16"/>
      <c r="W145" s="15"/>
      <c r="X145" s="15"/>
      <c r="Y145" s="15"/>
      <c r="Z145" s="15"/>
    </row>
    <row r="146" customHeight="1" spans="1:26">
      <c r="A146" s="17"/>
      <c r="B146" s="15"/>
      <c r="C146" s="15"/>
      <c r="D146" s="15"/>
      <c r="E146" s="15"/>
      <c r="F146" s="15"/>
      <c r="G146" s="15"/>
      <c r="H146" s="16"/>
      <c r="I146" s="16"/>
      <c r="J146" s="16"/>
      <c r="K146" s="16"/>
      <c r="L146" s="16"/>
      <c r="M146" s="16"/>
      <c r="N146" s="16"/>
      <c r="O146" s="16"/>
      <c r="P146" s="16"/>
      <c r="Q146" s="16"/>
      <c r="R146" s="16"/>
      <c r="S146" s="16"/>
      <c r="T146" s="16"/>
      <c r="U146" s="16"/>
      <c r="V146" s="16"/>
      <c r="W146" s="15"/>
      <c r="X146" s="15"/>
      <c r="Y146" s="15"/>
      <c r="Z146" s="15"/>
    </row>
    <row r="147" customHeight="1" spans="1:26">
      <c r="A147" s="17"/>
      <c r="B147" s="15"/>
      <c r="C147" s="15"/>
      <c r="D147" s="15"/>
      <c r="E147" s="15"/>
      <c r="F147" s="15"/>
      <c r="G147" s="15"/>
      <c r="H147" s="16"/>
      <c r="I147" s="16"/>
      <c r="J147" s="16"/>
      <c r="K147" s="16"/>
      <c r="L147" s="16"/>
      <c r="M147" s="16"/>
      <c r="N147" s="16"/>
      <c r="O147" s="16"/>
      <c r="P147" s="16"/>
      <c r="Q147" s="16"/>
      <c r="R147" s="16"/>
      <c r="S147" s="16"/>
      <c r="T147" s="16"/>
      <c r="U147" s="16"/>
      <c r="V147" s="16"/>
      <c r="W147" s="15"/>
      <c r="X147" s="15"/>
      <c r="Y147" s="15"/>
      <c r="Z147" s="15"/>
    </row>
    <row r="148" customHeight="1" spans="1:26">
      <c r="A148" s="17"/>
      <c r="B148" s="15"/>
      <c r="C148" s="15"/>
      <c r="D148" s="15"/>
      <c r="E148" s="15"/>
      <c r="F148" s="15"/>
      <c r="G148" s="15"/>
      <c r="H148" s="16"/>
      <c r="I148" s="16"/>
      <c r="J148" s="16"/>
      <c r="K148" s="16"/>
      <c r="L148" s="16"/>
      <c r="M148" s="16"/>
      <c r="N148" s="16"/>
      <c r="O148" s="16"/>
      <c r="P148" s="16"/>
      <c r="Q148" s="16"/>
      <c r="R148" s="16"/>
      <c r="S148" s="16"/>
      <c r="T148" s="16"/>
      <c r="U148" s="16"/>
      <c r="V148" s="16"/>
      <c r="W148" s="15"/>
      <c r="X148" s="15"/>
      <c r="Y148" s="15"/>
      <c r="Z148" s="15"/>
    </row>
    <row r="149" customHeight="1" spans="1:26">
      <c r="A149" s="17"/>
      <c r="B149" s="15"/>
      <c r="C149" s="15"/>
      <c r="D149" s="15"/>
      <c r="E149" s="15"/>
      <c r="F149" s="15"/>
      <c r="G149" s="15"/>
      <c r="H149" s="16"/>
      <c r="I149" s="16"/>
      <c r="J149" s="16"/>
      <c r="K149" s="16"/>
      <c r="L149" s="16"/>
      <c r="M149" s="16"/>
      <c r="N149" s="16"/>
      <c r="O149" s="16"/>
      <c r="P149" s="16"/>
      <c r="Q149" s="16"/>
      <c r="R149" s="16"/>
      <c r="S149" s="16"/>
      <c r="T149" s="16"/>
      <c r="U149" s="16"/>
      <c r="V149" s="16"/>
      <c r="W149" s="15"/>
      <c r="X149" s="15"/>
      <c r="Y149" s="15"/>
      <c r="Z149" s="15"/>
    </row>
    <row r="150" customHeight="1" spans="1:26">
      <c r="A150" s="17"/>
      <c r="B150" s="15"/>
      <c r="C150" s="15"/>
      <c r="D150" s="15"/>
      <c r="E150" s="15"/>
      <c r="F150" s="15"/>
      <c r="G150" s="15"/>
      <c r="H150" s="16"/>
      <c r="I150" s="16"/>
      <c r="J150" s="16"/>
      <c r="K150" s="16"/>
      <c r="L150" s="16"/>
      <c r="M150" s="16"/>
      <c r="N150" s="16"/>
      <c r="O150" s="16"/>
      <c r="P150" s="16"/>
      <c r="Q150" s="16"/>
      <c r="R150" s="16"/>
      <c r="S150" s="16"/>
      <c r="T150" s="16"/>
      <c r="U150" s="16"/>
      <c r="V150" s="16"/>
      <c r="W150" s="15"/>
      <c r="X150" s="15"/>
      <c r="Y150" s="15"/>
      <c r="Z150" s="15"/>
    </row>
    <row r="151" customHeight="1" spans="1:26">
      <c r="A151" s="17"/>
      <c r="B151" s="15"/>
      <c r="C151" s="15"/>
      <c r="D151" s="15"/>
      <c r="E151" s="15"/>
      <c r="F151" s="15"/>
      <c r="G151" s="15"/>
      <c r="H151" s="16"/>
      <c r="I151" s="16"/>
      <c r="J151" s="16"/>
      <c r="K151" s="16"/>
      <c r="L151" s="16"/>
      <c r="M151" s="16"/>
      <c r="N151" s="16"/>
      <c r="O151" s="16"/>
      <c r="P151" s="16"/>
      <c r="Q151" s="16"/>
      <c r="R151" s="16"/>
      <c r="S151" s="16"/>
      <c r="T151" s="16"/>
      <c r="U151" s="16"/>
      <c r="V151" s="16"/>
      <c r="W151" s="15"/>
      <c r="X151" s="15"/>
      <c r="Y151" s="15"/>
      <c r="Z151" s="15"/>
    </row>
    <row r="152" customHeight="1" spans="1:26">
      <c r="A152" s="17"/>
      <c r="B152" s="15"/>
      <c r="C152" s="15"/>
      <c r="D152" s="15"/>
      <c r="E152" s="15"/>
      <c r="F152" s="15"/>
      <c r="G152" s="15"/>
      <c r="H152" s="16"/>
      <c r="I152" s="16"/>
      <c r="J152" s="16"/>
      <c r="K152" s="16"/>
      <c r="L152" s="16"/>
      <c r="M152" s="16"/>
      <c r="N152" s="16"/>
      <c r="O152" s="16"/>
      <c r="P152" s="16"/>
      <c r="Q152" s="16"/>
      <c r="R152" s="16"/>
      <c r="S152" s="16"/>
      <c r="T152" s="16"/>
      <c r="U152" s="16"/>
      <c r="V152" s="16"/>
      <c r="W152" s="15"/>
      <c r="X152" s="15"/>
      <c r="Y152" s="15"/>
      <c r="Z152" s="15"/>
    </row>
    <row r="153" customHeight="1" spans="1:26">
      <c r="A153" s="17"/>
      <c r="B153" s="15"/>
      <c r="C153" s="15"/>
      <c r="D153" s="15"/>
      <c r="E153" s="15"/>
      <c r="F153" s="15"/>
      <c r="G153" s="15"/>
      <c r="H153" s="16"/>
      <c r="I153" s="16"/>
      <c r="J153" s="16"/>
      <c r="K153" s="16"/>
      <c r="L153" s="16"/>
      <c r="M153" s="16"/>
      <c r="N153" s="16"/>
      <c r="O153" s="16"/>
      <c r="P153" s="16"/>
      <c r="Q153" s="16"/>
      <c r="R153" s="16"/>
      <c r="S153" s="16"/>
      <c r="T153" s="16"/>
      <c r="U153" s="16"/>
      <c r="V153" s="16"/>
      <c r="W153" s="15"/>
      <c r="X153" s="15"/>
      <c r="Y153" s="15"/>
      <c r="Z153" s="15"/>
    </row>
    <row r="154" customHeight="1" spans="1:26">
      <c r="A154" s="17"/>
      <c r="B154" s="15"/>
      <c r="C154" s="15"/>
      <c r="D154" s="15"/>
      <c r="E154" s="15"/>
      <c r="F154" s="15"/>
      <c r="G154" s="15"/>
      <c r="H154" s="16"/>
      <c r="I154" s="16"/>
      <c r="J154" s="16"/>
      <c r="K154" s="16"/>
      <c r="L154" s="16"/>
      <c r="M154" s="16"/>
      <c r="N154" s="16"/>
      <c r="O154" s="16"/>
      <c r="P154" s="16"/>
      <c r="Q154" s="16"/>
      <c r="R154" s="16"/>
      <c r="S154" s="16"/>
      <c r="T154" s="16"/>
      <c r="U154" s="16"/>
      <c r="V154" s="16"/>
      <c r="W154" s="15"/>
      <c r="X154" s="15"/>
      <c r="Y154" s="15"/>
      <c r="Z154" s="15"/>
    </row>
    <row r="155" customHeight="1" spans="1:26">
      <c r="A155" s="17"/>
      <c r="B155" s="15"/>
      <c r="C155" s="15"/>
      <c r="D155" s="15"/>
      <c r="E155" s="15"/>
      <c r="F155" s="15"/>
      <c r="G155" s="15"/>
      <c r="H155" s="16"/>
      <c r="I155" s="16"/>
      <c r="J155" s="16"/>
      <c r="K155" s="16"/>
      <c r="L155" s="16"/>
      <c r="M155" s="16"/>
      <c r="N155" s="16"/>
      <c r="O155" s="16"/>
      <c r="P155" s="16"/>
      <c r="Q155" s="16"/>
      <c r="R155" s="16"/>
      <c r="S155" s="16"/>
      <c r="T155" s="16"/>
      <c r="U155" s="16"/>
      <c r="V155" s="16"/>
      <c r="W155" s="15"/>
      <c r="X155" s="15"/>
      <c r="Y155" s="15"/>
      <c r="Z155" s="15"/>
    </row>
    <row r="156" customHeight="1" spans="1:26">
      <c r="A156" s="17"/>
      <c r="B156" s="15"/>
      <c r="C156" s="15"/>
      <c r="D156" s="15"/>
      <c r="E156" s="15"/>
      <c r="F156" s="15"/>
      <c r="G156" s="15"/>
      <c r="H156" s="16"/>
      <c r="I156" s="16"/>
      <c r="J156" s="16"/>
      <c r="K156" s="16"/>
      <c r="L156" s="16"/>
      <c r="M156" s="16"/>
      <c r="N156" s="16"/>
      <c r="O156" s="16"/>
      <c r="P156" s="16"/>
      <c r="Q156" s="16"/>
      <c r="R156" s="16"/>
      <c r="S156" s="16"/>
      <c r="T156" s="16"/>
      <c r="U156" s="16"/>
      <c r="V156" s="16"/>
      <c r="W156" s="15"/>
      <c r="X156" s="15"/>
      <c r="Y156" s="15"/>
      <c r="Z156" s="15"/>
    </row>
    <row r="157" customHeight="1" spans="1:26">
      <c r="A157" s="17"/>
      <c r="B157" s="15"/>
      <c r="C157" s="15"/>
      <c r="D157" s="15"/>
      <c r="E157" s="15"/>
      <c r="F157" s="15"/>
      <c r="G157" s="15"/>
      <c r="H157" s="16"/>
      <c r="I157" s="16"/>
      <c r="J157" s="16"/>
      <c r="K157" s="16"/>
      <c r="L157" s="16"/>
      <c r="M157" s="16"/>
      <c r="N157" s="16"/>
      <c r="O157" s="16"/>
      <c r="P157" s="16"/>
      <c r="Q157" s="16"/>
      <c r="R157" s="16"/>
      <c r="S157" s="16"/>
      <c r="T157" s="16"/>
      <c r="U157" s="16"/>
      <c r="V157" s="16"/>
      <c r="W157" s="15"/>
      <c r="X157" s="15"/>
      <c r="Y157" s="15"/>
      <c r="Z157" s="15"/>
    </row>
    <row r="158" customHeight="1" spans="1:26">
      <c r="A158" s="17"/>
      <c r="B158" s="15"/>
      <c r="C158" s="15"/>
      <c r="D158" s="15"/>
      <c r="E158" s="15"/>
      <c r="F158" s="15"/>
      <c r="G158" s="15"/>
      <c r="H158" s="16"/>
      <c r="I158" s="16"/>
      <c r="J158" s="16"/>
      <c r="K158" s="16"/>
      <c r="L158" s="16"/>
      <c r="M158" s="16"/>
      <c r="N158" s="16"/>
      <c r="O158" s="16"/>
      <c r="P158" s="16"/>
      <c r="Q158" s="16"/>
      <c r="R158" s="16"/>
      <c r="S158" s="16"/>
      <c r="T158" s="16"/>
      <c r="U158" s="16"/>
      <c r="V158" s="16"/>
      <c r="W158" s="15"/>
      <c r="X158" s="15"/>
      <c r="Y158" s="15"/>
      <c r="Z158" s="15"/>
    </row>
    <row r="159" customHeight="1" spans="1:26">
      <c r="A159" s="17"/>
      <c r="B159" s="15"/>
      <c r="C159" s="15"/>
      <c r="D159" s="15"/>
      <c r="E159" s="15"/>
      <c r="F159" s="15"/>
      <c r="G159" s="15"/>
      <c r="H159" s="16"/>
      <c r="I159" s="16"/>
      <c r="J159" s="16"/>
      <c r="K159" s="16"/>
      <c r="L159" s="16"/>
      <c r="M159" s="16"/>
      <c r="N159" s="16"/>
      <c r="O159" s="16"/>
      <c r="P159" s="16"/>
      <c r="Q159" s="16"/>
      <c r="R159" s="16"/>
      <c r="S159" s="16"/>
      <c r="T159" s="16"/>
      <c r="U159" s="16"/>
      <c r="V159" s="16"/>
      <c r="W159" s="15"/>
      <c r="X159" s="15"/>
      <c r="Y159" s="15"/>
      <c r="Z159" s="15"/>
    </row>
    <row r="160" customHeight="1" spans="1:26">
      <c r="A160" s="17"/>
      <c r="B160" s="15"/>
      <c r="C160" s="15"/>
      <c r="D160" s="15"/>
      <c r="E160" s="15"/>
      <c r="F160" s="15"/>
      <c r="G160" s="15"/>
      <c r="H160" s="16"/>
      <c r="I160" s="16"/>
      <c r="J160" s="16"/>
      <c r="K160" s="16"/>
      <c r="L160" s="16"/>
      <c r="M160" s="16"/>
      <c r="N160" s="16"/>
      <c r="O160" s="16"/>
      <c r="P160" s="16"/>
      <c r="Q160" s="16"/>
      <c r="R160" s="16"/>
      <c r="S160" s="16"/>
      <c r="T160" s="16"/>
      <c r="U160" s="16"/>
      <c r="V160" s="16"/>
      <c r="W160" s="15"/>
      <c r="X160" s="15"/>
      <c r="Y160" s="15"/>
      <c r="Z160" s="15"/>
    </row>
    <row r="161" customHeight="1" spans="1:26">
      <c r="A161" s="17"/>
      <c r="B161" s="15"/>
      <c r="C161" s="15"/>
      <c r="D161" s="15"/>
      <c r="E161" s="15"/>
      <c r="F161" s="15"/>
      <c r="G161" s="15"/>
      <c r="H161" s="16"/>
      <c r="I161" s="16"/>
      <c r="J161" s="16"/>
      <c r="K161" s="16"/>
      <c r="L161" s="16"/>
      <c r="M161" s="16"/>
      <c r="N161" s="16"/>
      <c r="O161" s="16"/>
      <c r="P161" s="16"/>
      <c r="Q161" s="16"/>
      <c r="R161" s="16"/>
      <c r="S161" s="16"/>
      <c r="T161" s="16"/>
      <c r="U161" s="16"/>
      <c r="V161" s="16"/>
      <c r="W161" s="15"/>
      <c r="X161" s="15"/>
      <c r="Y161" s="15"/>
      <c r="Z161" s="15"/>
    </row>
    <row r="162" customHeight="1" spans="1:26">
      <c r="A162" s="17"/>
      <c r="B162" s="15"/>
      <c r="C162" s="15"/>
      <c r="D162" s="15"/>
      <c r="E162" s="15"/>
      <c r="F162" s="15"/>
      <c r="G162" s="15"/>
      <c r="H162" s="16"/>
      <c r="I162" s="16"/>
      <c r="J162" s="16"/>
      <c r="K162" s="16"/>
      <c r="L162" s="16"/>
      <c r="M162" s="16"/>
      <c r="N162" s="16"/>
      <c r="O162" s="16"/>
      <c r="P162" s="16"/>
      <c r="Q162" s="16"/>
      <c r="R162" s="16"/>
      <c r="S162" s="16"/>
      <c r="T162" s="16"/>
      <c r="U162" s="16"/>
      <c r="V162" s="16"/>
      <c r="W162" s="15"/>
      <c r="X162" s="15"/>
      <c r="Y162" s="15"/>
      <c r="Z162" s="15"/>
    </row>
    <row r="163" customHeight="1" spans="1:26">
      <c r="A163" s="17"/>
      <c r="B163" s="15"/>
      <c r="C163" s="15"/>
      <c r="D163" s="15"/>
      <c r="E163" s="15"/>
      <c r="F163" s="15"/>
      <c r="G163" s="15"/>
      <c r="H163" s="16"/>
      <c r="I163" s="16"/>
      <c r="J163" s="16"/>
      <c r="K163" s="16"/>
      <c r="L163" s="16"/>
      <c r="M163" s="16"/>
      <c r="N163" s="16"/>
      <c r="O163" s="16"/>
      <c r="P163" s="16"/>
      <c r="Q163" s="16"/>
      <c r="R163" s="16"/>
      <c r="S163" s="16"/>
      <c r="T163" s="16"/>
      <c r="U163" s="16"/>
      <c r="V163" s="16"/>
      <c r="W163" s="15"/>
      <c r="X163" s="15"/>
      <c r="Y163" s="15"/>
      <c r="Z163" s="15"/>
    </row>
    <row r="164" customHeight="1" spans="1:26">
      <c r="A164" s="17"/>
      <c r="B164" s="15"/>
      <c r="C164" s="15"/>
      <c r="D164" s="15"/>
      <c r="E164" s="15"/>
      <c r="F164" s="15"/>
      <c r="G164" s="15"/>
      <c r="H164" s="16"/>
      <c r="I164" s="16"/>
      <c r="J164" s="16"/>
      <c r="K164" s="16"/>
      <c r="L164" s="16"/>
      <c r="M164" s="16"/>
      <c r="N164" s="16"/>
      <c r="O164" s="16"/>
      <c r="P164" s="16"/>
      <c r="Q164" s="16"/>
      <c r="R164" s="16"/>
      <c r="S164" s="16"/>
      <c r="T164" s="16"/>
      <c r="U164" s="16"/>
      <c r="V164" s="16"/>
      <c r="W164" s="15"/>
      <c r="X164" s="15"/>
      <c r="Y164" s="15"/>
      <c r="Z164" s="15"/>
    </row>
    <row r="165" customHeight="1" spans="1:26">
      <c r="A165" s="17"/>
      <c r="B165" s="15"/>
      <c r="C165" s="15"/>
      <c r="D165" s="15"/>
      <c r="E165" s="15"/>
      <c r="F165" s="15"/>
      <c r="G165" s="15"/>
      <c r="H165" s="16"/>
      <c r="I165" s="16"/>
      <c r="J165" s="16"/>
      <c r="K165" s="16"/>
      <c r="L165" s="16"/>
      <c r="M165" s="16"/>
      <c r="N165" s="16"/>
      <c r="O165" s="16"/>
      <c r="P165" s="16"/>
      <c r="Q165" s="16"/>
      <c r="R165" s="16"/>
      <c r="S165" s="16"/>
      <c r="T165" s="16"/>
      <c r="U165" s="16"/>
      <c r="V165" s="16"/>
      <c r="W165" s="15"/>
      <c r="X165" s="15"/>
      <c r="Y165" s="15"/>
      <c r="Z165" s="15"/>
    </row>
    <row r="166" customHeight="1" spans="1:26">
      <c r="A166" s="17"/>
      <c r="B166" s="15"/>
      <c r="C166" s="15"/>
      <c r="D166" s="15"/>
      <c r="E166" s="15"/>
      <c r="F166" s="15"/>
      <c r="G166" s="15"/>
      <c r="H166" s="16"/>
      <c r="I166" s="16"/>
      <c r="J166" s="16"/>
      <c r="K166" s="16"/>
      <c r="L166" s="16"/>
      <c r="M166" s="16"/>
      <c r="N166" s="16"/>
      <c r="O166" s="16"/>
      <c r="P166" s="16"/>
      <c r="Q166" s="16"/>
      <c r="R166" s="16"/>
      <c r="S166" s="16"/>
      <c r="T166" s="16"/>
      <c r="U166" s="16"/>
      <c r="V166" s="16"/>
      <c r="W166" s="15"/>
      <c r="X166" s="15"/>
      <c r="Y166" s="15"/>
      <c r="Z166" s="15"/>
    </row>
    <row r="167" customHeight="1" spans="1:26">
      <c r="A167" s="17"/>
      <c r="B167" s="15"/>
      <c r="C167" s="15"/>
      <c r="D167" s="15"/>
      <c r="E167" s="15"/>
      <c r="F167" s="15"/>
      <c r="G167" s="15"/>
      <c r="H167" s="16"/>
      <c r="I167" s="16"/>
      <c r="J167" s="16"/>
      <c r="K167" s="16"/>
      <c r="L167" s="16"/>
      <c r="M167" s="16"/>
      <c r="N167" s="16"/>
      <c r="O167" s="16"/>
      <c r="P167" s="16"/>
      <c r="Q167" s="16"/>
      <c r="R167" s="16"/>
      <c r="S167" s="16"/>
      <c r="T167" s="16"/>
      <c r="U167" s="16"/>
      <c r="V167" s="16"/>
      <c r="W167" s="15"/>
      <c r="X167" s="15"/>
      <c r="Y167" s="15"/>
      <c r="Z167" s="15"/>
    </row>
    <row r="168" customHeight="1" spans="1:26">
      <c r="A168" s="17"/>
      <c r="B168" s="15"/>
      <c r="C168" s="15"/>
      <c r="D168" s="15"/>
      <c r="E168" s="15"/>
      <c r="F168" s="15"/>
      <c r="G168" s="15"/>
      <c r="H168" s="16"/>
      <c r="I168" s="16"/>
      <c r="J168" s="16"/>
      <c r="K168" s="16"/>
      <c r="L168" s="16"/>
      <c r="M168" s="16"/>
      <c r="N168" s="16"/>
      <c r="O168" s="16"/>
      <c r="P168" s="16"/>
      <c r="Q168" s="16"/>
      <c r="R168" s="16"/>
      <c r="S168" s="16"/>
      <c r="T168" s="16"/>
      <c r="U168" s="16"/>
      <c r="V168" s="16"/>
      <c r="W168" s="15"/>
      <c r="X168" s="15"/>
      <c r="Y168" s="15"/>
      <c r="Z168" s="15"/>
    </row>
    <row r="169" customHeight="1" spans="1:26">
      <c r="A169" s="17"/>
      <c r="B169" s="15"/>
      <c r="C169" s="15"/>
      <c r="D169" s="15"/>
      <c r="E169" s="15"/>
      <c r="F169" s="15"/>
      <c r="G169" s="15"/>
      <c r="H169" s="16"/>
      <c r="I169" s="16"/>
      <c r="J169" s="16"/>
      <c r="K169" s="16"/>
      <c r="L169" s="16"/>
      <c r="M169" s="16"/>
      <c r="N169" s="16"/>
      <c r="O169" s="16"/>
      <c r="P169" s="16"/>
      <c r="Q169" s="16"/>
      <c r="R169" s="16"/>
      <c r="S169" s="16"/>
      <c r="T169" s="16"/>
      <c r="U169" s="16"/>
      <c r="V169" s="16"/>
      <c r="W169" s="15"/>
      <c r="X169" s="15"/>
      <c r="Y169" s="15"/>
      <c r="Z169" s="15"/>
    </row>
    <row r="170" customHeight="1" spans="1:26">
      <c r="A170" s="17"/>
      <c r="B170" s="15"/>
      <c r="C170" s="15"/>
      <c r="D170" s="15"/>
      <c r="E170" s="15"/>
      <c r="F170" s="15"/>
      <c r="G170" s="15"/>
      <c r="H170" s="16"/>
      <c r="I170" s="16"/>
      <c r="J170" s="16"/>
      <c r="K170" s="16"/>
      <c r="L170" s="16"/>
      <c r="M170" s="16"/>
      <c r="N170" s="16"/>
      <c r="O170" s="16"/>
      <c r="P170" s="16"/>
      <c r="Q170" s="16"/>
      <c r="R170" s="16"/>
      <c r="S170" s="16"/>
      <c r="T170" s="16"/>
      <c r="U170" s="16"/>
      <c r="V170" s="16"/>
      <c r="W170" s="15"/>
      <c r="X170" s="15"/>
      <c r="Y170" s="15"/>
      <c r="Z170" s="15"/>
    </row>
    <row r="171" customHeight="1" spans="1:26">
      <c r="A171" s="17"/>
      <c r="B171" s="15"/>
      <c r="C171" s="15"/>
      <c r="D171" s="15"/>
      <c r="E171" s="15"/>
      <c r="F171" s="15"/>
      <c r="G171" s="15"/>
      <c r="H171" s="16"/>
      <c r="I171" s="16"/>
      <c r="J171" s="16"/>
      <c r="K171" s="16"/>
      <c r="L171" s="16"/>
      <c r="M171" s="16"/>
      <c r="N171" s="16"/>
      <c r="O171" s="16"/>
      <c r="P171" s="16"/>
      <c r="Q171" s="16"/>
      <c r="R171" s="16"/>
      <c r="S171" s="16"/>
      <c r="T171" s="16"/>
      <c r="U171" s="16"/>
      <c r="V171" s="16"/>
      <c r="W171" s="15"/>
      <c r="X171" s="15"/>
      <c r="Y171" s="15"/>
      <c r="Z171" s="15"/>
    </row>
    <row r="172" customHeight="1" spans="1:26">
      <c r="A172" s="17"/>
      <c r="B172" s="15"/>
      <c r="C172" s="15"/>
      <c r="D172" s="15"/>
      <c r="E172" s="15"/>
      <c r="F172" s="15"/>
      <c r="G172" s="15"/>
      <c r="H172" s="16"/>
      <c r="I172" s="16"/>
      <c r="J172" s="16"/>
      <c r="K172" s="16"/>
      <c r="L172" s="16"/>
      <c r="M172" s="16"/>
      <c r="N172" s="16"/>
      <c r="O172" s="16"/>
      <c r="P172" s="16"/>
      <c r="Q172" s="16"/>
      <c r="R172" s="16"/>
      <c r="S172" s="16"/>
      <c r="T172" s="16"/>
      <c r="U172" s="16"/>
      <c r="V172" s="16"/>
      <c r="W172" s="15"/>
      <c r="X172" s="15"/>
      <c r="Y172" s="15"/>
      <c r="Z172" s="15"/>
    </row>
    <row r="173" customHeight="1" spans="1:26">
      <c r="A173" s="17"/>
      <c r="B173" s="15"/>
      <c r="C173" s="15"/>
      <c r="D173" s="15"/>
      <c r="E173" s="15"/>
      <c r="F173" s="15"/>
      <c r="G173" s="15"/>
      <c r="H173" s="16"/>
      <c r="I173" s="16"/>
      <c r="J173" s="16"/>
      <c r="K173" s="16"/>
      <c r="L173" s="16"/>
      <c r="M173" s="16"/>
      <c r="N173" s="16"/>
      <c r="O173" s="16"/>
      <c r="P173" s="16"/>
      <c r="Q173" s="16"/>
      <c r="R173" s="16"/>
      <c r="S173" s="16"/>
      <c r="T173" s="16"/>
      <c r="U173" s="16"/>
      <c r="V173" s="16"/>
      <c r="W173" s="15"/>
      <c r="X173" s="15"/>
      <c r="Y173" s="15"/>
      <c r="Z173" s="15"/>
    </row>
    <row r="174" customHeight="1" spans="1:26">
      <c r="A174" s="17"/>
      <c r="B174" s="15"/>
      <c r="C174" s="15"/>
      <c r="D174" s="15"/>
      <c r="E174" s="15"/>
      <c r="F174" s="15"/>
      <c r="G174" s="15"/>
      <c r="H174" s="16"/>
      <c r="I174" s="16"/>
      <c r="J174" s="16"/>
      <c r="K174" s="16"/>
      <c r="L174" s="16"/>
      <c r="M174" s="16"/>
      <c r="N174" s="16"/>
      <c r="O174" s="16"/>
      <c r="P174" s="16"/>
      <c r="Q174" s="16"/>
      <c r="R174" s="16"/>
      <c r="S174" s="16"/>
      <c r="T174" s="16"/>
      <c r="U174" s="16"/>
      <c r="V174" s="16"/>
      <c r="W174" s="15"/>
      <c r="X174" s="15"/>
      <c r="Y174" s="15"/>
      <c r="Z174" s="15"/>
    </row>
    <row r="175" customHeight="1" spans="1:26">
      <c r="A175" s="17"/>
      <c r="B175" s="15"/>
      <c r="C175" s="15"/>
      <c r="D175" s="15"/>
      <c r="E175" s="15"/>
      <c r="F175" s="15"/>
      <c r="G175" s="15"/>
      <c r="H175" s="16"/>
      <c r="I175" s="16"/>
      <c r="J175" s="16"/>
      <c r="K175" s="16"/>
      <c r="L175" s="16"/>
      <c r="M175" s="16"/>
      <c r="N175" s="16"/>
      <c r="O175" s="16"/>
      <c r="P175" s="16"/>
      <c r="Q175" s="16"/>
      <c r="R175" s="16"/>
      <c r="S175" s="16"/>
      <c r="T175" s="16"/>
      <c r="U175" s="16"/>
      <c r="V175" s="16"/>
      <c r="W175" s="15"/>
      <c r="X175" s="15"/>
      <c r="Y175" s="15"/>
      <c r="Z175" s="15"/>
    </row>
    <row r="176" customHeight="1" spans="1:26">
      <c r="A176" s="17"/>
      <c r="B176" s="15"/>
      <c r="C176" s="15"/>
      <c r="D176" s="15"/>
      <c r="E176" s="15"/>
      <c r="F176" s="15"/>
      <c r="G176" s="15"/>
      <c r="H176" s="16"/>
      <c r="I176" s="16"/>
      <c r="J176" s="16"/>
      <c r="K176" s="16"/>
      <c r="L176" s="16"/>
      <c r="M176" s="16"/>
      <c r="N176" s="16"/>
      <c r="O176" s="16"/>
      <c r="P176" s="16"/>
      <c r="Q176" s="16"/>
      <c r="R176" s="16"/>
      <c r="S176" s="16"/>
      <c r="T176" s="16"/>
      <c r="U176" s="16"/>
      <c r="V176" s="16"/>
      <c r="W176" s="15"/>
      <c r="X176" s="15"/>
      <c r="Y176" s="15"/>
      <c r="Z176" s="15"/>
    </row>
    <row r="177" customHeight="1" spans="1:26">
      <c r="A177" s="17"/>
      <c r="B177" s="15"/>
      <c r="C177" s="15"/>
      <c r="D177" s="15"/>
      <c r="E177" s="15"/>
      <c r="F177" s="15"/>
      <c r="G177" s="15"/>
      <c r="H177" s="16"/>
      <c r="I177" s="16"/>
      <c r="J177" s="16"/>
      <c r="K177" s="16"/>
      <c r="L177" s="16"/>
      <c r="M177" s="16"/>
      <c r="N177" s="16"/>
      <c r="O177" s="16"/>
      <c r="P177" s="16"/>
      <c r="Q177" s="16"/>
      <c r="R177" s="16"/>
      <c r="S177" s="16"/>
      <c r="T177" s="16"/>
      <c r="U177" s="16"/>
      <c r="V177" s="16"/>
      <c r="W177" s="15"/>
      <c r="X177" s="15"/>
      <c r="Y177" s="15"/>
      <c r="Z177" s="15"/>
    </row>
    <row r="178" customHeight="1" spans="1:26">
      <c r="A178" s="17"/>
      <c r="B178" s="15"/>
      <c r="C178" s="15"/>
      <c r="D178" s="15"/>
      <c r="E178" s="15"/>
      <c r="F178" s="15"/>
      <c r="G178" s="15"/>
      <c r="H178" s="16"/>
      <c r="I178" s="16"/>
      <c r="J178" s="16"/>
      <c r="K178" s="16"/>
      <c r="L178" s="16"/>
      <c r="M178" s="16"/>
      <c r="N178" s="16"/>
      <c r="O178" s="16"/>
      <c r="P178" s="16"/>
      <c r="Q178" s="16"/>
      <c r="R178" s="16"/>
      <c r="S178" s="16"/>
      <c r="T178" s="16"/>
      <c r="U178" s="16"/>
      <c r="V178" s="16"/>
      <c r="W178" s="15"/>
      <c r="X178" s="15"/>
      <c r="Y178" s="15"/>
      <c r="Z178" s="15"/>
    </row>
    <row r="179" customHeight="1" spans="1:26">
      <c r="A179" s="17"/>
      <c r="B179" s="15"/>
      <c r="C179" s="15"/>
      <c r="D179" s="15"/>
      <c r="E179" s="15"/>
      <c r="F179" s="15"/>
      <c r="G179" s="15"/>
      <c r="H179" s="16"/>
      <c r="I179" s="16"/>
      <c r="J179" s="16"/>
      <c r="K179" s="16"/>
      <c r="L179" s="16"/>
      <c r="M179" s="16"/>
      <c r="N179" s="16"/>
      <c r="O179" s="16"/>
      <c r="P179" s="16"/>
      <c r="Q179" s="16"/>
      <c r="R179" s="16"/>
      <c r="S179" s="16"/>
      <c r="T179" s="16"/>
      <c r="U179" s="16"/>
      <c r="V179" s="16"/>
      <c r="W179" s="15"/>
      <c r="X179" s="15"/>
      <c r="Y179" s="15"/>
      <c r="Z179" s="15"/>
    </row>
    <row r="180" customHeight="1" spans="1:26">
      <c r="A180" s="17"/>
      <c r="B180" s="15"/>
      <c r="C180" s="15"/>
      <c r="D180" s="15"/>
      <c r="E180" s="15"/>
      <c r="F180" s="15"/>
      <c r="G180" s="15"/>
      <c r="H180" s="16"/>
      <c r="I180" s="16"/>
      <c r="J180" s="16"/>
      <c r="K180" s="16"/>
      <c r="L180" s="16"/>
      <c r="M180" s="16"/>
      <c r="N180" s="16"/>
      <c r="O180" s="16"/>
      <c r="P180" s="16"/>
      <c r="Q180" s="16"/>
      <c r="R180" s="16"/>
      <c r="S180" s="16"/>
      <c r="T180" s="16"/>
      <c r="U180" s="16"/>
      <c r="V180" s="16"/>
      <c r="W180" s="15"/>
      <c r="X180" s="15"/>
      <c r="Y180" s="15"/>
      <c r="Z180" s="15"/>
    </row>
    <row r="181" customHeight="1" spans="1:26">
      <c r="A181" s="17"/>
      <c r="B181" s="15"/>
      <c r="C181" s="15"/>
      <c r="D181" s="15"/>
      <c r="E181" s="15"/>
      <c r="F181" s="15"/>
      <c r="G181" s="15"/>
      <c r="H181" s="16"/>
      <c r="I181" s="16"/>
      <c r="J181" s="16"/>
      <c r="K181" s="16"/>
      <c r="L181" s="16"/>
      <c r="M181" s="16"/>
      <c r="N181" s="16"/>
      <c r="O181" s="16"/>
      <c r="P181" s="16"/>
      <c r="Q181" s="16"/>
      <c r="R181" s="16"/>
      <c r="S181" s="16"/>
      <c r="T181" s="16"/>
      <c r="U181" s="16"/>
      <c r="V181" s="16"/>
      <c r="W181" s="15"/>
      <c r="X181" s="15"/>
      <c r="Y181" s="15"/>
      <c r="Z181" s="15"/>
    </row>
    <row r="182" customHeight="1" spans="1:26">
      <c r="A182" s="17"/>
      <c r="B182" s="15"/>
      <c r="C182" s="15"/>
      <c r="D182" s="15"/>
      <c r="E182" s="15"/>
      <c r="F182" s="15"/>
      <c r="G182" s="15"/>
      <c r="H182" s="16"/>
      <c r="I182" s="16"/>
      <c r="J182" s="16"/>
      <c r="K182" s="16"/>
      <c r="L182" s="16"/>
      <c r="M182" s="16"/>
      <c r="N182" s="16"/>
      <c r="O182" s="16"/>
      <c r="P182" s="16"/>
      <c r="Q182" s="16"/>
      <c r="R182" s="16"/>
      <c r="S182" s="16"/>
      <c r="T182" s="16"/>
      <c r="U182" s="16"/>
      <c r="V182" s="16"/>
      <c r="W182" s="15"/>
      <c r="X182" s="15"/>
      <c r="Y182" s="15"/>
      <c r="Z182" s="15"/>
    </row>
    <row r="183" customHeight="1" spans="1:26">
      <c r="A183" s="17"/>
      <c r="B183" s="15"/>
      <c r="C183" s="15"/>
      <c r="D183" s="15"/>
      <c r="E183" s="15"/>
      <c r="F183" s="15"/>
      <c r="G183" s="15"/>
      <c r="H183" s="16"/>
      <c r="I183" s="16"/>
      <c r="J183" s="16"/>
      <c r="K183" s="16"/>
      <c r="L183" s="16"/>
      <c r="M183" s="16"/>
      <c r="N183" s="16"/>
      <c r="O183" s="16"/>
      <c r="P183" s="16"/>
      <c r="Q183" s="16"/>
      <c r="R183" s="16"/>
      <c r="S183" s="16"/>
      <c r="T183" s="16"/>
      <c r="U183" s="16"/>
      <c r="V183" s="16"/>
      <c r="W183" s="15"/>
      <c r="X183" s="15"/>
      <c r="Y183" s="15"/>
      <c r="Z183" s="15"/>
    </row>
    <row r="184" customHeight="1" spans="1:26">
      <c r="A184" s="17"/>
      <c r="B184" s="15"/>
      <c r="C184" s="15"/>
      <c r="D184" s="15"/>
      <c r="E184" s="15"/>
      <c r="F184" s="15"/>
      <c r="G184" s="15"/>
      <c r="H184" s="16"/>
      <c r="I184" s="16"/>
      <c r="J184" s="16"/>
      <c r="K184" s="16"/>
      <c r="L184" s="16"/>
      <c r="M184" s="16"/>
      <c r="N184" s="16"/>
      <c r="O184" s="16"/>
      <c r="P184" s="16"/>
      <c r="Q184" s="16"/>
      <c r="R184" s="16"/>
      <c r="S184" s="16"/>
      <c r="T184" s="16"/>
      <c r="U184" s="16"/>
      <c r="V184" s="16"/>
      <c r="W184" s="15"/>
      <c r="X184" s="15"/>
      <c r="Y184" s="15"/>
      <c r="Z184" s="15"/>
    </row>
    <row r="185" customHeight="1" spans="1:26">
      <c r="A185" s="17"/>
      <c r="B185" s="15"/>
      <c r="C185" s="15"/>
      <c r="D185" s="15"/>
      <c r="E185" s="15"/>
      <c r="F185" s="15"/>
      <c r="G185" s="15"/>
      <c r="H185" s="16"/>
      <c r="I185" s="16"/>
      <c r="J185" s="16"/>
      <c r="K185" s="16"/>
      <c r="L185" s="16"/>
      <c r="M185" s="16"/>
      <c r="N185" s="16"/>
      <c r="O185" s="16"/>
      <c r="P185" s="16"/>
      <c r="Q185" s="16"/>
      <c r="R185" s="16"/>
      <c r="S185" s="16"/>
      <c r="T185" s="16"/>
      <c r="U185" s="16"/>
      <c r="V185" s="16"/>
      <c r="W185" s="15"/>
      <c r="X185" s="15"/>
      <c r="Y185" s="15"/>
      <c r="Z185" s="15"/>
    </row>
    <row r="186" customHeight="1" spans="1:26">
      <c r="A186" s="17"/>
      <c r="B186" s="15"/>
      <c r="C186" s="15"/>
      <c r="D186" s="15"/>
      <c r="E186" s="15"/>
      <c r="F186" s="15"/>
      <c r="G186" s="15"/>
      <c r="H186" s="16"/>
      <c r="I186" s="16"/>
      <c r="J186" s="16"/>
      <c r="K186" s="16"/>
      <c r="L186" s="16"/>
      <c r="M186" s="16"/>
      <c r="N186" s="16"/>
      <c r="O186" s="16"/>
      <c r="P186" s="16"/>
      <c r="Q186" s="16"/>
      <c r="R186" s="16"/>
      <c r="S186" s="16"/>
      <c r="T186" s="16"/>
      <c r="U186" s="16"/>
      <c r="V186" s="16"/>
      <c r="W186" s="15"/>
      <c r="X186" s="15"/>
      <c r="Y186" s="15"/>
      <c r="Z186" s="15"/>
    </row>
    <row r="187" customHeight="1" spans="1:26">
      <c r="A187" s="17"/>
      <c r="B187" s="15"/>
      <c r="C187" s="15"/>
      <c r="D187" s="15"/>
      <c r="E187" s="15"/>
      <c r="F187" s="15"/>
      <c r="G187" s="15"/>
      <c r="H187" s="16"/>
      <c r="I187" s="16"/>
      <c r="J187" s="16"/>
      <c r="K187" s="16"/>
      <c r="L187" s="16"/>
      <c r="M187" s="16"/>
      <c r="N187" s="16"/>
      <c r="O187" s="16"/>
      <c r="P187" s="16"/>
      <c r="Q187" s="16"/>
      <c r="R187" s="16"/>
      <c r="S187" s="16"/>
      <c r="T187" s="16"/>
      <c r="U187" s="16"/>
      <c r="V187" s="16"/>
      <c r="W187" s="15"/>
      <c r="X187" s="15"/>
      <c r="Y187" s="15"/>
      <c r="Z187" s="15"/>
    </row>
    <row r="188" customHeight="1" spans="1:26">
      <c r="A188" s="17"/>
      <c r="B188" s="15"/>
      <c r="C188" s="15"/>
      <c r="D188" s="15"/>
      <c r="E188" s="15"/>
      <c r="F188" s="15"/>
      <c r="G188" s="15"/>
      <c r="H188" s="16"/>
      <c r="I188" s="16"/>
      <c r="J188" s="16"/>
      <c r="K188" s="16"/>
      <c r="L188" s="16"/>
      <c r="M188" s="16"/>
      <c r="N188" s="16"/>
      <c r="O188" s="16"/>
      <c r="P188" s="16"/>
      <c r="Q188" s="16"/>
      <c r="R188" s="16"/>
      <c r="S188" s="16"/>
      <c r="T188" s="16"/>
      <c r="U188" s="16"/>
      <c r="V188" s="16"/>
      <c r="W188" s="15"/>
      <c r="X188" s="15"/>
      <c r="Y188" s="15"/>
      <c r="Z188" s="15"/>
    </row>
    <row r="189" customHeight="1" spans="1:26">
      <c r="A189" s="17"/>
      <c r="B189" s="15"/>
      <c r="C189" s="15"/>
      <c r="D189" s="15"/>
      <c r="E189" s="15"/>
      <c r="F189" s="15"/>
      <c r="G189" s="15"/>
      <c r="H189" s="16"/>
      <c r="I189" s="16"/>
      <c r="J189" s="16"/>
      <c r="K189" s="16"/>
      <c r="L189" s="16"/>
      <c r="M189" s="16"/>
      <c r="N189" s="16"/>
      <c r="O189" s="16"/>
      <c r="P189" s="16"/>
      <c r="Q189" s="16"/>
      <c r="R189" s="16"/>
      <c r="S189" s="16"/>
      <c r="T189" s="16"/>
      <c r="U189" s="16"/>
      <c r="V189" s="16"/>
      <c r="W189" s="15"/>
      <c r="X189" s="15"/>
      <c r="Y189" s="15"/>
      <c r="Z189" s="15"/>
    </row>
    <row r="190" customHeight="1" spans="1:26">
      <c r="A190" s="17"/>
      <c r="B190" s="15"/>
      <c r="C190" s="15"/>
      <c r="D190" s="15"/>
      <c r="E190" s="15"/>
      <c r="F190" s="15"/>
      <c r="G190" s="15"/>
      <c r="H190" s="16"/>
      <c r="I190" s="16"/>
      <c r="J190" s="16"/>
      <c r="K190" s="16"/>
      <c r="L190" s="16"/>
      <c r="M190" s="16"/>
      <c r="N190" s="16"/>
      <c r="O190" s="16"/>
      <c r="P190" s="16"/>
      <c r="Q190" s="16"/>
      <c r="R190" s="16"/>
      <c r="S190" s="16"/>
      <c r="T190" s="16"/>
      <c r="U190" s="16"/>
      <c r="V190" s="16"/>
      <c r="W190" s="15"/>
      <c r="X190" s="15"/>
      <c r="Y190" s="15"/>
      <c r="Z190" s="15"/>
    </row>
    <row r="191" customHeight="1" spans="1:26">
      <c r="A191" s="17"/>
      <c r="B191" s="15"/>
      <c r="C191" s="15"/>
      <c r="D191" s="15"/>
      <c r="E191" s="15"/>
      <c r="F191" s="15"/>
      <c r="G191" s="15"/>
      <c r="H191" s="16"/>
      <c r="I191" s="16"/>
      <c r="J191" s="16"/>
      <c r="K191" s="16"/>
      <c r="L191" s="16"/>
      <c r="M191" s="16"/>
      <c r="N191" s="16"/>
      <c r="O191" s="16"/>
      <c r="P191" s="16"/>
      <c r="Q191" s="16"/>
      <c r="R191" s="16"/>
      <c r="S191" s="16"/>
      <c r="T191" s="16"/>
      <c r="U191" s="16"/>
      <c r="V191" s="16"/>
      <c r="W191" s="15"/>
      <c r="X191" s="15"/>
      <c r="Y191" s="15"/>
      <c r="Z191" s="15"/>
    </row>
    <row r="192" customHeight="1" spans="1:26">
      <c r="A192" s="17"/>
      <c r="B192" s="15"/>
      <c r="C192" s="15"/>
      <c r="D192" s="15"/>
      <c r="E192" s="15"/>
      <c r="F192" s="15"/>
      <c r="G192" s="15"/>
      <c r="H192" s="16"/>
      <c r="I192" s="16"/>
      <c r="J192" s="16"/>
      <c r="K192" s="16"/>
      <c r="L192" s="16"/>
      <c r="M192" s="16"/>
      <c r="N192" s="16"/>
      <c r="O192" s="16"/>
      <c r="P192" s="16"/>
      <c r="Q192" s="16"/>
      <c r="R192" s="16"/>
      <c r="S192" s="16"/>
      <c r="T192" s="16"/>
      <c r="U192" s="16"/>
      <c r="V192" s="16"/>
      <c r="W192" s="15"/>
      <c r="X192" s="15"/>
      <c r="Y192" s="15"/>
      <c r="Z192" s="15"/>
    </row>
    <row r="193" customHeight="1" spans="1:26">
      <c r="A193" s="17"/>
      <c r="B193" s="15"/>
      <c r="C193" s="15"/>
      <c r="D193" s="15"/>
      <c r="E193" s="15"/>
      <c r="F193" s="15"/>
      <c r="G193" s="15"/>
      <c r="H193" s="16"/>
      <c r="I193" s="16"/>
      <c r="J193" s="16"/>
      <c r="K193" s="16"/>
      <c r="L193" s="16"/>
      <c r="M193" s="16"/>
      <c r="N193" s="16"/>
      <c r="O193" s="16"/>
      <c r="P193" s="16"/>
      <c r="Q193" s="16"/>
      <c r="R193" s="16"/>
      <c r="S193" s="16"/>
      <c r="T193" s="16"/>
      <c r="U193" s="16"/>
      <c r="V193" s="16"/>
      <c r="W193" s="15"/>
      <c r="X193" s="15"/>
      <c r="Y193" s="15"/>
      <c r="Z193" s="15"/>
    </row>
    <row r="194" customHeight="1" spans="1:26">
      <c r="A194" s="17"/>
      <c r="B194" s="15"/>
      <c r="C194" s="15"/>
      <c r="D194" s="15"/>
      <c r="E194" s="15"/>
      <c r="F194" s="15"/>
      <c r="G194" s="15"/>
      <c r="H194" s="16"/>
      <c r="I194" s="16"/>
      <c r="J194" s="16"/>
      <c r="K194" s="16"/>
      <c r="L194" s="16"/>
      <c r="M194" s="16"/>
      <c r="N194" s="16"/>
      <c r="O194" s="16"/>
      <c r="P194" s="16"/>
      <c r="Q194" s="16"/>
      <c r="R194" s="16"/>
      <c r="S194" s="16"/>
      <c r="T194" s="16"/>
      <c r="U194" s="16"/>
      <c r="V194" s="16"/>
      <c r="W194" s="15"/>
      <c r="X194" s="15"/>
      <c r="Y194" s="15"/>
      <c r="Z194" s="15"/>
    </row>
    <row r="195" customHeight="1" spans="1:26">
      <c r="A195" s="17"/>
      <c r="B195" s="15"/>
      <c r="C195" s="15"/>
      <c r="D195" s="15"/>
      <c r="E195" s="15"/>
      <c r="F195" s="15"/>
      <c r="G195" s="15"/>
      <c r="H195" s="16"/>
      <c r="I195" s="16"/>
      <c r="J195" s="16"/>
      <c r="K195" s="16"/>
      <c r="L195" s="16"/>
      <c r="M195" s="16"/>
      <c r="N195" s="16"/>
      <c r="O195" s="16"/>
      <c r="P195" s="16"/>
      <c r="Q195" s="16"/>
      <c r="R195" s="16"/>
      <c r="S195" s="16"/>
      <c r="T195" s="16"/>
      <c r="U195" s="16"/>
      <c r="V195" s="16"/>
      <c r="W195" s="15"/>
      <c r="X195" s="15"/>
      <c r="Y195" s="15"/>
      <c r="Z195" s="15"/>
    </row>
    <row r="196" customHeight="1" spans="1:26">
      <c r="A196" s="17"/>
      <c r="B196" s="15"/>
      <c r="C196" s="15"/>
      <c r="D196" s="15"/>
      <c r="E196" s="15"/>
      <c r="F196" s="15"/>
      <c r="G196" s="15"/>
      <c r="H196" s="16"/>
      <c r="I196" s="16"/>
      <c r="J196" s="16"/>
      <c r="K196" s="16"/>
      <c r="L196" s="16"/>
      <c r="M196" s="16"/>
      <c r="N196" s="16"/>
      <c r="O196" s="16"/>
      <c r="P196" s="16"/>
      <c r="Q196" s="16"/>
      <c r="R196" s="16"/>
      <c r="S196" s="16"/>
      <c r="T196" s="16"/>
      <c r="U196" s="16"/>
      <c r="V196" s="16"/>
      <c r="W196" s="15"/>
      <c r="X196" s="15"/>
      <c r="Y196" s="15"/>
      <c r="Z196" s="15"/>
    </row>
    <row r="197" customHeight="1" spans="1:26">
      <c r="A197" s="17"/>
      <c r="B197" s="15"/>
      <c r="C197" s="15"/>
      <c r="D197" s="15"/>
      <c r="E197" s="15"/>
      <c r="F197" s="15"/>
      <c r="G197" s="15"/>
      <c r="H197" s="16"/>
      <c r="I197" s="16"/>
      <c r="J197" s="16"/>
      <c r="K197" s="16"/>
      <c r="L197" s="16"/>
      <c r="M197" s="16"/>
      <c r="N197" s="16"/>
      <c r="O197" s="16"/>
      <c r="P197" s="16"/>
      <c r="Q197" s="16"/>
      <c r="R197" s="16"/>
      <c r="S197" s="16"/>
      <c r="T197" s="16"/>
      <c r="U197" s="16"/>
      <c r="V197" s="16"/>
      <c r="W197" s="15"/>
      <c r="X197" s="15"/>
      <c r="Y197" s="15"/>
      <c r="Z197" s="15"/>
    </row>
    <row r="198" customHeight="1" spans="1:26">
      <c r="A198" s="17"/>
      <c r="B198" s="15"/>
      <c r="C198" s="15"/>
      <c r="D198" s="15"/>
      <c r="E198" s="15"/>
      <c r="F198" s="15"/>
      <c r="G198" s="15"/>
      <c r="H198" s="16"/>
      <c r="I198" s="16"/>
      <c r="J198" s="16"/>
      <c r="K198" s="16"/>
      <c r="L198" s="16"/>
      <c r="M198" s="16"/>
      <c r="N198" s="16"/>
      <c r="O198" s="16"/>
      <c r="P198" s="16"/>
      <c r="Q198" s="16"/>
      <c r="R198" s="16"/>
      <c r="S198" s="16"/>
      <c r="T198" s="16"/>
      <c r="U198" s="16"/>
      <c r="V198" s="16"/>
      <c r="W198" s="15"/>
      <c r="X198" s="15"/>
      <c r="Y198" s="15"/>
      <c r="Z198" s="15"/>
    </row>
    <row r="199" customHeight="1" spans="1:26">
      <c r="A199" s="17"/>
      <c r="B199" s="15"/>
      <c r="C199" s="15"/>
      <c r="D199" s="15"/>
      <c r="E199" s="15"/>
      <c r="F199" s="15"/>
      <c r="G199" s="15"/>
      <c r="H199" s="16"/>
      <c r="I199" s="16"/>
      <c r="J199" s="16"/>
      <c r="K199" s="16"/>
      <c r="L199" s="16"/>
      <c r="M199" s="16"/>
      <c r="N199" s="16"/>
      <c r="O199" s="16"/>
      <c r="P199" s="16"/>
      <c r="Q199" s="16"/>
      <c r="R199" s="16"/>
      <c r="S199" s="16"/>
      <c r="T199" s="16"/>
      <c r="U199" s="16"/>
      <c r="V199" s="16"/>
      <c r="W199" s="15"/>
      <c r="X199" s="15"/>
      <c r="Y199" s="15"/>
      <c r="Z199" s="15"/>
    </row>
    <row r="200" customHeight="1" spans="1:26">
      <c r="A200" s="17"/>
      <c r="B200" s="15"/>
      <c r="C200" s="15"/>
      <c r="D200" s="15"/>
      <c r="E200" s="15"/>
      <c r="F200" s="15"/>
      <c r="G200" s="15"/>
      <c r="H200" s="16"/>
      <c r="I200" s="16"/>
      <c r="J200" s="16"/>
      <c r="K200" s="16"/>
      <c r="L200" s="16"/>
      <c r="M200" s="16"/>
      <c r="N200" s="16"/>
      <c r="O200" s="16"/>
      <c r="P200" s="16"/>
      <c r="Q200" s="16"/>
      <c r="R200" s="16"/>
      <c r="S200" s="16"/>
      <c r="T200" s="16"/>
      <c r="U200" s="16"/>
      <c r="V200" s="16"/>
      <c r="W200" s="15"/>
      <c r="X200" s="15"/>
      <c r="Y200" s="15"/>
      <c r="Z200" s="15"/>
    </row>
    <row r="201" customHeight="1" spans="1:26">
      <c r="A201" s="17"/>
      <c r="B201" s="15"/>
      <c r="C201" s="15"/>
      <c r="D201" s="15"/>
      <c r="E201" s="15"/>
      <c r="F201" s="15"/>
      <c r="G201" s="15"/>
      <c r="H201" s="16"/>
      <c r="I201" s="16"/>
      <c r="J201" s="16"/>
      <c r="K201" s="16"/>
      <c r="L201" s="16"/>
      <c r="M201" s="16"/>
      <c r="N201" s="16"/>
      <c r="O201" s="16"/>
      <c r="P201" s="16"/>
      <c r="Q201" s="16"/>
      <c r="R201" s="16"/>
      <c r="S201" s="16"/>
      <c r="T201" s="16"/>
      <c r="U201" s="16"/>
      <c r="V201" s="16"/>
      <c r="W201" s="15"/>
      <c r="X201" s="15"/>
      <c r="Y201" s="15"/>
      <c r="Z201" s="15"/>
    </row>
    <row r="202" customHeight="1" spans="1:26">
      <c r="A202" s="17"/>
      <c r="B202" s="15"/>
      <c r="C202" s="15"/>
      <c r="D202" s="15"/>
      <c r="E202" s="15"/>
      <c r="F202" s="15"/>
      <c r="G202" s="15"/>
      <c r="H202" s="16"/>
      <c r="I202" s="16"/>
      <c r="J202" s="16"/>
      <c r="K202" s="16"/>
      <c r="L202" s="16"/>
      <c r="M202" s="16"/>
      <c r="N202" s="16"/>
      <c r="O202" s="16"/>
      <c r="P202" s="16"/>
      <c r="Q202" s="16"/>
      <c r="R202" s="16"/>
      <c r="S202" s="16"/>
      <c r="T202" s="16"/>
      <c r="U202" s="16"/>
      <c r="V202" s="16"/>
      <c r="W202" s="15"/>
      <c r="X202" s="15"/>
      <c r="Y202" s="15"/>
      <c r="Z202" s="15"/>
    </row>
    <row r="203" customHeight="1" spans="1:26">
      <c r="A203" s="17"/>
      <c r="B203" s="15"/>
      <c r="C203" s="15"/>
      <c r="D203" s="15"/>
      <c r="E203" s="15"/>
      <c r="F203" s="15"/>
      <c r="G203" s="15"/>
      <c r="H203" s="16"/>
      <c r="I203" s="16"/>
      <c r="J203" s="16"/>
      <c r="K203" s="16"/>
      <c r="L203" s="16"/>
      <c r="M203" s="16"/>
      <c r="N203" s="16"/>
      <c r="O203" s="16"/>
      <c r="P203" s="16"/>
      <c r="Q203" s="16"/>
      <c r="R203" s="16"/>
      <c r="S203" s="16"/>
      <c r="T203" s="16"/>
      <c r="U203" s="16"/>
      <c r="V203" s="16"/>
      <c r="W203" s="15"/>
      <c r="X203" s="15"/>
      <c r="Y203" s="15"/>
      <c r="Z203" s="15"/>
    </row>
    <row r="204" customHeight="1" spans="1:26">
      <c r="A204" s="17"/>
      <c r="B204" s="15"/>
      <c r="C204" s="15"/>
      <c r="D204" s="15"/>
      <c r="E204" s="15"/>
      <c r="F204" s="15"/>
      <c r="G204" s="15"/>
      <c r="H204" s="16"/>
      <c r="I204" s="16"/>
      <c r="J204" s="16"/>
      <c r="K204" s="16"/>
      <c r="L204" s="16"/>
      <c r="M204" s="16"/>
      <c r="N204" s="16"/>
      <c r="O204" s="16"/>
      <c r="P204" s="16"/>
      <c r="Q204" s="16"/>
      <c r="R204" s="16"/>
      <c r="S204" s="16"/>
      <c r="T204" s="16"/>
      <c r="U204" s="16"/>
      <c r="V204" s="16"/>
      <c r="W204" s="15"/>
      <c r="X204" s="15"/>
      <c r="Y204" s="15"/>
      <c r="Z204" s="15"/>
    </row>
    <row r="205" customHeight="1" spans="1:26">
      <c r="A205" s="17"/>
      <c r="B205" s="15"/>
      <c r="C205" s="15"/>
      <c r="D205" s="15"/>
      <c r="E205" s="15"/>
      <c r="F205" s="15"/>
      <c r="G205" s="15"/>
      <c r="H205" s="16"/>
      <c r="I205" s="16"/>
      <c r="J205" s="16"/>
      <c r="K205" s="16"/>
      <c r="L205" s="16"/>
      <c r="M205" s="16"/>
      <c r="N205" s="16"/>
      <c r="O205" s="16"/>
      <c r="P205" s="16"/>
      <c r="Q205" s="16"/>
      <c r="R205" s="16"/>
      <c r="S205" s="16"/>
      <c r="T205" s="16"/>
      <c r="U205" s="16"/>
      <c r="V205" s="16"/>
      <c r="W205" s="15"/>
      <c r="X205" s="15"/>
      <c r="Y205" s="15"/>
      <c r="Z205" s="15"/>
    </row>
    <row r="206" customHeight="1" spans="1:26">
      <c r="A206" s="17"/>
      <c r="B206" s="15"/>
      <c r="C206" s="15"/>
      <c r="D206" s="15"/>
      <c r="E206" s="15"/>
      <c r="F206" s="15"/>
      <c r="G206" s="15"/>
      <c r="H206" s="16"/>
      <c r="I206" s="16"/>
      <c r="J206" s="16"/>
      <c r="K206" s="16"/>
      <c r="L206" s="16"/>
      <c r="M206" s="16"/>
      <c r="N206" s="16"/>
      <c r="O206" s="16"/>
      <c r="P206" s="16"/>
      <c r="Q206" s="16"/>
      <c r="R206" s="16"/>
      <c r="S206" s="16"/>
      <c r="T206" s="16"/>
      <c r="U206" s="16"/>
      <c r="V206" s="16"/>
      <c r="W206" s="15"/>
      <c r="X206" s="15"/>
      <c r="Y206" s="15"/>
      <c r="Z206" s="15"/>
    </row>
    <row r="207" customHeight="1" spans="1:26">
      <c r="A207" s="17"/>
      <c r="B207" s="15"/>
      <c r="C207" s="15"/>
      <c r="D207" s="15"/>
      <c r="E207" s="15"/>
      <c r="F207" s="15"/>
      <c r="G207" s="15"/>
      <c r="H207" s="16"/>
      <c r="I207" s="16"/>
      <c r="J207" s="16"/>
      <c r="K207" s="16"/>
      <c r="L207" s="16"/>
      <c r="M207" s="16"/>
      <c r="N207" s="16"/>
      <c r="O207" s="16"/>
      <c r="P207" s="16"/>
      <c r="Q207" s="16"/>
      <c r="R207" s="16"/>
      <c r="S207" s="16"/>
      <c r="T207" s="16"/>
      <c r="U207" s="16"/>
      <c r="V207" s="16"/>
      <c r="W207" s="15"/>
      <c r="X207" s="15"/>
      <c r="Y207" s="15"/>
      <c r="Z207" s="15"/>
    </row>
    <row r="208" customHeight="1" spans="1:26">
      <c r="A208" s="17"/>
      <c r="B208" s="15"/>
      <c r="C208" s="15"/>
      <c r="D208" s="15"/>
      <c r="E208" s="15"/>
      <c r="F208" s="15"/>
      <c r="G208" s="15"/>
      <c r="H208" s="16"/>
      <c r="I208" s="16"/>
      <c r="J208" s="16"/>
      <c r="K208" s="16"/>
      <c r="L208" s="16"/>
      <c r="M208" s="16"/>
      <c r="N208" s="16"/>
      <c r="O208" s="16"/>
      <c r="P208" s="16"/>
      <c r="Q208" s="16"/>
      <c r="R208" s="16"/>
      <c r="S208" s="16"/>
      <c r="T208" s="16"/>
      <c r="U208" s="16"/>
      <c r="V208" s="16"/>
      <c r="W208" s="15"/>
      <c r="X208" s="15"/>
      <c r="Y208" s="15"/>
      <c r="Z208" s="15"/>
    </row>
    <row r="209" customHeight="1" spans="1:26">
      <c r="A209" s="17"/>
      <c r="B209" s="15"/>
      <c r="C209" s="15"/>
      <c r="D209" s="15"/>
      <c r="E209" s="15"/>
      <c r="F209" s="15"/>
      <c r="G209" s="15"/>
      <c r="H209" s="16"/>
      <c r="I209" s="16"/>
      <c r="J209" s="16"/>
      <c r="K209" s="16"/>
      <c r="L209" s="16"/>
      <c r="M209" s="16"/>
      <c r="N209" s="16"/>
      <c r="O209" s="16"/>
      <c r="P209" s="16"/>
      <c r="Q209" s="16"/>
      <c r="R209" s="16"/>
      <c r="S209" s="16"/>
      <c r="T209" s="16"/>
      <c r="U209" s="16"/>
      <c r="V209" s="16"/>
      <c r="W209" s="15"/>
      <c r="X209" s="15"/>
      <c r="Y209" s="15"/>
      <c r="Z209" s="15"/>
    </row>
    <row r="210" customHeight="1" spans="1:26">
      <c r="A210" s="17"/>
      <c r="B210" s="15"/>
      <c r="C210" s="15"/>
      <c r="D210" s="15"/>
      <c r="E210" s="15"/>
      <c r="F210" s="15"/>
      <c r="G210" s="15"/>
      <c r="H210" s="16"/>
      <c r="I210" s="16"/>
      <c r="J210" s="16"/>
      <c r="K210" s="16"/>
      <c r="L210" s="16"/>
      <c r="M210" s="16"/>
      <c r="N210" s="16"/>
      <c r="O210" s="16"/>
      <c r="P210" s="16"/>
      <c r="Q210" s="16"/>
      <c r="R210" s="16"/>
      <c r="S210" s="16"/>
      <c r="T210" s="16"/>
      <c r="U210" s="16"/>
      <c r="V210" s="16"/>
      <c r="W210" s="15"/>
      <c r="X210" s="15"/>
      <c r="Y210" s="15"/>
      <c r="Z210" s="15"/>
    </row>
    <row r="211" customHeight="1" spans="1:26">
      <c r="A211" s="17"/>
      <c r="B211" s="15"/>
      <c r="C211" s="15"/>
      <c r="D211" s="15"/>
      <c r="E211" s="15"/>
      <c r="F211" s="15"/>
      <c r="G211" s="15"/>
      <c r="H211" s="16"/>
      <c r="I211" s="16"/>
      <c r="J211" s="16"/>
      <c r="K211" s="16"/>
      <c r="L211" s="16"/>
      <c r="M211" s="16"/>
      <c r="N211" s="16"/>
      <c r="O211" s="16"/>
      <c r="P211" s="16"/>
      <c r="Q211" s="16"/>
      <c r="R211" s="16"/>
      <c r="S211" s="16"/>
      <c r="T211" s="16"/>
      <c r="U211" s="16"/>
      <c r="V211" s="16"/>
      <c r="W211" s="15"/>
      <c r="X211" s="15"/>
      <c r="Y211" s="15"/>
      <c r="Z211" s="15"/>
    </row>
    <row r="212" customHeight="1" spans="1:26">
      <c r="A212" s="17"/>
      <c r="B212" s="15"/>
      <c r="C212" s="15"/>
      <c r="D212" s="15"/>
      <c r="E212" s="15"/>
      <c r="F212" s="15"/>
      <c r="G212" s="15"/>
      <c r="H212" s="16"/>
      <c r="I212" s="16"/>
      <c r="J212" s="16"/>
      <c r="K212" s="16"/>
      <c r="L212" s="16"/>
      <c r="M212" s="16"/>
      <c r="N212" s="16"/>
      <c r="O212" s="16"/>
      <c r="P212" s="16"/>
      <c r="Q212" s="16"/>
      <c r="R212" s="16"/>
      <c r="S212" s="16"/>
      <c r="T212" s="16"/>
      <c r="U212" s="16"/>
      <c r="V212" s="16"/>
      <c r="W212" s="15"/>
      <c r="X212" s="15"/>
      <c r="Y212" s="15"/>
      <c r="Z212" s="15"/>
    </row>
    <row r="213" customHeight="1" spans="1:26">
      <c r="A213" s="17"/>
      <c r="B213" s="15"/>
      <c r="C213" s="15"/>
      <c r="D213" s="15"/>
      <c r="E213" s="15"/>
      <c r="F213" s="15"/>
      <c r="G213" s="15"/>
      <c r="H213" s="16"/>
      <c r="I213" s="16"/>
      <c r="J213" s="16"/>
      <c r="K213" s="16"/>
      <c r="L213" s="16"/>
      <c r="M213" s="16"/>
      <c r="N213" s="16"/>
      <c r="O213" s="16"/>
      <c r="P213" s="16"/>
      <c r="Q213" s="16"/>
      <c r="R213" s="16"/>
      <c r="S213" s="16"/>
      <c r="T213" s="16"/>
      <c r="U213" s="16"/>
      <c r="V213" s="16"/>
      <c r="W213" s="15"/>
      <c r="X213" s="15"/>
      <c r="Y213" s="15"/>
      <c r="Z213" s="15"/>
    </row>
    <row r="214" customHeight="1" spans="1:26">
      <c r="A214" s="17"/>
      <c r="B214" s="15"/>
      <c r="C214" s="15"/>
      <c r="D214" s="15"/>
      <c r="E214" s="15"/>
      <c r="F214" s="15"/>
      <c r="G214" s="15"/>
      <c r="H214" s="16"/>
      <c r="I214" s="16"/>
      <c r="J214" s="16"/>
      <c r="K214" s="16"/>
      <c r="L214" s="16"/>
      <c r="M214" s="16"/>
      <c r="N214" s="16"/>
      <c r="O214" s="16"/>
      <c r="P214" s="16"/>
      <c r="Q214" s="16"/>
      <c r="R214" s="16"/>
      <c r="S214" s="16"/>
      <c r="T214" s="16"/>
      <c r="U214" s="16"/>
      <c r="V214" s="16"/>
      <c r="W214" s="15"/>
      <c r="X214" s="15"/>
      <c r="Y214" s="15"/>
      <c r="Z214" s="15"/>
    </row>
    <row r="215" customHeight="1" spans="1:26">
      <c r="A215" s="17"/>
      <c r="B215" s="15"/>
      <c r="C215" s="15"/>
      <c r="D215" s="15"/>
      <c r="E215" s="15"/>
      <c r="F215" s="15"/>
      <c r="G215" s="15"/>
      <c r="H215" s="16"/>
      <c r="I215" s="16"/>
      <c r="J215" s="16"/>
      <c r="K215" s="16"/>
      <c r="L215" s="16"/>
      <c r="M215" s="16"/>
      <c r="N215" s="16"/>
      <c r="O215" s="16"/>
      <c r="P215" s="16"/>
      <c r="Q215" s="16"/>
      <c r="R215" s="16"/>
      <c r="S215" s="16"/>
      <c r="T215" s="16"/>
      <c r="U215" s="16"/>
      <c r="V215" s="16"/>
      <c r="W215" s="15"/>
      <c r="X215" s="15"/>
      <c r="Y215" s="15"/>
      <c r="Z215" s="15"/>
    </row>
    <row r="216" customHeight="1" spans="1:26">
      <c r="A216" s="17"/>
      <c r="B216" s="15"/>
      <c r="C216" s="15"/>
      <c r="D216" s="15"/>
      <c r="E216" s="15"/>
      <c r="F216" s="15"/>
      <c r="G216" s="15"/>
      <c r="H216" s="16"/>
      <c r="I216" s="16"/>
      <c r="J216" s="16"/>
      <c r="K216" s="16"/>
      <c r="L216" s="16"/>
      <c r="M216" s="16"/>
      <c r="N216" s="16"/>
      <c r="O216" s="16"/>
      <c r="P216" s="16"/>
      <c r="Q216" s="16"/>
      <c r="R216" s="16"/>
      <c r="S216" s="16"/>
      <c r="T216" s="16"/>
      <c r="U216" s="16"/>
      <c r="V216" s="16"/>
      <c r="W216" s="15"/>
      <c r="X216" s="15"/>
      <c r="Y216" s="15"/>
      <c r="Z216" s="15"/>
    </row>
    <row r="217" customHeight="1" spans="1:26">
      <c r="A217" s="17"/>
      <c r="B217" s="15"/>
      <c r="C217" s="15"/>
      <c r="D217" s="15"/>
      <c r="E217" s="15"/>
      <c r="F217" s="15"/>
      <c r="G217" s="15"/>
      <c r="H217" s="16"/>
      <c r="I217" s="16"/>
      <c r="J217" s="16"/>
      <c r="K217" s="16"/>
      <c r="L217" s="16"/>
      <c r="M217" s="16"/>
      <c r="N217" s="16"/>
      <c r="O217" s="16"/>
      <c r="P217" s="16"/>
      <c r="Q217" s="16"/>
      <c r="R217" s="16"/>
      <c r="S217" s="16"/>
      <c r="T217" s="16"/>
      <c r="U217" s="16"/>
      <c r="V217" s="16"/>
      <c r="W217" s="15"/>
      <c r="X217" s="15"/>
      <c r="Y217" s="15"/>
      <c r="Z217" s="15"/>
    </row>
    <row r="218" customHeight="1" spans="1:26">
      <c r="A218" s="17"/>
      <c r="B218" s="15"/>
      <c r="C218" s="15"/>
      <c r="D218" s="15"/>
      <c r="E218" s="15"/>
      <c r="F218" s="15"/>
      <c r="G218" s="15"/>
      <c r="H218" s="16"/>
      <c r="I218" s="16"/>
      <c r="J218" s="16"/>
      <c r="K218" s="16"/>
      <c r="L218" s="16"/>
      <c r="M218" s="16"/>
      <c r="N218" s="16"/>
      <c r="O218" s="16"/>
      <c r="P218" s="16"/>
      <c r="Q218" s="16"/>
      <c r="R218" s="16"/>
      <c r="S218" s="16"/>
      <c r="T218" s="16"/>
      <c r="U218" s="16"/>
      <c r="V218" s="16"/>
      <c r="W218" s="15"/>
      <c r="X218" s="15"/>
      <c r="Y218" s="15"/>
      <c r="Z218" s="15"/>
    </row>
    <row r="219" customHeight="1" spans="1:26">
      <c r="A219" s="17"/>
      <c r="B219" s="15"/>
      <c r="C219" s="15"/>
      <c r="D219" s="15"/>
      <c r="E219" s="15"/>
      <c r="F219" s="15"/>
      <c r="G219" s="15"/>
      <c r="H219" s="16"/>
      <c r="I219" s="16"/>
      <c r="J219" s="16"/>
      <c r="K219" s="16"/>
      <c r="L219" s="16"/>
      <c r="M219" s="16"/>
      <c r="N219" s="16"/>
      <c r="O219" s="16"/>
      <c r="P219" s="16"/>
      <c r="Q219" s="16"/>
      <c r="R219" s="16"/>
      <c r="S219" s="16"/>
      <c r="T219" s="16"/>
      <c r="U219" s="16"/>
      <c r="V219" s="16"/>
      <c r="W219" s="15"/>
      <c r="X219" s="15"/>
      <c r="Y219" s="15"/>
      <c r="Z219" s="15"/>
    </row>
    <row r="220" customHeight="1" spans="1:26">
      <c r="A220" s="17"/>
      <c r="B220" s="15"/>
      <c r="C220" s="15"/>
      <c r="D220" s="15"/>
      <c r="E220" s="15"/>
      <c r="F220" s="15"/>
      <c r="G220" s="15"/>
      <c r="H220" s="16"/>
      <c r="I220" s="16"/>
      <c r="J220" s="16"/>
      <c r="K220" s="16"/>
      <c r="L220" s="16"/>
      <c r="M220" s="16"/>
      <c r="N220" s="16"/>
      <c r="O220" s="16"/>
      <c r="P220" s="16"/>
      <c r="Q220" s="16"/>
      <c r="R220" s="16"/>
      <c r="S220" s="16"/>
      <c r="T220" s="16"/>
      <c r="U220" s="16"/>
      <c r="V220" s="16"/>
      <c r="W220" s="15"/>
      <c r="X220" s="15"/>
      <c r="Y220" s="15"/>
      <c r="Z220" s="15"/>
    </row>
    <row r="221" customHeight="1" spans="1:26">
      <c r="A221" s="17"/>
      <c r="B221" s="15"/>
      <c r="C221" s="15"/>
      <c r="D221" s="15"/>
      <c r="E221" s="15"/>
      <c r="F221" s="15"/>
      <c r="G221" s="15"/>
      <c r="H221" s="16"/>
      <c r="I221" s="16"/>
      <c r="J221" s="16"/>
      <c r="K221" s="16"/>
      <c r="L221" s="16"/>
      <c r="M221" s="16"/>
      <c r="N221" s="16"/>
      <c r="O221" s="16"/>
      <c r="P221" s="16"/>
      <c r="Q221" s="16"/>
      <c r="R221" s="16"/>
      <c r="S221" s="16"/>
      <c r="T221" s="16"/>
      <c r="U221" s="16"/>
      <c r="V221" s="16"/>
      <c r="W221" s="15"/>
      <c r="X221" s="15"/>
      <c r="Y221" s="15"/>
      <c r="Z221" s="15"/>
    </row>
    <row r="222" customHeight="1" spans="1:26">
      <c r="A222" s="17"/>
      <c r="B222" s="15"/>
      <c r="C222" s="15"/>
      <c r="D222" s="15"/>
      <c r="E222" s="15"/>
      <c r="F222" s="15"/>
      <c r="G222" s="15"/>
      <c r="H222" s="16"/>
      <c r="I222" s="16"/>
      <c r="J222" s="16"/>
      <c r="K222" s="16"/>
      <c r="L222" s="16"/>
      <c r="M222" s="16"/>
      <c r="N222" s="16"/>
      <c r="O222" s="16"/>
      <c r="P222" s="16"/>
      <c r="Q222" s="16"/>
      <c r="R222" s="16"/>
      <c r="S222" s="16"/>
      <c r="T222" s="16"/>
      <c r="U222" s="16"/>
      <c r="V222" s="16"/>
      <c r="W222" s="15"/>
      <c r="X222" s="15"/>
      <c r="Y222" s="15"/>
      <c r="Z222" s="15"/>
    </row>
    <row r="223" customHeight="1" spans="1:26">
      <c r="A223" s="17"/>
      <c r="B223" s="15"/>
      <c r="C223" s="15"/>
      <c r="D223" s="15"/>
      <c r="E223" s="15"/>
      <c r="F223" s="15"/>
      <c r="G223" s="15"/>
      <c r="H223" s="16"/>
      <c r="I223" s="16"/>
      <c r="J223" s="16"/>
      <c r="K223" s="16"/>
      <c r="L223" s="16"/>
      <c r="M223" s="16"/>
      <c r="N223" s="16"/>
      <c r="O223" s="16"/>
      <c r="P223" s="16"/>
      <c r="Q223" s="16"/>
      <c r="R223" s="16"/>
      <c r="S223" s="16"/>
      <c r="T223" s="16"/>
      <c r="U223" s="16"/>
      <c r="V223" s="16"/>
      <c r="W223" s="15"/>
      <c r="X223" s="15"/>
      <c r="Y223" s="15"/>
      <c r="Z223" s="15"/>
    </row>
    <row r="224" customHeight="1" spans="1:26">
      <c r="A224" s="17"/>
      <c r="B224" s="15"/>
      <c r="C224" s="15"/>
      <c r="D224" s="15"/>
      <c r="E224" s="15"/>
      <c r="F224" s="15"/>
      <c r="G224" s="15"/>
      <c r="H224" s="16"/>
      <c r="I224" s="16"/>
      <c r="J224" s="16"/>
      <c r="K224" s="16"/>
      <c r="L224" s="16"/>
      <c r="M224" s="16"/>
      <c r="N224" s="16"/>
      <c r="O224" s="16"/>
      <c r="P224" s="16"/>
      <c r="Q224" s="16"/>
      <c r="R224" s="16"/>
      <c r="S224" s="16"/>
      <c r="T224" s="16"/>
      <c r="U224" s="16"/>
      <c r="V224" s="16"/>
      <c r="W224" s="15"/>
      <c r="X224" s="15"/>
      <c r="Y224" s="15"/>
      <c r="Z224" s="15"/>
    </row>
    <row r="225" customHeight="1" spans="1:26">
      <c r="A225" s="17"/>
      <c r="B225" s="15"/>
      <c r="C225" s="15"/>
      <c r="D225" s="15"/>
      <c r="E225" s="15"/>
      <c r="F225" s="15"/>
      <c r="G225" s="15"/>
      <c r="H225" s="16"/>
      <c r="I225" s="16"/>
      <c r="J225" s="16"/>
      <c r="K225" s="16"/>
      <c r="L225" s="16"/>
      <c r="M225" s="16"/>
      <c r="N225" s="16"/>
      <c r="O225" s="16"/>
      <c r="P225" s="16"/>
      <c r="Q225" s="16"/>
      <c r="R225" s="16"/>
      <c r="S225" s="16"/>
      <c r="T225" s="16"/>
      <c r="U225" s="16"/>
      <c r="V225" s="16"/>
      <c r="W225" s="15"/>
      <c r="X225" s="15"/>
      <c r="Y225" s="15"/>
      <c r="Z225" s="15"/>
    </row>
    <row r="226" customHeight="1" spans="1:26">
      <c r="A226" s="17"/>
      <c r="B226" s="15"/>
      <c r="C226" s="15"/>
      <c r="D226" s="15"/>
      <c r="E226" s="15"/>
      <c r="F226" s="15"/>
      <c r="G226" s="15"/>
      <c r="H226" s="16"/>
      <c r="I226" s="16"/>
      <c r="J226" s="16"/>
      <c r="K226" s="16"/>
      <c r="L226" s="16"/>
      <c r="M226" s="16"/>
      <c r="N226" s="16"/>
      <c r="O226" s="16"/>
      <c r="P226" s="16"/>
      <c r="Q226" s="16"/>
      <c r="R226" s="16"/>
      <c r="S226" s="16"/>
      <c r="T226" s="16"/>
      <c r="U226" s="16"/>
      <c r="V226" s="16"/>
      <c r="W226" s="15"/>
      <c r="X226" s="15"/>
      <c r="Y226" s="15"/>
      <c r="Z226" s="15"/>
    </row>
    <row r="227" customHeight="1" spans="1:26">
      <c r="A227" s="17"/>
      <c r="B227" s="15"/>
      <c r="C227" s="15"/>
      <c r="D227" s="15"/>
      <c r="E227" s="15"/>
      <c r="F227" s="15"/>
      <c r="G227" s="15"/>
      <c r="H227" s="16"/>
      <c r="I227" s="16"/>
      <c r="J227" s="16"/>
      <c r="K227" s="16"/>
      <c r="L227" s="16"/>
      <c r="M227" s="16"/>
      <c r="N227" s="16"/>
      <c r="O227" s="16"/>
      <c r="P227" s="16"/>
      <c r="Q227" s="16"/>
      <c r="R227" s="16"/>
      <c r="S227" s="16"/>
      <c r="T227" s="16"/>
      <c r="U227" s="16"/>
      <c r="V227" s="16"/>
      <c r="W227" s="15"/>
      <c r="X227" s="15"/>
      <c r="Y227" s="15"/>
      <c r="Z227" s="15"/>
    </row>
    <row r="228" customHeight="1" spans="1:26">
      <c r="A228" s="17"/>
      <c r="B228" s="15"/>
      <c r="C228" s="15"/>
      <c r="D228" s="15"/>
      <c r="E228" s="15"/>
      <c r="F228" s="15"/>
      <c r="G228" s="15"/>
      <c r="H228" s="16"/>
      <c r="I228" s="16"/>
      <c r="J228" s="16"/>
      <c r="K228" s="16"/>
      <c r="L228" s="16"/>
      <c r="M228" s="16"/>
      <c r="N228" s="16"/>
      <c r="O228" s="16"/>
      <c r="P228" s="16"/>
      <c r="Q228" s="16"/>
      <c r="R228" s="16"/>
      <c r="S228" s="16"/>
      <c r="T228" s="16"/>
      <c r="U228" s="16"/>
      <c r="V228" s="16"/>
      <c r="W228" s="15"/>
      <c r="X228" s="15"/>
      <c r="Y228" s="15"/>
      <c r="Z228" s="15"/>
    </row>
    <row r="229" customHeight="1" spans="1:26">
      <c r="A229" s="17"/>
      <c r="B229" s="15"/>
      <c r="C229" s="15"/>
      <c r="D229" s="15"/>
      <c r="E229" s="15"/>
      <c r="F229" s="15"/>
      <c r="G229" s="15"/>
      <c r="H229" s="16"/>
      <c r="I229" s="16"/>
      <c r="J229" s="16"/>
      <c r="K229" s="16"/>
      <c r="L229" s="16"/>
      <c r="M229" s="16"/>
      <c r="N229" s="16"/>
      <c r="O229" s="16"/>
      <c r="P229" s="16"/>
      <c r="Q229" s="16"/>
      <c r="R229" s="16"/>
      <c r="S229" s="16"/>
      <c r="T229" s="16"/>
      <c r="U229" s="16"/>
      <c r="V229" s="16"/>
      <c r="W229" s="15"/>
      <c r="X229" s="15"/>
      <c r="Y229" s="15"/>
      <c r="Z229" s="15"/>
    </row>
    <row r="230" customHeight="1" spans="1:26">
      <c r="A230" s="17"/>
      <c r="B230" s="15"/>
      <c r="C230" s="15"/>
      <c r="D230" s="15"/>
      <c r="E230" s="15"/>
      <c r="F230" s="15"/>
      <c r="G230" s="15"/>
      <c r="H230" s="16"/>
      <c r="I230" s="16"/>
      <c r="J230" s="16"/>
      <c r="K230" s="16"/>
      <c r="L230" s="16"/>
      <c r="M230" s="16"/>
      <c r="N230" s="16"/>
      <c r="O230" s="16"/>
      <c r="P230" s="16"/>
      <c r="Q230" s="16"/>
      <c r="R230" s="16"/>
      <c r="S230" s="16"/>
      <c r="T230" s="16"/>
      <c r="U230" s="16"/>
      <c r="V230" s="16"/>
      <c r="W230" s="15"/>
      <c r="X230" s="15"/>
      <c r="Y230" s="15"/>
      <c r="Z230" s="15"/>
    </row>
    <row r="231" customHeight="1" spans="1:26">
      <c r="A231" s="17"/>
      <c r="B231" s="15"/>
      <c r="C231" s="15"/>
      <c r="D231" s="15"/>
      <c r="E231" s="15"/>
      <c r="F231" s="15"/>
      <c r="G231" s="15"/>
      <c r="H231" s="16"/>
      <c r="I231" s="16"/>
      <c r="J231" s="16"/>
      <c r="K231" s="16"/>
      <c r="L231" s="16"/>
      <c r="M231" s="16"/>
      <c r="N231" s="16"/>
      <c r="O231" s="16"/>
      <c r="P231" s="16"/>
      <c r="Q231" s="16"/>
      <c r="R231" s="16"/>
      <c r="S231" s="16"/>
      <c r="T231" s="16"/>
      <c r="U231" s="16"/>
      <c r="V231" s="16"/>
      <c r="W231" s="15"/>
      <c r="X231" s="15"/>
      <c r="Y231" s="15"/>
      <c r="Z231" s="15"/>
    </row>
    <row r="232" customHeight="1" spans="1:26">
      <c r="A232" s="17"/>
      <c r="B232" s="15"/>
      <c r="C232" s="15"/>
      <c r="D232" s="15"/>
      <c r="E232" s="15"/>
      <c r="F232" s="15"/>
      <c r="G232" s="15"/>
      <c r="H232" s="16"/>
      <c r="I232" s="16"/>
      <c r="J232" s="16"/>
      <c r="K232" s="16"/>
      <c r="L232" s="16"/>
      <c r="M232" s="16"/>
      <c r="N232" s="16"/>
      <c r="O232" s="16"/>
      <c r="P232" s="16"/>
      <c r="Q232" s="16"/>
      <c r="R232" s="16"/>
      <c r="S232" s="16"/>
      <c r="T232" s="16"/>
      <c r="U232" s="16"/>
      <c r="V232" s="16"/>
      <c r="W232" s="15"/>
      <c r="X232" s="15"/>
      <c r="Y232" s="15"/>
      <c r="Z232" s="15"/>
    </row>
    <row r="233" customHeight="1" spans="1:26">
      <c r="A233" s="17"/>
      <c r="B233" s="15"/>
      <c r="C233" s="15"/>
      <c r="D233" s="15"/>
      <c r="E233" s="15"/>
      <c r="F233" s="15"/>
      <c r="G233" s="15"/>
      <c r="H233" s="16"/>
      <c r="I233" s="16"/>
      <c r="J233" s="16"/>
      <c r="K233" s="16"/>
      <c r="L233" s="16"/>
      <c r="M233" s="16"/>
      <c r="N233" s="16"/>
      <c r="O233" s="16"/>
      <c r="P233" s="16"/>
      <c r="Q233" s="16"/>
      <c r="R233" s="16"/>
      <c r="S233" s="16"/>
      <c r="T233" s="16"/>
      <c r="U233" s="16"/>
      <c r="V233" s="16"/>
      <c r="W233" s="15"/>
      <c r="X233" s="15"/>
      <c r="Y233" s="15"/>
      <c r="Z233" s="15"/>
    </row>
    <row r="234" customHeight="1" spans="1:26">
      <c r="A234" s="17"/>
      <c r="B234" s="15"/>
      <c r="C234" s="15"/>
      <c r="D234" s="15"/>
      <c r="E234" s="15"/>
      <c r="F234" s="15"/>
      <c r="G234" s="15"/>
      <c r="H234" s="16"/>
      <c r="I234" s="16"/>
      <c r="J234" s="16"/>
      <c r="K234" s="16"/>
      <c r="L234" s="16"/>
      <c r="M234" s="16"/>
      <c r="N234" s="16"/>
      <c r="O234" s="16"/>
      <c r="P234" s="16"/>
      <c r="Q234" s="16"/>
      <c r="R234" s="16"/>
      <c r="S234" s="16"/>
      <c r="T234" s="16"/>
      <c r="U234" s="16"/>
      <c r="V234" s="16"/>
      <c r="W234" s="15"/>
      <c r="X234" s="15"/>
      <c r="Y234" s="15"/>
      <c r="Z234" s="15"/>
    </row>
    <row r="235" customHeight="1" spans="1:26">
      <c r="A235" s="17"/>
      <c r="B235" s="15"/>
      <c r="C235" s="15"/>
      <c r="D235" s="15"/>
      <c r="E235" s="15"/>
      <c r="F235" s="15"/>
      <c r="G235" s="15"/>
      <c r="H235" s="16"/>
      <c r="I235" s="16"/>
      <c r="J235" s="16"/>
      <c r="K235" s="16"/>
      <c r="L235" s="16"/>
      <c r="M235" s="16"/>
      <c r="N235" s="16"/>
      <c r="O235" s="16"/>
      <c r="P235" s="16"/>
      <c r="Q235" s="16"/>
      <c r="R235" s="16"/>
      <c r="S235" s="16"/>
      <c r="T235" s="16"/>
      <c r="U235" s="16"/>
      <c r="V235" s="16"/>
      <c r="W235" s="15"/>
      <c r="X235" s="15"/>
      <c r="Y235" s="15"/>
      <c r="Z235" s="15"/>
    </row>
    <row r="236" customHeight="1" spans="1:26">
      <c r="A236" s="17"/>
      <c r="B236" s="15"/>
      <c r="C236" s="15"/>
      <c r="D236" s="15"/>
      <c r="E236" s="15"/>
      <c r="F236" s="15"/>
      <c r="G236" s="15"/>
      <c r="H236" s="16"/>
      <c r="I236" s="16"/>
      <c r="J236" s="16"/>
      <c r="K236" s="16"/>
      <c r="L236" s="16"/>
      <c r="M236" s="16"/>
      <c r="N236" s="16"/>
      <c r="O236" s="16"/>
      <c r="P236" s="16"/>
      <c r="Q236" s="16"/>
      <c r="R236" s="16"/>
      <c r="S236" s="16"/>
      <c r="T236" s="16"/>
      <c r="U236" s="16"/>
      <c r="V236" s="16"/>
      <c r="W236" s="15"/>
      <c r="X236" s="15"/>
      <c r="Y236" s="15"/>
      <c r="Z236" s="15"/>
    </row>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24">
    <mergeCell ref="H2:I2"/>
    <mergeCell ref="J2:K2"/>
    <mergeCell ref="L2:M2"/>
    <mergeCell ref="H10:L10"/>
    <mergeCell ref="M10:Q10"/>
    <mergeCell ref="R10:V10"/>
    <mergeCell ref="H11:J11"/>
    <mergeCell ref="M11:O11"/>
    <mergeCell ref="R11:T11"/>
    <mergeCell ref="A10:A12"/>
    <mergeCell ref="B10:B12"/>
    <mergeCell ref="C10:C12"/>
    <mergeCell ref="D10:D12"/>
    <mergeCell ref="E10:E12"/>
    <mergeCell ref="F10:F12"/>
    <mergeCell ref="G10:G12"/>
    <mergeCell ref="K11:K12"/>
    <mergeCell ref="L11:L12"/>
    <mergeCell ref="N2:N3"/>
    <mergeCell ref="P11:P12"/>
    <mergeCell ref="Q11:Q12"/>
    <mergeCell ref="U11:U12"/>
    <mergeCell ref="V11:V12"/>
    <mergeCell ref="W10:W12"/>
  </mergeCells>
  <dataValidations count="1">
    <dataValidation type="list" allowBlank="1" showErrorMessage="1" sqref="H13:I36 R13:S36 M13:N36">
      <formula1>"Passed,Failed,Blocked,Not Run"</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showGridLines="0" workbookViewId="0">
      <selection activeCell="A1" sqref="A1"/>
    </sheetView>
  </sheetViews>
  <sheetFormatPr defaultColWidth="12.6296296296296" defaultRowHeight="15.75" customHeight="1"/>
  <cols>
    <col min="1" max="1" width="12.6296296296296" customWidth="1"/>
    <col min="2" max="2" width="21.25" customWidth="1"/>
    <col min="3" max="3" width="19.75" customWidth="1"/>
    <col min="4" max="5" width="25.1296296296296" customWidth="1"/>
    <col min="6" max="7" width="37.6296296296296" customWidth="1"/>
    <col min="8" max="9" width="18.5" customWidth="1"/>
    <col min="10" max="10" width="19.5" customWidth="1"/>
    <col min="11" max="11" width="23.75" customWidth="1"/>
    <col min="12" max="12" width="14.75" customWidth="1"/>
    <col min="13" max="14" width="18.5" customWidth="1"/>
    <col min="15" max="15" width="19.5" customWidth="1"/>
    <col min="16" max="16" width="27.75" customWidth="1"/>
    <col min="17" max="17" width="15.3796296296296" customWidth="1"/>
    <col min="18" max="19" width="18.5" customWidth="1"/>
    <col min="20" max="20" width="19.5" customWidth="1"/>
    <col min="21" max="21" width="26.3796296296296" customWidth="1"/>
    <col min="22" max="22" width="15" customWidth="1"/>
    <col min="23" max="23" width="27" customWidth="1"/>
    <col min="24" max="26" width="11.8796296296296" customWidth="1"/>
  </cols>
  <sheetData>
    <row r="1" customHeight="1" spans="1:26">
      <c r="A1" s="14" t="s">
        <v>86</v>
      </c>
      <c r="B1" s="15"/>
      <c r="C1" s="15"/>
      <c r="D1" s="15"/>
      <c r="E1" s="15"/>
      <c r="F1" s="15"/>
      <c r="G1" s="15"/>
      <c r="H1" s="16"/>
      <c r="I1" s="16"/>
      <c r="J1" s="16"/>
      <c r="K1" s="16"/>
      <c r="L1" s="16"/>
      <c r="M1" s="16"/>
      <c r="N1" s="16"/>
      <c r="O1" s="16"/>
      <c r="P1" s="16"/>
      <c r="Q1" s="16"/>
      <c r="R1" s="16"/>
      <c r="S1" s="16"/>
      <c r="T1" s="16"/>
      <c r="U1" s="16"/>
      <c r="V1" s="16"/>
      <c r="W1" s="15"/>
      <c r="X1" s="15"/>
      <c r="Y1" s="15"/>
      <c r="Z1" s="15"/>
    </row>
    <row r="2" customHeight="1" spans="1:26">
      <c r="A2" s="17"/>
      <c r="B2" s="15"/>
      <c r="C2" s="15"/>
      <c r="D2" s="15"/>
      <c r="E2" s="15"/>
      <c r="F2" s="15"/>
      <c r="G2" s="15"/>
      <c r="H2" s="18" t="s">
        <v>64</v>
      </c>
      <c r="I2" s="31"/>
      <c r="J2" s="18" t="s">
        <v>65</v>
      </c>
      <c r="K2" s="31"/>
      <c r="L2" s="18" t="s">
        <v>66</v>
      </c>
      <c r="M2" s="31"/>
      <c r="N2" s="23" t="s">
        <v>87</v>
      </c>
      <c r="O2" s="16"/>
      <c r="P2" s="16"/>
      <c r="Q2" s="16"/>
      <c r="R2" s="16"/>
      <c r="S2" s="16"/>
      <c r="T2" s="16"/>
      <c r="U2" s="16"/>
      <c r="V2" s="16"/>
      <c r="W2" s="15"/>
      <c r="X2" s="15"/>
      <c r="Y2" s="15"/>
      <c r="Z2" s="15"/>
    </row>
    <row r="3" customHeight="1" spans="1:26">
      <c r="A3" s="6" t="s">
        <v>26</v>
      </c>
      <c r="B3" s="6" t="s">
        <v>88</v>
      </c>
      <c r="C3" s="15"/>
      <c r="D3" s="6" t="s">
        <v>89</v>
      </c>
      <c r="E3" s="6" t="s">
        <v>90</v>
      </c>
      <c r="F3" s="15"/>
      <c r="G3" s="19"/>
      <c r="H3" s="6" t="s">
        <v>67</v>
      </c>
      <c r="I3" s="6" t="s">
        <v>68</v>
      </c>
      <c r="J3" s="6" t="s">
        <v>67</v>
      </c>
      <c r="K3" s="6" t="s">
        <v>68</v>
      </c>
      <c r="L3" s="6" t="s">
        <v>67</v>
      </c>
      <c r="M3" s="6" t="s">
        <v>68</v>
      </c>
      <c r="N3" s="25"/>
      <c r="O3" s="16"/>
      <c r="P3" s="16"/>
      <c r="Q3" s="16"/>
      <c r="R3" s="16"/>
      <c r="S3" s="16"/>
      <c r="T3" s="16"/>
      <c r="U3" s="16"/>
      <c r="V3" s="16"/>
      <c r="W3" s="15"/>
      <c r="X3" s="15"/>
      <c r="Y3" s="15"/>
      <c r="Z3" s="15"/>
    </row>
    <row r="4" customHeight="1" spans="1:26">
      <c r="A4" s="20" t="s">
        <v>13</v>
      </c>
      <c r="B4" s="21" t="s">
        <v>41</v>
      </c>
      <c r="C4" s="15"/>
      <c r="D4" s="20" t="s">
        <v>497</v>
      </c>
      <c r="E4" s="21" t="s">
        <v>498</v>
      </c>
      <c r="F4" s="15"/>
      <c r="G4" s="6" t="s">
        <v>96</v>
      </c>
      <c r="H4" s="22">
        <f t="shared" ref="H4:I4" si="0">COUNTIF(H13:H215,"PASSED")</f>
        <v>16</v>
      </c>
      <c r="I4" s="22">
        <f t="shared" si="0"/>
        <v>16</v>
      </c>
      <c r="J4" s="22">
        <f t="shared" ref="J4:K4" si="1">COUNTIF(M13:M215,"PASSED")</f>
        <v>16</v>
      </c>
      <c r="K4" s="22">
        <f t="shared" si="1"/>
        <v>15</v>
      </c>
      <c r="L4" s="22">
        <f t="shared" ref="L4:M4" si="2">COUNTIF(R13:R215,"PASSED")</f>
        <v>16</v>
      </c>
      <c r="M4" s="22">
        <f t="shared" si="2"/>
        <v>16</v>
      </c>
      <c r="N4" s="22">
        <f t="shared" ref="N4:N8" si="3">SUM(H4:M4)</f>
        <v>95</v>
      </c>
      <c r="O4" s="16"/>
      <c r="P4" s="16"/>
      <c r="Q4" s="16"/>
      <c r="R4" s="16"/>
      <c r="S4" s="16"/>
      <c r="T4" s="16"/>
      <c r="U4" s="16"/>
      <c r="V4" s="16"/>
      <c r="W4" s="15"/>
      <c r="X4" s="15"/>
      <c r="Y4" s="15"/>
      <c r="Z4" s="15"/>
    </row>
    <row r="5" customHeight="1" spans="1:26">
      <c r="A5" s="20"/>
      <c r="B5" s="20"/>
      <c r="C5" s="15"/>
      <c r="D5" s="20" t="s">
        <v>348</v>
      </c>
      <c r="E5" s="21" t="s">
        <v>499</v>
      </c>
      <c r="F5" s="15"/>
      <c r="G5" s="6" t="s">
        <v>97</v>
      </c>
      <c r="H5" s="22">
        <f t="shared" ref="H5:I5" si="4">COUNTIF(H13:H225,"FAILED")</f>
        <v>0</v>
      </c>
      <c r="I5" s="22">
        <f t="shared" si="4"/>
        <v>0</v>
      </c>
      <c r="J5" s="22">
        <f t="shared" ref="J5:K5" si="5">COUNTIF(M14:M216,"FAILED")</f>
        <v>0</v>
      </c>
      <c r="K5" s="22">
        <f t="shared" si="5"/>
        <v>1</v>
      </c>
      <c r="L5" s="22">
        <f t="shared" ref="L5:M5" si="6">COUNTIF(R14:R216,"FAILED")</f>
        <v>0</v>
      </c>
      <c r="M5" s="22">
        <f t="shared" si="6"/>
        <v>0</v>
      </c>
      <c r="N5" s="22">
        <f t="shared" si="3"/>
        <v>1</v>
      </c>
      <c r="O5" s="16"/>
      <c r="P5" s="16"/>
      <c r="Q5" s="16"/>
      <c r="R5" s="16"/>
      <c r="S5" s="16"/>
      <c r="T5" s="16"/>
      <c r="U5" s="16"/>
      <c r="V5" s="16"/>
      <c r="W5" s="15"/>
      <c r="X5" s="15"/>
      <c r="Y5" s="15"/>
      <c r="Z5" s="15"/>
    </row>
    <row r="6" customHeight="1" spans="1:26">
      <c r="A6" s="20"/>
      <c r="B6" s="20"/>
      <c r="C6" s="15"/>
      <c r="D6" s="20" t="s">
        <v>500</v>
      </c>
      <c r="E6" s="21" t="s">
        <v>501</v>
      </c>
      <c r="F6" s="15"/>
      <c r="G6" s="6" t="s">
        <v>98</v>
      </c>
      <c r="H6" s="22">
        <f t="shared" ref="H6:I6" si="7">COUNTIF(H13:H235,"BLOCKED")</f>
        <v>0</v>
      </c>
      <c r="I6" s="22">
        <f t="shared" si="7"/>
        <v>0</v>
      </c>
      <c r="J6" s="22">
        <f t="shared" ref="J6:K6" si="8">COUNTIF(M15:M217,"BLOCKED")</f>
        <v>0</v>
      </c>
      <c r="K6" s="22">
        <f t="shared" si="8"/>
        <v>0</v>
      </c>
      <c r="L6" s="22">
        <f t="shared" ref="L6:M6" si="9">COUNTIF(R15:R217,"BLOCKED")</f>
        <v>0</v>
      </c>
      <c r="M6" s="22">
        <f t="shared" si="9"/>
        <v>0</v>
      </c>
      <c r="N6" s="22">
        <f t="shared" si="3"/>
        <v>0</v>
      </c>
      <c r="O6" s="16"/>
      <c r="P6" s="16"/>
      <c r="Q6" s="16"/>
      <c r="R6" s="16"/>
      <c r="S6" s="16"/>
      <c r="T6" s="16"/>
      <c r="U6" s="16"/>
      <c r="V6" s="16"/>
      <c r="W6" s="15"/>
      <c r="X6" s="15"/>
      <c r="Y6" s="15"/>
      <c r="Z6" s="15"/>
    </row>
    <row r="7" customHeight="1" spans="1:26">
      <c r="A7" s="20"/>
      <c r="B7" s="20"/>
      <c r="C7" s="15"/>
      <c r="D7" s="20"/>
      <c r="E7" s="20"/>
      <c r="F7" s="15"/>
      <c r="G7" s="6" t="s">
        <v>99</v>
      </c>
      <c r="H7" s="22">
        <f t="shared" ref="H7:I7" si="10">COUNTIF(H13:H245,"NOT RUN")</f>
        <v>0</v>
      </c>
      <c r="I7" s="22">
        <f t="shared" si="10"/>
        <v>0</v>
      </c>
      <c r="J7" s="22">
        <f t="shared" ref="J7:K7" si="11">COUNTIF(M16:M218,"NOT RUN")</f>
        <v>0</v>
      </c>
      <c r="K7" s="22">
        <f t="shared" si="11"/>
        <v>0</v>
      </c>
      <c r="L7" s="22">
        <f t="shared" ref="L7:M7" si="12">COUNTIF(R16:R218,"NOT RUN")</f>
        <v>0</v>
      </c>
      <c r="M7" s="22">
        <f t="shared" si="12"/>
        <v>0</v>
      </c>
      <c r="N7" s="22">
        <f t="shared" si="3"/>
        <v>0</v>
      </c>
      <c r="O7" s="16"/>
      <c r="P7" s="16"/>
      <c r="Q7" s="16"/>
      <c r="R7" s="16"/>
      <c r="S7" s="16"/>
      <c r="T7" s="16"/>
      <c r="U7" s="16"/>
      <c r="V7" s="16"/>
      <c r="W7" s="15"/>
      <c r="X7" s="15"/>
      <c r="Y7" s="15"/>
      <c r="Z7" s="15"/>
    </row>
    <row r="8" customHeight="1" spans="1:26">
      <c r="A8" s="20"/>
      <c r="B8" s="20"/>
      <c r="C8" s="15"/>
      <c r="D8" s="20"/>
      <c r="E8" s="20"/>
      <c r="F8" s="15"/>
      <c r="G8" s="6" t="s">
        <v>100</v>
      </c>
      <c r="H8" s="22">
        <f t="shared" ref="H8:M8" si="13">COUNTA($G13:$G227)</f>
        <v>16</v>
      </c>
      <c r="I8" s="22">
        <f t="shared" si="13"/>
        <v>16</v>
      </c>
      <c r="J8" s="22">
        <f t="shared" si="13"/>
        <v>16</v>
      </c>
      <c r="K8" s="22">
        <f t="shared" si="13"/>
        <v>16</v>
      </c>
      <c r="L8" s="22">
        <f t="shared" si="13"/>
        <v>16</v>
      </c>
      <c r="M8" s="22">
        <f t="shared" si="13"/>
        <v>16</v>
      </c>
      <c r="N8" s="22">
        <f t="shared" si="3"/>
        <v>96</v>
      </c>
      <c r="O8" s="16"/>
      <c r="P8" s="16"/>
      <c r="Q8" s="16"/>
      <c r="R8" s="16"/>
      <c r="S8" s="16"/>
      <c r="T8" s="16"/>
      <c r="U8" s="16"/>
      <c r="V8" s="16"/>
      <c r="W8" s="15"/>
      <c r="X8" s="15"/>
      <c r="Y8" s="15"/>
      <c r="Z8" s="15"/>
    </row>
    <row r="9" customHeight="1" spans="1:26">
      <c r="A9" s="17"/>
      <c r="B9" s="15"/>
      <c r="C9" s="15"/>
      <c r="D9" s="15"/>
      <c r="E9" s="15"/>
      <c r="F9" s="15"/>
      <c r="G9" s="15"/>
      <c r="H9" s="16"/>
      <c r="I9" s="16"/>
      <c r="J9" s="16"/>
      <c r="K9" s="16"/>
      <c r="L9" s="16"/>
      <c r="M9" s="16"/>
      <c r="N9" s="16"/>
      <c r="O9" s="16"/>
      <c r="P9" s="16"/>
      <c r="Q9" s="16"/>
      <c r="R9" s="16"/>
      <c r="S9" s="16"/>
      <c r="T9" s="16"/>
      <c r="U9" s="16"/>
      <c r="V9" s="16"/>
      <c r="W9" s="15"/>
      <c r="X9" s="15"/>
      <c r="Y9" s="15"/>
      <c r="Z9" s="15"/>
    </row>
    <row r="10" customHeight="1" spans="1:26">
      <c r="A10" s="23" t="s">
        <v>22</v>
      </c>
      <c r="B10" s="23" t="s">
        <v>101</v>
      </c>
      <c r="C10" s="23" t="s">
        <v>102</v>
      </c>
      <c r="D10" s="23" t="s">
        <v>103</v>
      </c>
      <c r="E10" s="23" t="s">
        <v>104</v>
      </c>
      <c r="F10" s="23" t="s">
        <v>105</v>
      </c>
      <c r="G10" s="23" t="s">
        <v>106</v>
      </c>
      <c r="H10" s="18" t="s">
        <v>64</v>
      </c>
      <c r="I10" s="32"/>
      <c r="J10" s="32"/>
      <c r="K10" s="32"/>
      <c r="L10" s="31"/>
      <c r="M10" s="18" t="s">
        <v>65</v>
      </c>
      <c r="N10" s="32"/>
      <c r="O10" s="32"/>
      <c r="P10" s="32"/>
      <c r="Q10" s="31"/>
      <c r="R10" s="18" t="s">
        <v>66</v>
      </c>
      <c r="S10" s="32"/>
      <c r="T10" s="32"/>
      <c r="U10" s="32"/>
      <c r="V10" s="31"/>
      <c r="W10" s="23" t="s">
        <v>29</v>
      </c>
      <c r="X10" s="13"/>
      <c r="Y10" s="13"/>
      <c r="Z10" s="13"/>
    </row>
    <row r="11" customHeight="1" spans="1:26">
      <c r="A11" s="24"/>
      <c r="B11" s="24"/>
      <c r="C11" s="24"/>
      <c r="D11" s="24"/>
      <c r="E11" s="24"/>
      <c r="F11" s="24"/>
      <c r="G11" s="24"/>
      <c r="H11" s="18" t="s">
        <v>107</v>
      </c>
      <c r="I11" s="32"/>
      <c r="J11" s="31"/>
      <c r="K11" s="23" t="s">
        <v>108</v>
      </c>
      <c r="L11" s="23" t="s">
        <v>109</v>
      </c>
      <c r="M11" s="18" t="s">
        <v>107</v>
      </c>
      <c r="N11" s="32"/>
      <c r="O11" s="31"/>
      <c r="P11" s="23" t="s">
        <v>108</v>
      </c>
      <c r="Q11" s="23" t="s">
        <v>109</v>
      </c>
      <c r="R11" s="18" t="s">
        <v>107</v>
      </c>
      <c r="S11" s="32"/>
      <c r="T11" s="31"/>
      <c r="U11" s="23" t="s">
        <v>108</v>
      </c>
      <c r="V11" s="23" t="s">
        <v>109</v>
      </c>
      <c r="W11" s="24"/>
      <c r="X11" s="15"/>
      <c r="Y11" s="15"/>
      <c r="Z11" s="15"/>
    </row>
    <row r="12" customHeight="1" spans="1:26">
      <c r="A12" s="25"/>
      <c r="B12" s="25"/>
      <c r="C12" s="25"/>
      <c r="D12" s="25"/>
      <c r="E12" s="25"/>
      <c r="F12" s="25"/>
      <c r="G12" s="25"/>
      <c r="H12" s="6" t="s">
        <v>67</v>
      </c>
      <c r="I12" s="6" t="s">
        <v>68</v>
      </c>
      <c r="J12" s="6" t="s">
        <v>110</v>
      </c>
      <c r="K12" s="25"/>
      <c r="L12" s="25"/>
      <c r="M12" s="6" t="s">
        <v>67</v>
      </c>
      <c r="N12" s="6" t="s">
        <v>68</v>
      </c>
      <c r="O12" s="6" t="s">
        <v>110</v>
      </c>
      <c r="P12" s="25"/>
      <c r="Q12" s="25"/>
      <c r="R12" s="6" t="s">
        <v>67</v>
      </c>
      <c r="S12" s="6" t="s">
        <v>68</v>
      </c>
      <c r="T12" s="6" t="s">
        <v>110</v>
      </c>
      <c r="U12" s="25"/>
      <c r="V12" s="25"/>
      <c r="W12" s="25"/>
      <c r="X12" s="15"/>
      <c r="Y12" s="15"/>
      <c r="Z12" s="15"/>
    </row>
    <row r="13" ht="79.2" spans="1:26">
      <c r="A13" s="26" t="str">
        <f t="shared" ref="A13:A36" si="14">"ID-00"&amp;(ROW()-(ROW($A$12)))</f>
        <v>ID-001</v>
      </c>
      <c r="B13" s="10" t="s">
        <v>502</v>
      </c>
      <c r="C13" s="10" t="s">
        <v>503</v>
      </c>
      <c r="D13" s="28" t="s">
        <v>504</v>
      </c>
      <c r="E13" s="28" t="s">
        <v>505</v>
      </c>
      <c r="F13" s="28" t="s">
        <v>506</v>
      </c>
      <c r="G13" s="28" t="s">
        <v>507</v>
      </c>
      <c r="H13" s="8" t="s">
        <v>69</v>
      </c>
      <c r="I13" s="8" t="s">
        <v>69</v>
      </c>
      <c r="J13" s="8"/>
      <c r="K13" s="33" t="s">
        <v>508</v>
      </c>
      <c r="L13" s="8" t="s">
        <v>117</v>
      </c>
      <c r="M13" s="8" t="s">
        <v>69</v>
      </c>
      <c r="N13" s="8" t="s">
        <v>69</v>
      </c>
      <c r="O13" s="8"/>
      <c r="P13" s="39" t="s">
        <v>509</v>
      </c>
      <c r="Q13" s="8" t="s">
        <v>117</v>
      </c>
      <c r="R13" s="8" t="s">
        <v>69</v>
      </c>
      <c r="S13" s="8" t="s">
        <v>69</v>
      </c>
      <c r="T13" s="8"/>
      <c r="U13" s="39" t="s">
        <v>510</v>
      </c>
      <c r="V13" s="8" t="s">
        <v>117</v>
      </c>
      <c r="W13" s="30"/>
      <c r="X13" s="15"/>
      <c r="Y13" s="15"/>
      <c r="Z13" s="15"/>
    </row>
    <row r="14" ht="92.4" spans="1:26">
      <c r="A14" s="26" t="str">
        <f t="shared" si="14"/>
        <v>ID-002</v>
      </c>
      <c r="B14" s="10" t="s">
        <v>502</v>
      </c>
      <c r="C14" s="10" t="s">
        <v>511</v>
      </c>
      <c r="D14" s="28" t="s">
        <v>504</v>
      </c>
      <c r="E14" s="28" t="s">
        <v>512</v>
      </c>
      <c r="F14" s="28" t="s">
        <v>513</v>
      </c>
      <c r="G14" s="28" t="s">
        <v>514</v>
      </c>
      <c r="H14" s="8" t="s">
        <v>69</v>
      </c>
      <c r="I14" s="8" t="s">
        <v>69</v>
      </c>
      <c r="J14" s="8"/>
      <c r="K14" s="33" t="s">
        <v>508</v>
      </c>
      <c r="L14" s="8" t="s">
        <v>117</v>
      </c>
      <c r="M14" s="8" t="s">
        <v>69</v>
      </c>
      <c r="N14" s="8" t="s">
        <v>69</v>
      </c>
      <c r="O14" s="8"/>
      <c r="P14" s="26" t="s">
        <v>509</v>
      </c>
      <c r="Q14" s="8" t="s">
        <v>117</v>
      </c>
      <c r="R14" s="8" t="s">
        <v>69</v>
      </c>
      <c r="S14" s="8" t="s">
        <v>69</v>
      </c>
      <c r="T14" s="8"/>
      <c r="U14" s="40">
        <v>45941</v>
      </c>
      <c r="V14" s="8" t="s">
        <v>117</v>
      </c>
      <c r="W14" s="30"/>
      <c r="X14" s="15"/>
      <c r="Y14" s="15"/>
      <c r="Z14" s="15"/>
    </row>
    <row r="15" ht="66" spans="1:26">
      <c r="A15" s="26" t="str">
        <f t="shared" si="14"/>
        <v>ID-003</v>
      </c>
      <c r="B15" s="10" t="s">
        <v>502</v>
      </c>
      <c r="C15" s="10" t="s">
        <v>515</v>
      </c>
      <c r="D15" s="28" t="s">
        <v>504</v>
      </c>
      <c r="E15" s="28" t="s">
        <v>516</v>
      </c>
      <c r="F15" s="28" t="s">
        <v>517</v>
      </c>
      <c r="G15" s="28" t="s">
        <v>518</v>
      </c>
      <c r="H15" s="8" t="s">
        <v>69</v>
      </c>
      <c r="I15" s="8" t="s">
        <v>69</v>
      </c>
      <c r="J15" s="8"/>
      <c r="K15" s="33" t="s">
        <v>508</v>
      </c>
      <c r="L15" s="8" t="s">
        <v>117</v>
      </c>
      <c r="M15" s="8" t="s">
        <v>69</v>
      </c>
      <c r="N15" s="8" t="s">
        <v>70</v>
      </c>
      <c r="O15" s="8" t="s">
        <v>519</v>
      </c>
      <c r="P15" s="26" t="s">
        <v>509</v>
      </c>
      <c r="Q15" s="8" t="s">
        <v>117</v>
      </c>
      <c r="R15" s="8" t="s">
        <v>69</v>
      </c>
      <c r="S15" s="8" t="s">
        <v>69</v>
      </c>
      <c r="T15" s="8"/>
      <c r="U15" s="39" t="s">
        <v>510</v>
      </c>
      <c r="V15" s="8" t="s">
        <v>117</v>
      </c>
      <c r="W15" s="30"/>
      <c r="X15" s="15"/>
      <c r="Y15" s="15"/>
      <c r="Z15" s="15"/>
    </row>
    <row r="16" ht="79.2" spans="1:26">
      <c r="A16" s="26" t="str">
        <f t="shared" si="14"/>
        <v>ID-004</v>
      </c>
      <c r="B16" s="10" t="s">
        <v>502</v>
      </c>
      <c r="C16" s="10" t="s">
        <v>520</v>
      </c>
      <c r="D16" s="28" t="s">
        <v>504</v>
      </c>
      <c r="E16" s="28" t="s">
        <v>521</v>
      </c>
      <c r="F16" s="28" t="s">
        <v>522</v>
      </c>
      <c r="G16" s="28" t="s">
        <v>523</v>
      </c>
      <c r="H16" s="8" t="s">
        <v>69</v>
      </c>
      <c r="I16" s="8" t="s">
        <v>69</v>
      </c>
      <c r="J16" s="8"/>
      <c r="K16" s="33" t="s">
        <v>508</v>
      </c>
      <c r="L16" s="8" t="s">
        <v>117</v>
      </c>
      <c r="M16" s="8" t="s">
        <v>69</v>
      </c>
      <c r="N16" s="8" t="s">
        <v>69</v>
      </c>
      <c r="O16" s="8"/>
      <c r="P16" s="26" t="s">
        <v>509</v>
      </c>
      <c r="Q16" s="8" t="s">
        <v>117</v>
      </c>
      <c r="R16" s="8" t="s">
        <v>69</v>
      </c>
      <c r="S16" s="8" t="s">
        <v>69</v>
      </c>
      <c r="T16" s="8"/>
      <c r="U16" s="40">
        <v>45941</v>
      </c>
      <c r="V16" s="8" t="s">
        <v>117</v>
      </c>
      <c r="W16" s="30"/>
      <c r="X16" s="15"/>
      <c r="Y16" s="15"/>
      <c r="Z16" s="15"/>
    </row>
    <row r="17" ht="66" spans="1:26">
      <c r="A17" s="26" t="str">
        <f t="shared" si="14"/>
        <v>ID-005</v>
      </c>
      <c r="B17" s="10" t="s">
        <v>502</v>
      </c>
      <c r="C17" s="10" t="s">
        <v>524</v>
      </c>
      <c r="D17" s="28" t="s">
        <v>504</v>
      </c>
      <c r="E17" s="28" t="s">
        <v>525</v>
      </c>
      <c r="F17" s="28" t="s">
        <v>526</v>
      </c>
      <c r="G17" s="28" t="s">
        <v>527</v>
      </c>
      <c r="H17" s="8" t="s">
        <v>69</v>
      </c>
      <c r="I17" s="8" t="s">
        <v>69</v>
      </c>
      <c r="J17" s="8"/>
      <c r="K17" s="33" t="s">
        <v>508</v>
      </c>
      <c r="L17" s="8" t="s">
        <v>117</v>
      </c>
      <c r="M17" s="8" t="s">
        <v>69</v>
      </c>
      <c r="N17" s="8" t="s">
        <v>69</v>
      </c>
      <c r="O17" s="8"/>
      <c r="P17" s="26" t="s">
        <v>509</v>
      </c>
      <c r="Q17" s="8" t="s">
        <v>117</v>
      </c>
      <c r="R17" s="8" t="s">
        <v>69</v>
      </c>
      <c r="S17" s="8" t="s">
        <v>69</v>
      </c>
      <c r="T17" s="8"/>
      <c r="U17" s="39" t="s">
        <v>510</v>
      </c>
      <c r="V17" s="8" t="s">
        <v>117</v>
      </c>
      <c r="W17" s="30"/>
      <c r="X17" s="15"/>
      <c r="Y17" s="15"/>
      <c r="Z17" s="15"/>
    </row>
    <row r="18" ht="44.25" customHeight="1" spans="1:26">
      <c r="A18" s="26" t="str">
        <f t="shared" si="14"/>
        <v>ID-006</v>
      </c>
      <c r="B18" s="10" t="s">
        <v>502</v>
      </c>
      <c r="C18" s="10" t="s">
        <v>528</v>
      </c>
      <c r="D18" s="28" t="s">
        <v>529</v>
      </c>
      <c r="E18" s="28" t="s">
        <v>530</v>
      </c>
      <c r="F18" s="28" t="s">
        <v>531</v>
      </c>
      <c r="G18" s="28" t="s">
        <v>532</v>
      </c>
      <c r="H18" s="8" t="s">
        <v>69</v>
      </c>
      <c r="I18" s="8" t="s">
        <v>69</v>
      </c>
      <c r="J18" s="8"/>
      <c r="K18" s="36">
        <v>45848</v>
      </c>
      <c r="L18" s="8" t="s">
        <v>117</v>
      </c>
      <c r="M18" s="8" t="s">
        <v>69</v>
      </c>
      <c r="N18" s="8" t="s">
        <v>69</v>
      </c>
      <c r="O18" s="8"/>
      <c r="P18" s="26" t="s">
        <v>509</v>
      </c>
      <c r="Q18" s="8" t="s">
        <v>117</v>
      </c>
      <c r="R18" s="8" t="s">
        <v>69</v>
      </c>
      <c r="S18" s="8" t="s">
        <v>69</v>
      </c>
      <c r="T18" s="8"/>
      <c r="U18" s="37">
        <v>45941</v>
      </c>
      <c r="V18" s="8" t="s">
        <v>117</v>
      </c>
      <c r="W18" s="30"/>
      <c r="X18" s="15"/>
      <c r="Y18" s="15"/>
      <c r="Z18" s="15"/>
    </row>
    <row r="19" ht="47.25" customHeight="1" spans="1:26">
      <c r="A19" s="26" t="str">
        <f t="shared" si="14"/>
        <v>ID-007</v>
      </c>
      <c r="B19" s="10" t="s">
        <v>502</v>
      </c>
      <c r="C19" s="10" t="s">
        <v>533</v>
      </c>
      <c r="D19" s="28" t="s">
        <v>534</v>
      </c>
      <c r="E19" s="28" t="s">
        <v>535</v>
      </c>
      <c r="F19" s="28" t="s">
        <v>536</v>
      </c>
      <c r="G19" s="28" t="s">
        <v>537</v>
      </c>
      <c r="H19" s="8" t="s">
        <v>69</v>
      </c>
      <c r="I19" s="8" t="s">
        <v>69</v>
      </c>
      <c r="J19" s="8"/>
      <c r="K19" s="36">
        <v>45848</v>
      </c>
      <c r="L19" s="8" t="s">
        <v>117</v>
      </c>
      <c r="M19" s="8" t="s">
        <v>69</v>
      </c>
      <c r="N19" s="8" t="s">
        <v>69</v>
      </c>
      <c r="O19" s="8"/>
      <c r="P19" s="26" t="s">
        <v>509</v>
      </c>
      <c r="Q19" s="8" t="s">
        <v>117</v>
      </c>
      <c r="R19" s="8" t="s">
        <v>69</v>
      </c>
      <c r="S19" s="8" t="s">
        <v>69</v>
      </c>
      <c r="T19" s="8"/>
      <c r="U19" s="37">
        <v>45941</v>
      </c>
      <c r="V19" s="8" t="s">
        <v>117</v>
      </c>
      <c r="W19" s="30"/>
      <c r="X19" s="15"/>
      <c r="Y19" s="15"/>
      <c r="Z19" s="15"/>
    </row>
    <row r="20" ht="76.5" customHeight="1" spans="1:26">
      <c r="A20" s="26" t="str">
        <f t="shared" si="14"/>
        <v>ID-008</v>
      </c>
      <c r="B20" s="10" t="s">
        <v>502</v>
      </c>
      <c r="C20" s="10" t="s">
        <v>538</v>
      </c>
      <c r="D20" s="28" t="s">
        <v>404</v>
      </c>
      <c r="E20" s="28" t="s">
        <v>539</v>
      </c>
      <c r="F20" s="28" t="s">
        <v>540</v>
      </c>
      <c r="G20" s="28" t="s">
        <v>541</v>
      </c>
      <c r="H20" s="8" t="s">
        <v>69</v>
      </c>
      <c r="I20" s="8" t="s">
        <v>69</v>
      </c>
      <c r="J20" s="8"/>
      <c r="K20" s="36">
        <v>45848</v>
      </c>
      <c r="L20" s="8" t="s">
        <v>117</v>
      </c>
      <c r="M20" s="8" t="s">
        <v>69</v>
      </c>
      <c r="N20" s="8" t="s">
        <v>69</v>
      </c>
      <c r="O20" s="8"/>
      <c r="P20" s="26" t="s">
        <v>509</v>
      </c>
      <c r="Q20" s="8" t="s">
        <v>117</v>
      </c>
      <c r="R20" s="8" t="s">
        <v>69</v>
      </c>
      <c r="S20" s="8" t="s">
        <v>69</v>
      </c>
      <c r="T20" s="8"/>
      <c r="U20" s="37">
        <v>45941</v>
      </c>
      <c r="V20" s="8" t="s">
        <v>117</v>
      </c>
      <c r="W20" s="30"/>
      <c r="X20" s="15"/>
      <c r="Y20" s="15"/>
      <c r="Z20" s="15"/>
    </row>
    <row r="21" ht="102.75" customHeight="1" spans="1:26">
      <c r="A21" s="26" t="str">
        <f t="shared" si="14"/>
        <v>ID-009</v>
      </c>
      <c r="B21" s="10" t="s">
        <v>502</v>
      </c>
      <c r="C21" s="10" t="s">
        <v>411</v>
      </c>
      <c r="D21" s="28" t="s">
        <v>542</v>
      </c>
      <c r="E21" s="28" t="s">
        <v>543</v>
      </c>
      <c r="F21" s="28" t="s">
        <v>544</v>
      </c>
      <c r="G21" s="28" t="s">
        <v>545</v>
      </c>
      <c r="H21" s="8" t="s">
        <v>69</v>
      </c>
      <c r="I21" s="8" t="s">
        <v>69</v>
      </c>
      <c r="J21" s="8"/>
      <c r="K21" s="36">
        <v>45848</v>
      </c>
      <c r="L21" s="8" t="s">
        <v>117</v>
      </c>
      <c r="M21" s="8" t="s">
        <v>69</v>
      </c>
      <c r="N21" s="8" t="s">
        <v>69</v>
      </c>
      <c r="O21" s="8"/>
      <c r="P21" s="26" t="s">
        <v>118</v>
      </c>
      <c r="Q21" s="8" t="s">
        <v>117</v>
      </c>
      <c r="R21" s="8" t="s">
        <v>69</v>
      </c>
      <c r="S21" s="8" t="s">
        <v>69</v>
      </c>
      <c r="T21" s="8"/>
      <c r="U21" s="37">
        <v>45941</v>
      </c>
      <c r="V21" s="8" t="s">
        <v>117</v>
      </c>
      <c r="W21" s="30"/>
      <c r="X21" s="15"/>
      <c r="Y21" s="15"/>
      <c r="Z21" s="15"/>
    </row>
    <row r="22" ht="51.75" customHeight="1" spans="1:26">
      <c r="A22" s="26" t="str">
        <f t="shared" si="14"/>
        <v>ID-0010</v>
      </c>
      <c r="B22" s="10" t="s">
        <v>502</v>
      </c>
      <c r="C22" s="10" t="s">
        <v>176</v>
      </c>
      <c r="D22" s="28" t="s">
        <v>546</v>
      </c>
      <c r="E22" s="28" t="s">
        <v>547</v>
      </c>
      <c r="F22" s="28" t="s">
        <v>548</v>
      </c>
      <c r="G22" s="28" t="s">
        <v>549</v>
      </c>
      <c r="H22" s="8" t="s">
        <v>69</v>
      </c>
      <c r="I22" s="8" t="s">
        <v>69</v>
      </c>
      <c r="J22" s="8"/>
      <c r="K22" s="36">
        <v>45848</v>
      </c>
      <c r="L22" s="8" t="s">
        <v>117</v>
      </c>
      <c r="M22" s="8" t="s">
        <v>69</v>
      </c>
      <c r="N22" s="8" t="s">
        <v>69</v>
      </c>
      <c r="O22" s="8"/>
      <c r="P22" s="26" t="s">
        <v>118</v>
      </c>
      <c r="Q22" s="8" t="s">
        <v>117</v>
      </c>
      <c r="R22" s="8" t="s">
        <v>69</v>
      </c>
      <c r="S22" s="8" t="s">
        <v>69</v>
      </c>
      <c r="T22" s="8"/>
      <c r="U22" s="37">
        <v>45941</v>
      </c>
      <c r="V22" s="8" t="s">
        <v>117</v>
      </c>
      <c r="W22" s="30"/>
      <c r="X22" s="15"/>
      <c r="Y22" s="15"/>
      <c r="Z22" s="15"/>
    </row>
    <row r="23" ht="63" customHeight="1" spans="1:26">
      <c r="A23" s="26" t="str">
        <f t="shared" si="14"/>
        <v>ID-0011</v>
      </c>
      <c r="B23" s="10" t="s">
        <v>502</v>
      </c>
      <c r="C23" s="10" t="s">
        <v>416</v>
      </c>
      <c r="D23" s="28" t="s">
        <v>546</v>
      </c>
      <c r="E23" s="28" t="s">
        <v>550</v>
      </c>
      <c r="F23" s="28" t="s">
        <v>551</v>
      </c>
      <c r="G23" s="28" t="s">
        <v>552</v>
      </c>
      <c r="H23" s="8" t="s">
        <v>69</v>
      </c>
      <c r="I23" s="8" t="s">
        <v>69</v>
      </c>
      <c r="J23" s="8"/>
      <c r="K23" s="36">
        <v>45848</v>
      </c>
      <c r="L23" s="8" t="s">
        <v>117</v>
      </c>
      <c r="M23" s="8" t="s">
        <v>69</v>
      </c>
      <c r="N23" s="8" t="s">
        <v>69</v>
      </c>
      <c r="O23" s="8"/>
      <c r="P23" s="26" t="s">
        <v>118</v>
      </c>
      <c r="Q23" s="8" t="s">
        <v>117</v>
      </c>
      <c r="R23" s="8" t="s">
        <v>69</v>
      </c>
      <c r="S23" s="8" t="s">
        <v>69</v>
      </c>
      <c r="T23" s="8"/>
      <c r="U23" s="37">
        <v>45941</v>
      </c>
      <c r="V23" s="8" t="s">
        <v>117</v>
      </c>
      <c r="W23" s="30"/>
      <c r="X23" s="15"/>
      <c r="Y23" s="15"/>
      <c r="Z23" s="15"/>
    </row>
    <row r="24" ht="39.6" spans="1:26">
      <c r="A24" s="26" t="str">
        <f t="shared" si="14"/>
        <v>ID-0012</v>
      </c>
      <c r="B24" s="10" t="s">
        <v>502</v>
      </c>
      <c r="C24" s="34" t="s">
        <v>553</v>
      </c>
      <c r="D24" s="38" t="s">
        <v>554</v>
      </c>
      <c r="E24" s="28" t="s">
        <v>555</v>
      </c>
      <c r="F24" s="28" t="s">
        <v>556</v>
      </c>
      <c r="G24" s="28" t="s">
        <v>557</v>
      </c>
      <c r="H24" s="8" t="s">
        <v>69</v>
      </c>
      <c r="I24" s="8" t="s">
        <v>69</v>
      </c>
      <c r="J24" s="8"/>
      <c r="K24" s="36">
        <v>45910</v>
      </c>
      <c r="L24" s="8" t="s">
        <v>117</v>
      </c>
      <c r="M24" s="8" t="s">
        <v>69</v>
      </c>
      <c r="N24" s="8" t="s">
        <v>69</v>
      </c>
      <c r="O24" s="8"/>
      <c r="P24" s="26" t="s">
        <v>118</v>
      </c>
      <c r="Q24" s="8" t="s">
        <v>117</v>
      </c>
      <c r="R24" s="8" t="s">
        <v>69</v>
      </c>
      <c r="S24" s="8" t="s">
        <v>69</v>
      </c>
      <c r="T24" s="8"/>
      <c r="U24" s="37">
        <v>45941</v>
      </c>
      <c r="V24" s="8" t="s">
        <v>117</v>
      </c>
      <c r="W24" s="30"/>
      <c r="X24" s="15"/>
      <c r="Y24" s="15"/>
      <c r="Z24" s="15"/>
    </row>
    <row r="25" ht="52.8" spans="1:26">
      <c r="A25" s="26" t="str">
        <f t="shared" si="14"/>
        <v>ID-0013</v>
      </c>
      <c r="B25" s="10" t="s">
        <v>502</v>
      </c>
      <c r="C25" s="34" t="s">
        <v>558</v>
      </c>
      <c r="D25" s="38" t="s">
        <v>559</v>
      </c>
      <c r="E25" s="28" t="s">
        <v>560</v>
      </c>
      <c r="F25" s="28" t="s">
        <v>561</v>
      </c>
      <c r="G25" s="28" t="s">
        <v>562</v>
      </c>
      <c r="H25" s="8" t="s">
        <v>69</v>
      </c>
      <c r="I25" s="8" t="s">
        <v>69</v>
      </c>
      <c r="J25" s="8"/>
      <c r="K25" s="36">
        <v>45910</v>
      </c>
      <c r="L25" s="8" t="s">
        <v>117</v>
      </c>
      <c r="M25" s="8" t="s">
        <v>69</v>
      </c>
      <c r="N25" s="8" t="s">
        <v>69</v>
      </c>
      <c r="O25" s="8"/>
      <c r="P25" s="26" t="s">
        <v>118</v>
      </c>
      <c r="Q25" s="8" t="s">
        <v>117</v>
      </c>
      <c r="R25" s="8" t="s">
        <v>69</v>
      </c>
      <c r="S25" s="8" t="s">
        <v>69</v>
      </c>
      <c r="T25" s="8"/>
      <c r="U25" s="37">
        <v>45941</v>
      </c>
      <c r="V25" s="8" t="s">
        <v>117</v>
      </c>
      <c r="W25" s="30"/>
      <c r="X25" s="15"/>
      <c r="Y25" s="15"/>
      <c r="Z25" s="15"/>
    </row>
    <row r="26" ht="39.6" spans="1:26">
      <c r="A26" s="26" t="str">
        <f t="shared" si="14"/>
        <v>ID-0014</v>
      </c>
      <c r="B26" s="10" t="s">
        <v>502</v>
      </c>
      <c r="C26" s="34" t="s">
        <v>563</v>
      </c>
      <c r="D26" s="38" t="s">
        <v>564</v>
      </c>
      <c r="E26" s="28" t="s">
        <v>565</v>
      </c>
      <c r="F26" s="28" t="s">
        <v>566</v>
      </c>
      <c r="G26" s="28" t="s">
        <v>567</v>
      </c>
      <c r="H26" s="8" t="s">
        <v>69</v>
      </c>
      <c r="I26" s="8" t="s">
        <v>69</v>
      </c>
      <c r="J26" s="8"/>
      <c r="K26" s="36">
        <v>45910</v>
      </c>
      <c r="L26" s="8" t="s">
        <v>117</v>
      </c>
      <c r="M26" s="8" t="s">
        <v>69</v>
      </c>
      <c r="N26" s="8" t="s">
        <v>69</v>
      </c>
      <c r="O26" s="8"/>
      <c r="P26" s="26" t="s">
        <v>118</v>
      </c>
      <c r="Q26" s="8" t="s">
        <v>117</v>
      </c>
      <c r="R26" s="8" t="s">
        <v>69</v>
      </c>
      <c r="S26" s="8" t="s">
        <v>69</v>
      </c>
      <c r="T26" s="8"/>
      <c r="U26" s="37">
        <v>45941</v>
      </c>
      <c r="V26" s="8" t="s">
        <v>117</v>
      </c>
      <c r="W26" s="30"/>
      <c r="X26" s="15"/>
      <c r="Y26" s="15"/>
      <c r="Z26" s="15"/>
    </row>
    <row r="27" ht="66" customHeight="1" spans="1:26">
      <c r="A27" s="26" t="str">
        <f t="shared" si="14"/>
        <v>ID-0015</v>
      </c>
      <c r="B27" s="10" t="s">
        <v>502</v>
      </c>
      <c r="C27" s="34" t="s">
        <v>568</v>
      </c>
      <c r="D27" s="34" t="s">
        <v>569</v>
      </c>
      <c r="E27" s="34" t="s">
        <v>570</v>
      </c>
      <c r="F27" s="34" t="s">
        <v>571</v>
      </c>
      <c r="G27" s="34" t="s">
        <v>572</v>
      </c>
      <c r="H27" s="8" t="s">
        <v>69</v>
      </c>
      <c r="I27" s="8" t="s">
        <v>69</v>
      </c>
      <c r="J27" s="8"/>
      <c r="K27" s="36">
        <v>45910</v>
      </c>
      <c r="L27" s="8" t="s">
        <v>117</v>
      </c>
      <c r="M27" s="8" t="s">
        <v>69</v>
      </c>
      <c r="N27" s="8" t="s">
        <v>69</v>
      </c>
      <c r="O27" s="8"/>
      <c r="P27" s="26" t="s">
        <v>118</v>
      </c>
      <c r="Q27" s="8" t="s">
        <v>117</v>
      </c>
      <c r="R27" s="8" t="s">
        <v>69</v>
      </c>
      <c r="S27" s="8" t="s">
        <v>69</v>
      </c>
      <c r="T27" s="8"/>
      <c r="U27" s="37">
        <v>45941</v>
      </c>
      <c r="V27" s="8" t="s">
        <v>117</v>
      </c>
      <c r="W27" s="30"/>
      <c r="X27" s="15"/>
      <c r="Y27" s="15"/>
      <c r="Z27" s="15"/>
    </row>
    <row r="28" ht="51.75" customHeight="1" spans="1:26">
      <c r="A28" s="26" t="str">
        <f t="shared" si="14"/>
        <v>ID-0016</v>
      </c>
      <c r="B28" s="10" t="s">
        <v>502</v>
      </c>
      <c r="C28" s="34" t="s">
        <v>573</v>
      </c>
      <c r="D28" s="34" t="s">
        <v>574</v>
      </c>
      <c r="E28" s="28" t="s">
        <v>575</v>
      </c>
      <c r="F28" s="34" t="s">
        <v>576</v>
      </c>
      <c r="G28" s="34" t="s">
        <v>577</v>
      </c>
      <c r="H28" s="8" t="s">
        <v>69</v>
      </c>
      <c r="I28" s="8" t="s">
        <v>69</v>
      </c>
      <c r="J28" s="8"/>
      <c r="K28" s="36">
        <v>45910</v>
      </c>
      <c r="L28" s="8" t="s">
        <v>117</v>
      </c>
      <c r="M28" s="8" t="s">
        <v>69</v>
      </c>
      <c r="N28" s="8" t="s">
        <v>69</v>
      </c>
      <c r="O28" s="8"/>
      <c r="P28" s="26" t="s">
        <v>118</v>
      </c>
      <c r="Q28" s="8" t="s">
        <v>117</v>
      </c>
      <c r="R28" s="8" t="s">
        <v>69</v>
      </c>
      <c r="S28" s="8" t="s">
        <v>69</v>
      </c>
      <c r="T28" s="8"/>
      <c r="U28" s="37">
        <v>45941</v>
      </c>
      <c r="V28" s="8" t="s">
        <v>117</v>
      </c>
      <c r="W28" s="30"/>
      <c r="X28" s="15"/>
      <c r="Y28" s="15"/>
      <c r="Z28" s="15"/>
    </row>
    <row r="29" customHeight="1" spans="1:26">
      <c r="A29" s="26" t="str">
        <f t="shared" si="14"/>
        <v>ID-0017</v>
      </c>
      <c r="B29" s="30"/>
      <c r="C29" s="30"/>
      <c r="D29" s="30"/>
      <c r="E29" s="30"/>
      <c r="F29" s="30"/>
      <c r="G29" s="30"/>
      <c r="H29" s="8"/>
      <c r="I29" s="8"/>
      <c r="J29" s="8"/>
      <c r="K29" s="8"/>
      <c r="L29" s="8"/>
      <c r="M29" s="8"/>
      <c r="N29" s="8"/>
      <c r="O29" s="8"/>
      <c r="P29" s="8"/>
      <c r="Q29" s="8"/>
      <c r="R29" s="8"/>
      <c r="S29" s="8"/>
      <c r="T29" s="8"/>
      <c r="U29" s="8"/>
      <c r="V29" s="8"/>
      <c r="W29" s="30"/>
      <c r="X29" s="15"/>
      <c r="Y29" s="15"/>
      <c r="Z29" s="15"/>
    </row>
    <row r="30" customHeight="1" spans="1:26">
      <c r="A30" s="26" t="str">
        <f t="shared" si="14"/>
        <v>ID-0018</v>
      </c>
      <c r="B30" s="30"/>
      <c r="C30" s="30"/>
      <c r="D30" s="30"/>
      <c r="E30" s="30"/>
      <c r="F30" s="30"/>
      <c r="G30" s="30"/>
      <c r="H30" s="8"/>
      <c r="I30" s="8"/>
      <c r="J30" s="8"/>
      <c r="K30" s="8"/>
      <c r="L30" s="8"/>
      <c r="M30" s="8"/>
      <c r="N30" s="8"/>
      <c r="O30" s="8"/>
      <c r="P30" s="8"/>
      <c r="Q30" s="8"/>
      <c r="R30" s="8"/>
      <c r="S30" s="8"/>
      <c r="T30" s="8"/>
      <c r="U30" s="8"/>
      <c r="V30" s="8"/>
      <c r="W30" s="30"/>
      <c r="X30" s="15"/>
      <c r="Y30" s="15"/>
      <c r="Z30" s="15"/>
    </row>
    <row r="31" customHeight="1" spans="1:26">
      <c r="A31" s="26" t="str">
        <f t="shared" si="14"/>
        <v>ID-0019</v>
      </c>
      <c r="B31" s="30"/>
      <c r="C31" s="30"/>
      <c r="D31" s="30"/>
      <c r="E31" s="30"/>
      <c r="F31" s="30"/>
      <c r="G31" s="30"/>
      <c r="H31" s="8"/>
      <c r="I31" s="8"/>
      <c r="J31" s="8"/>
      <c r="K31" s="8"/>
      <c r="L31" s="8"/>
      <c r="M31" s="8"/>
      <c r="N31" s="8"/>
      <c r="O31" s="8"/>
      <c r="P31" s="8"/>
      <c r="Q31" s="8"/>
      <c r="R31" s="8"/>
      <c r="S31" s="8"/>
      <c r="T31" s="8"/>
      <c r="U31" s="8"/>
      <c r="V31" s="8"/>
      <c r="W31" s="30"/>
      <c r="X31" s="15"/>
      <c r="Y31" s="15"/>
      <c r="Z31" s="15"/>
    </row>
    <row r="32" customHeight="1" spans="1:26">
      <c r="A32" s="26" t="str">
        <f t="shared" si="14"/>
        <v>ID-0020</v>
      </c>
      <c r="B32" s="30"/>
      <c r="C32" s="30"/>
      <c r="D32" s="30"/>
      <c r="E32" s="30"/>
      <c r="F32" s="30"/>
      <c r="G32" s="30"/>
      <c r="H32" s="8"/>
      <c r="I32" s="8"/>
      <c r="J32" s="8"/>
      <c r="K32" s="8"/>
      <c r="L32" s="8"/>
      <c r="M32" s="8"/>
      <c r="N32" s="8"/>
      <c r="O32" s="8"/>
      <c r="P32" s="8"/>
      <c r="Q32" s="8"/>
      <c r="R32" s="8"/>
      <c r="S32" s="8"/>
      <c r="T32" s="8"/>
      <c r="U32" s="8"/>
      <c r="V32" s="8"/>
      <c r="W32" s="30"/>
      <c r="X32" s="15"/>
      <c r="Y32" s="15"/>
      <c r="Z32" s="15"/>
    </row>
    <row r="33" customHeight="1" spans="1:26">
      <c r="A33" s="26" t="str">
        <f t="shared" si="14"/>
        <v>ID-0021</v>
      </c>
      <c r="B33" s="30"/>
      <c r="C33" s="30"/>
      <c r="D33" s="30"/>
      <c r="E33" s="30"/>
      <c r="F33" s="30"/>
      <c r="G33" s="30"/>
      <c r="H33" s="8"/>
      <c r="I33" s="8"/>
      <c r="J33" s="8"/>
      <c r="K33" s="8"/>
      <c r="L33" s="8"/>
      <c r="M33" s="8"/>
      <c r="N33" s="8"/>
      <c r="O33" s="8"/>
      <c r="P33" s="8"/>
      <c r="Q33" s="8"/>
      <c r="R33" s="8"/>
      <c r="S33" s="8"/>
      <c r="T33" s="8"/>
      <c r="U33" s="8"/>
      <c r="V33" s="8"/>
      <c r="W33" s="30"/>
      <c r="X33" s="15"/>
      <c r="Y33" s="15"/>
      <c r="Z33" s="15"/>
    </row>
    <row r="34" customHeight="1" spans="1:26">
      <c r="A34" s="26" t="str">
        <f t="shared" si="14"/>
        <v>ID-0022</v>
      </c>
      <c r="B34" s="30"/>
      <c r="C34" s="30"/>
      <c r="D34" s="30"/>
      <c r="E34" s="30"/>
      <c r="F34" s="30"/>
      <c r="G34" s="30"/>
      <c r="H34" s="8"/>
      <c r="I34" s="8"/>
      <c r="J34" s="8"/>
      <c r="K34" s="8"/>
      <c r="L34" s="8"/>
      <c r="M34" s="8"/>
      <c r="N34" s="8"/>
      <c r="O34" s="8"/>
      <c r="P34" s="8"/>
      <c r="Q34" s="8"/>
      <c r="R34" s="8"/>
      <c r="S34" s="8"/>
      <c r="T34" s="8"/>
      <c r="U34" s="8"/>
      <c r="V34" s="8"/>
      <c r="W34" s="30"/>
      <c r="X34" s="15"/>
      <c r="Y34" s="15"/>
      <c r="Z34" s="15"/>
    </row>
    <row r="35" customHeight="1" spans="1:26">
      <c r="A35" s="26" t="str">
        <f t="shared" si="14"/>
        <v>ID-0023</v>
      </c>
      <c r="B35" s="30"/>
      <c r="C35" s="30"/>
      <c r="D35" s="30"/>
      <c r="E35" s="30"/>
      <c r="F35" s="30"/>
      <c r="G35" s="30"/>
      <c r="H35" s="8"/>
      <c r="I35" s="8"/>
      <c r="J35" s="8"/>
      <c r="K35" s="8"/>
      <c r="L35" s="8"/>
      <c r="M35" s="8"/>
      <c r="N35" s="8"/>
      <c r="O35" s="8"/>
      <c r="P35" s="8"/>
      <c r="Q35" s="8"/>
      <c r="R35" s="8"/>
      <c r="S35" s="8"/>
      <c r="T35" s="8"/>
      <c r="U35" s="8"/>
      <c r="V35" s="8"/>
      <c r="W35" s="30"/>
      <c r="X35" s="15"/>
      <c r="Y35" s="15"/>
      <c r="Z35" s="15"/>
    </row>
    <row r="36" customHeight="1" spans="1:26">
      <c r="A36" s="26" t="str">
        <f t="shared" si="14"/>
        <v>ID-0024</v>
      </c>
      <c r="B36" s="30"/>
      <c r="C36" s="30"/>
      <c r="D36" s="30"/>
      <c r="E36" s="30"/>
      <c r="F36" s="30"/>
      <c r="G36" s="30"/>
      <c r="H36" s="8"/>
      <c r="I36" s="8"/>
      <c r="J36" s="8"/>
      <c r="K36" s="8"/>
      <c r="L36" s="8"/>
      <c r="M36" s="8"/>
      <c r="N36" s="8"/>
      <c r="O36" s="8"/>
      <c r="P36" s="8"/>
      <c r="Q36" s="8"/>
      <c r="R36" s="8"/>
      <c r="S36" s="8"/>
      <c r="T36" s="8"/>
      <c r="U36" s="8"/>
      <c r="V36" s="8"/>
      <c r="W36" s="30"/>
      <c r="X36" s="15"/>
      <c r="Y36" s="15"/>
      <c r="Z36" s="15"/>
    </row>
    <row r="37" customHeight="1" spans="1:26">
      <c r="A37" s="17"/>
      <c r="B37" s="15"/>
      <c r="C37" s="15"/>
      <c r="D37" s="15"/>
      <c r="E37" s="15"/>
      <c r="F37" s="15"/>
      <c r="G37" s="15"/>
      <c r="H37" s="16"/>
      <c r="I37" s="16"/>
      <c r="J37" s="16"/>
      <c r="K37" s="16"/>
      <c r="L37" s="16"/>
      <c r="M37" s="16"/>
      <c r="N37" s="16"/>
      <c r="O37" s="16"/>
      <c r="P37" s="16"/>
      <c r="Q37" s="16"/>
      <c r="R37" s="16"/>
      <c r="S37" s="16"/>
      <c r="T37" s="16"/>
      <c r="U37" s="16"/>
      <c r="V37" s="16"/>
      <c r="W37" s="15"/>
      <c r="X37" s="15"/>
      <c r="Y37" s="15"/>
      <c r="Z37" s="15"/>
    </row>
    <row r="38" customHeight="1" spans="1:26">
      <c r="A38" s="17"/>
      <c r="B38" s="15"/>
      <c r="C38" s="15"/>
      <c r="D38" s="15"/>
      <c r="E38" s="15"/>
      <c r="F38" s="15"/>
      <c r="G38" s="15"/>
      <c r="H38" s="16"/>
      <c r="I38" s="16"/>
      <c r="J38" s="16"/>
      <c r="K38" s="16"/>
      <c r="L38" s="16"/>
      <c r="M38" s="16"/>
      <c r="N38" s="16"/>
      <c r="O38" s="16"/>
      <c r="P38" s="16"/>
      <c r="Q38" s="16"/>
      <c r="R38" s="16"/>
      <c r="S38" s="16"/>
      <c r="T38" s="16"/>
      <c r="U38" s="16"/>
      <c r="V38" s="16"/>
      <c r="W38" s="15"/>
      <c r="X38" s="15"/>
      <c r="Y38" s="15"/>
      <c r="Z38" s="15"/>
    </row>
    <row r="39" customHeight="1" spans="1:26">
      <c r="A39" s="17"/>
      <c r="B39" s="15"/>
      <c r="C39" s="15"/>
      <c r="D39" s="15"/>
      <c r="E39" s="15"/>
      <c r="F39" s="15"/>
      <c r="G39" s="15"/>
      <c r="H39" s="16"/>
      <c r="I39" s="16"/>
      <c r="J39" s="16"/>
      <c r="K39" s="16"/>
      <c r="L39" s="16"/>
      <c r="M39" s="16"/>
      <c r="N39" s="16"/>
      <c r="O39" s="16"/>
      <c r="P39" s="16"/>
      <c r="Q39" s="16"/>
      <c r="R39" s="16"/>
      <c r="S39" s="16"/>
      <c r="T39" s="16"/>
      <c r="U39" s="16"/>
      <c r="V39" s="16"/>
      <c r="W39" s="15"/>
      <c r="X39" s="15"/>
      <c r="Y39" s="15"/>
      <c r="Z39" s="15"/>
    </row>
    <row r="40" customHeight="1" spans="1:26">
      <c r="A40" s="17"/>
      <c r="B40" s="15"/>
      <c r="C40" s="15"/>
      <c r="D40" s="15"/>
      <c r="E40" s="15"/>
      <c r="F40" s="15"/>
      <c r="G40" s="15"/>
      <c r="H40" s="16"/>
      <c r="I40" s="16"/>
      <c r="J40" s="16"/>
      <c r="K40" s="16"/>
      <c r="L40" s="16"/>
      <c r="M40" s="16"/>
      <c r="N40" s="16"/>
      <c r="O40" s="16"/>
      <c r="P40" s="16"/>
      <c r="Q40" s="16"/>
      <c r="R40" s="16"/>
      <c r="S40" s="16"/>
      <c r="T40" s="16"/>
      <c r="U40" s="16"/>
      <c r="V40" s="16"/>
      <c r="W40" s="15"/>
      <c r="X40" s="15"/>
      <c r="Y40" s="15"/>
      <c r="Z40" s="15"/>
    </row>
    <row r="41" customHeight="1" spans="1:26">
      <c r="A41" s="17"/>
      <c r="B41" s="15"/>
      <c r="C41" s="15"/>
      <c r="D41" s="15"/>
      <c r="E41" s="15"/>
      <c r="F41" s="15"/>
      <c r="G41" s="15"/>
      <c r="H41" s="16"/>
      <c r="I41" s="16"/>
      <c r="J41" s="16"/>
      <c r="K41" s="16"/>
      <c r="L41" s="16"/>
      <c r="M41" s="16"/>
      <c r="N41" s="16"/>
      <c r="O41" s="16"/>
      <c r="P41" s="16"/>
      <c r="Q41" s="16"/>
      <c r="R41" s="16"/>
      <c r="S41" s="16"/>
      <c r="T41" s="16"/>
      <c r="U41" s="16"/>
      <c r="V41" s="16"/>
      <c r="W41" s="15"/>
      <c r="X41" s="15"/>
      <c r="Y41" s="15"/>
      <c r="Z41" s="15"/>
    </row>
    <row r="42" customHeight="1" spans="1:26">
      <c r="A42" s="17"/>
      <c r="B42" s="15"/>
      <c r="C42" s="15"/>
      <c r="D42" s="15"/>
      <c r="E42" s="15"/>
      <c r="F42" s="15"/>
      <c r="G42" s="15"/>
      <c r="H42" s="16"/>
      <c r="I42" s="16"/>
      <c r="J42" s="16"/>
      <c r="K42" s="16"/>
      <c r="L42" s="16"/>
      <c r="M42" s="16"/>
      <c r="N42" s="16"/>
      <c r="O42" s="16"/>
      <c r="P42" s="16"/>
      <c r="Q42" s="16"/>
      <c r="R42" s="16"/>
      <c r="S42" s="16"/>
      <c r="T42" s="16"/>
      <c r="U42" s="16"/>
      <c r="V42" s="16"/>
      <c r="W42" s="15"/>
      <c r="X42" s="15"/>
      <c r="Y42" s="15"/>
      <c r="Z42" s="15"/>
    </row>
    <row r="43" customHeight="1" spans="1:26">
      <c r="A43" s="17"/>
      <c r="B43" s="15"/>
      <c r="C43" s="15"/>
      <c r="D43" s="15"/>
      <c r="E43" s="15"/>
      <c r="F43" s="15"/>
      <c r="G43" s="15"/>
      <c r="H43" s="16"/>
      <c r="I43" s="16"/>
      <c r="J43" s="16"/>
      <c r="K43" s="16"/>
      <c r="L43" s="16"/>
      <c r="M43" s="16"/>
      <c r="N43" s="16"/>
      <c r="O43" s="16"/>
      <c r="P43" s="16"/>
      <c r="Q43" s="16"/>
      <c r="R43" s="16"/>
      <c r="S43" s="16"/>
      <c r="T43" s="16"/>
      <c r="U43" s="16"/>
      <c r="V43" s="16"/>
      <c r="W43" s="15"/>
      <c r="X43" s="15"/>
      <c r="Y43" s="15"/>
      <c r="Z43" s="15"/>
    </row>
    <row r="44" customHeight="1" spans="1:26">
      <c r="A44" s="17"/>
      <c r="B44" s="15"/>
      <c r="C44" s="15"/>
      <c r="D44" s="15"/>
      <c r="E44" s="15"/>
      <c r="F44" s="15"/>
      <c r="G44" s="15"/>
      <c r="H44" s="16"/>
      <c r="I44" s="16"/>
      <c r="J44" s="16"/>
      <c r="K44" s="16"/>
      <c r="L44" s="16"/>
      <c r="M44" s="16"/>
      <c r="N44" s="16"/>
      <c r="O44" s="16"/>
      <c r="P44" s="16"/>
      <c r="Q44" s="16"/>
      <c r="R44" s="16"/>
      <c r="S44" s="16"/>
      <c r="T44" s="16"/>
      <c r="U44" s="16"/>
      <c r="V44" s="16"/>
      <c r="W44" s="15"/>
      <c r="X44" s="15"/>
      <c r="Y44" s="15"/>
      <c r="Z44" s="15"/>
    </row>
    <row r="45" customHeight="1" spans="1:26">
      <c r="A45" s="17"/>
      <c r="B45" s="15"/>
      <c r="C45" s="15"/>
      <c r="D45" s="15"/>
      <c r="E45" s="15"/>
      <c r="F45" s="15"/>
      <c r="G45" s="15"/>
      <c r="H45" s="16"/>
      <c r="I45" s="16"/>
      <c r="J45" s="16"/>
      <c r="K45" s="16"/>
      <c r="L45" s="16"/>
      <c r="M45" s="16"/>
      <c r="N45" s="16"/>
      <c r="O45" s="16"/>
      <c r="P45" s="16"/>
      <c r="Q45" s="16"/>
      <c r="R45" s="16"/>
      <c r="S45" s="16"/>
      <c r="T45" s="16"/>
      <c r="U45" s="16"/>
      <c r="V45" s="16"/>
      <c r="W45" s="15"/>
      <c r="X45" s="15"/>
      <c r="Y45" s="15"/>
      <c r="Z45" s="15"/>
    </row>
    <row r="46" customHeight="1" spans="1:26">
      <c r="A46" s="17"/>
      <c r="B46" s="15"/>
      <c r="C46" s="15"/>
      <c r="D46" s="15"/>
      <c r="E46" s="15"/>
      <c r="F46" s="15"/>
      <c r="G46" s="15"/>
      <c r="H46" s="16"/>
      <c r="I46" s="16"/>
      <c r="J46" s="16"/>
      <c r="K46" s="16"/>
      <c r="L46" s="16"/>
      <c r="M46" s="16"/>
      <c r="N46" s="16"/>
      <c r="O46" s="16"/>
      <c r="P46" s="16"/>
      <c r="Q46" s="16"/>
      <c r="R46" s="16"/>
      <c r="S46" s="16"/>
      <c r="T46" s="16"/>
      <c r="U46" s="16"/>
      <c r="V46" s="16"/>
      <c r="W46" s="15"/>
      <c r="X46" s="15"/>
      <c r="Y46" s="15"/>
      <c r="Z46" s="15"/>
    </row>
    <row r="47" customHeight="1" spans="1:26">
      <c r="A47" s="17"/>
      <c r="B47" s="15"/>
      <c r="C47" s="15"/>
      <c r="D47" s="15"/>
      <c r="E47" s="15"/>
      <c r="F47" s="15"/>
      <c r="G47" s="15"/>
      <c r="H47" s="16"/>
      <c r="I47" s="16"/>
      <c r="J47" s="16"/>
      <c r="K47" s="16"/>
      <c r="L47" s="16"/>
      <c r="M47" s="16"/>
      <c r="N47" s="16"/>
      <c r="O47" s="16"/>
      <c r="P47" s="16"/>
      <c r="Q47" s="16"/>
      <c r="R47" s="16"/>
      <c r="S47" s="16"/>
      <c r="T47" s="16"/>
      <c r="U47" s="16"/>
      <c r="V47" s="16"/>
      <c r="W47" s="15"/>
      <c r="X47" s="15"/>
      <c r="Y47" s="15"/>
      <c r="Z47" s="15"/>
    </row>
    <row r="48" customHeight="1" spans="1:26">
      <c r="A48" s="17"/>
      <c r="B48" s="15"/>
      <c r="C48" s="15"/>
      <c r="D48" s="15"/>
      <c r="E48" s="15"/>
      <c r="F48" s="15"/>
      <c r="G48" s="15"/>
      <c r="H48" s="16"/>
      <c r="I48" s="16"/>
      <c r="J48" s="16"/>
      <c r="K48" s="16"/>
      <c r="L48" s="16"/>
      <c r="M48" s="16"/>
      <c r="N48" s="16"/>
      <c r="O48" s="16"/>
      <c r="P48" s="16"/>
      <c r="Q48" s="16"/>
      <c r="R48" s="16"/>
      <c r="S48" s="16"/>
      <c r="T48" s="16"/>
      <c r="U48" s="16"/>
      <c r="V48" s="16"/>
      <c r="W48" s="15"/>
      <c r="X48" s="15"/>
      <c r="Y48" s="15"/>
      <c r="Z48" s="15"/>
    </row>
    <row r="49" customHeight="1" spans="1:26">
      <c r="A49" s="17"/>
      <c r="B49" s="15"/>
      <c r="C49" s="15"/>
      <c r="D49" s="15"/>
      <c r="E49" s="15"/>
      <c r="F49" s="15"/>
      <c r="G49" s="15"/>
      <c r="H49" s="16"/>
      <c r="I49" s="16"/>
      <c r="J49" s="16"/>
      <c r="K49" s="16"/>
      <c r="L49" s="16"/>
      <c r="M49" s="16"/>
      <c r="N49" s="16"/>
      <c r="O49" s="16"/>
      <c r="P49" s="16"/>
      <c r="Q49" s="16"/>
      <c r="R49" s="16"/>
      <c r="S49" s="16"/>
      <c r="T49" s="16"/>
      <c r="U49" s="16"/>
      <c r="V49" s="16"/>
      <c r="W49" s="15"/>
      <c r="X49" s="15"/>
      <c r="Y49" s="15"/>
      <c r="Z49" s="15"/>
    </row>
    <row r="50" customHeight="1" spans="1:26">
      <c r="A50" s="17"/>
      <c r="B50" s="15"/>
      <c r="C50" s="15"/>
      <c r="D50" s="15"/>
      <c r="E50" s="15"/>
      <c r="F50" s="15"/>
      <c r="G50" s="15"/>
      <c r="H50" s="16"/>
      <c r="I50" s="16"/>
      <c r="J50" s="16"/>
      <c r="K50" s="16"/>
      <c r="L50" s="16"/>
      <c r="M50" s="16"/>
      <c r="N50" s="16"/>
      <c r="O50" s="16"/>
      <c r="P50" s="16"/>
      <c r="Q50" s="16"/>
      <c r="R50" s="16"/>
      <c r="S50" s="16"/>
      <c r="T50" s="16"/>
      <c r="U50" s="16"/>
      <c r="V50" s="16"/>
      <c r="W50" s="15"/>
      <c r="X50" s="15"/>
      <c r="Y50" s="15"/>
      <c r="Z50" s="15"/>
    </row>
    <row r="51" customHeight="1" spans="1:26">
      <c r="A51" s="17"/>
      <c r="B51" s="15"/>
      <c r="C51" s="15"/>
      <c r="D51" s="15"/>
      <c r="E51" s="15"/>
      <c r="F51" s="15"/>
      <c r="G51" s="15"/>
      <c r="H51" s="16"/>
      <c r="I51" s="16"/>
      <c r="J51" s="16"/>
      <c r="K51" s="16"/>
      <c r="L51" s="16"/>
      <c r="M51" s="16"/>
      <c r="N51" s="16"/>
      <c r="O51" s="16"/>
      <c r="P51" s="16"/>
      <c r="Q51" s="16"/>
      <c r="R51" s="16"/>
      <c r="S51" s="16"/>
      <c r="T51" s="16"/>
      <c r="U51" s="16"/>
      <c r="V51" s="16"/>
      <c r="W51" s="15"/>
      <c r="X51" s="15"/>
      <c r="Y51" s="15"/>
      <c r="Z51" s="15"/>
    </row>
    <row r="52" customHeight="1" spans="1:26">
      <c r="A52" s="17"/>
      <c r="B52" s="15"/>
      <c r="C52" s="15"/>
      <c r="D52" s="15"/>
      <c r="E52" s="15"/>
      <c r="F52" s="15"/>
      <c r="G52" s="15"/>
      <c r="H52" s="16"/>
      <c r="I52" s="16"/>
      <c r="J52" s="16"/>
      <c r="K52" s="16"/>
      <c r="L52" s="16"/>
      <c r="M52" s="16"/>
      <c r="N52" s="16"/>
      <c r="O52" s="16"/>
      <c r="P52" s="16"/>
      <c r="Q52" s="16"/>
      <c r="R52" s="16"/>
      <c r="S52" s="16"/>
      <c r="T52" s="16"/>
      <c r="U52" s="16"/>
      <c r="V52" s="16"/>
      <c r="W52" s="15"/>
      <c r="X52" s="15"/>
      <c r="Y52" s="15"/>
      <c r="Z52" s="15"/>
    </row>
    <row r="53" customHeight="1" spans="1:26">
      <c r="A53" s="17"/>
      <c r="B53" s="15"/>
      <c r="C53" s="15"/>
      <c r="D53" s="15"/>
      <c r="E53" s="15"/>
      <c r="F53" s="15"/>
      <c r="G53" s="15"/>
      <c r="H53" s="16"/>
      <c r="I53" s="16"/>
      <c r="J53" s="16"/>
      <c r="K53" s="16"/>
      <c r="L53" s="16"/>
      <c r="M53" s="16"/>
      <c r="N53" s="16"/>
      <c r="O53" s="16"/>
      <c r="P53" s="16"/>
      <c r="Q53" s="16"/>
      <c r="R53" s="16"/>
      <c r="S53" s="16"/>
      <c r="T53" s="16"/>
      <c r="U53" s="16"/>
      <c r="V53" s="16"/>
      <c r="W53" s="15"/>
      <c r="X53" s="15"/>
      <c r="Y53" s="15"/>
      <c r="Z53" s="15"/>
    </row>
    <row r="54" customHeight="1" spans="1:26">
      <c r="A54" s="17"/>
      <c r="B54" s="15"/>
      <c r="C54" s="15"/>
      <c r="D54" s="15"/>
      <c r="E54" s="15"/>
      <c r="F54" s="15"/>
      <c r="G54" s="15"/>
      <c r="H54" s="16"/>
      <c r="I54" s="16"/>
      <c r="J54" s="16"/>
      <c r="K54" s="16"/>
      <c r="L54" s="16"/>
      <c r="M54" s="16"/>
      <c r="N54" s="16"/>
      <c r="O54" s="16"/>
      <c r="P54" s="16"/>
      <c r="Q54" s="16"/>
      <c r="R54" s="16"/>
      <c r="S54" s="16"/>
      <c r="T54" s="16"/>
      <c r="U54" s="16"/>
      <c r="V54" s="16"/>
      <c r="W54" s="15"/>
      <c r="X54" s="15"/>
      <c r="Y54" s="15"/>
      <c r="Z54" s="15"/>
    </row>
    <row r="55" customHeight="1" spans="1:26">
      <c r="A55" s="17"/>
      <c r="B55" s="15"/>
      <c r="C55" s="15"/>
      <c r="D55" s="15"/>
      <c r="E55" s="15"/>
      <c r="F55" s="15"/>
      <c r="G55" s="15"/>
      <c r="H55" s="16"/>
      <c r="I55" s="16"/>
      <c r="J55" s="16"/>
      <c r="K55" s="16"/>
      <c r="L55" s="16"/>
      <c r="M55" s="16"/>
      <c r="N55" s="16"/>
      <c r="O55" s="16"/>
      <c r="P55" s="16"/>
      <c r="Q55" s="16"/>
      <c r="R55" s="16"/>
      <c r="S55" s="16"/>
      <c r="T55" s="16"/>
      <c r="U55" s="16"/>
      <c r="V55" s="16"/>
      <c r="W55" s="15"/>
      <c r="X55" s="15"/>
      <c r="Y55" s="15"/>
      <c r="Z55" s="15"/>
    </row>
    <row r="56" customHeight="1" spans="1:26">
      <c r="A56" s="17"/>
      <c r="B56" s="15"/>
      <c r="C56" s="15"/>
      <c r="D56" s="15"/>
      <c r="E56" s="15"/>
      <c r="F56" s="15"/>
      <c r="G56" s="15"/>
      <c r="H56" s="16"/>
      <c r="I56" s="16"/>
      <c r="J56" s="16"/>
      <c r="K56" s="16"/>
      <c r="L56" s="16"/>
      <c r="M56" s="16"/>
      <c r="N56" s="16"/>
      <c r="O56" s="16"/>
      <c r="P56" s="16"/>
      <c r="Q56" s="16"/>
      <c r="R56" s="16"/>
      <c r="S56" s="16"/>
      <c r="T56" s="16"/>
      <c r="U56" s="16"/>
      <c r="V56" s="16"/>
      <c r="W56" s="15"/>
      <c r="X56" s="15"/>
      <c r="Y56" s="15"/>
      <c r="Z56" s="15"/>
    </row>
    <row r="57" customHeight="1" spans="1:26">
      <c r="A57" s="17"/>
      <c r="B57" s="15"/>
      <c r="C57" s="15"/>
      <c r="D57" s="15"/>
      <c r="E57" s="15"/>
      <c r="F57" s="15"/>
      <c r="G57" s="15"/>
      <c r="H57" s="16"/>
      <c r="I57" s="16"/>
      <c r="J57" s="16"/>
      <c r="K57" s="16"/>
      <c r="L57" s="16"/>
      <c r="M57" s="16"/>
      <c r="N57" s="16"/>
      <c r="O57" s="16"/>
      <c r="P57" s="16"/>
      <c r="Q57" s="16"/>
      <c r="R57" s="16"/>
      <c r="S57" s="16"/>
      <c r="T57" s="16"/>
      <c r="U57" s="16"/>
      <c r="V57" s="16"/>
      <c r="W57" s="15"/>
      <c r="X57" s="15"/>
      <c r="Y57" s="15"/>
      <c r="Z57" s="15"/>
    </row>
    <row r="58" customHeight="1" spans="1:26">
      <c r="A58" s="17"/>
      <c r="B58" s="15"/>
      <c r="C58" s="15"/>
      <c r="D58" s="15"/>
      <c r="E58" s="15"/>
      <c r="F58" s="15"/>
      <c r="G58" s="15"/>
      <c r="H58" s="16"/>
      <c r="I58" s="16"/>
      <c r="J58" s="16"/>
      <c r="K58" s="16"/>
      <c r="L58" s="16"/>
      <c r="M58" s="16"/>
      <c r="N58" s="16"/>
      <c r="O58" s="16"/>
      <c r="P58" s="16"/>
      <c r="Q58" s="16"/>
      <c r="R58" s="16"/>
      <c r="S58" s="16"/>
      <c r="T58" s="16"/>
      <c r="U58" s="16"/>
      <c r="V58" s="16"/>
      <c r="W58" s="15"/>
      <c r="X58" s="15"/>
      <c r="Y58" s="15"/>
      <c r="Z58" s="15"/>
    </row>
    <row r="59" customHeight="1" spans="1:26">
      <c r="A59" s="17"/>
      <c r="B59" s="15"/>
      <c r="C59" s="15"/>
      <c r="D59" s="15"/>
      <c r="E59" s="15"/>
      <c r="F59" s="15"/>
      <c r="G59" s="15"/>
      <c r="H59" s="16"/>
      <c r="I59" s="16"/>
      <c r="J59" s="16"/>
      <c r="K59" s="16"/>
      <c r="L59" s="16"/>
      <c r="M59" s="16"/>
      <c r="N59" s="16"/>
      <c r="O59" s="16"/>
      <c r="P59" s="16"/>
      <c r="Q59" s="16"/>
      <c r="R59" s="16"/>
      <c r="S59" s="16"/>
      <c r="T59" s="16"/>
      <c r="U59" s="16"/>
      <c r="V59" s="16"/>
      <c r="W59" s="15"/>
      <c r="X59" s="15"/>
      <c r="Y59" s="15"/>
      <c r="Z59" s="15"/>
    </row>
    <row r="60" customHeight="1" spans="1:26">
      <c r="A60" s="17"/>
      <c r="B60" s="15"/>
      <c r="C60" s="15"/>
      <c r="D60" s="15"/>
      <c r="E60" s="15"/>
      <c r="F60" s="15"/>
      <c r="G60" s="15"/>
      <c r="H60" s="16"/>
      <c r="I60" s="16"/>
      <c r="J60" s="16"/>
      <c r="K60" s="16"/>
      <c r="L60" s="16"/>
      <c r="M60" s="16"/>
      <c r="N60" s="16"/>
      <c r="O60" s="16"/>
      <c r="P60" s="16"/>
      <c r="Q60" s="16"/>
      <c r="R60" s="16"/>
      <c r="S60" s="16"/>
      <c r="T60" s="16"/>
      <c r="U60" s="16"/>
      <c r="V60" s="16"/>
      <c r="W60" s="15"/>
      <c r="X60" s="15"/>
      <c r="Y60" s="15"/>
      <c r="Z60" s="15"/>
    </row>
    <row r="61" customHeight="1" spans="1:26">
      <c r="A61" s="17"/>
      <c r="B61" s="15"/>
      <c r="C61" s="15"/>
      <c r="D61" s="15"/>
      <c r="E61" s="15"/>
      <c r="F61" s="15"/>
      <c r="G61" s="15"/>
      <c r="H61" s="16"/>
      <c r="I61" s="16"/>
      <c r="J61" s="16"/>
      <c r="K61" s="16"/>
      <c r="L61" s="16"/>
      <c r="M61" s="16"/>
      <c r="N61" s="16"/>
      <c r="O61" s="16"/>
      <c r="P61" s="16"/>
      <c r="Q61" s="16"/>
      <c r="R61" s="16"/>
      <c r="S61" s="16"/>
      <c r="T61" s="16"/>
      <c r="U61" s="16"/>
      <c r="V61" s="16"/>
      <c r="W61" s="15"/>
      <c r="X61" s="15"/>
      <c r="Y61" s="15"/>
      <c r="Z61" s="15"/>
    </row>
    <row r="62" customHeight="1" spans="1:26">
      <c r="A62" s="17"/>
      <c r="B62" s="15"/>
      <c r="C62" s="15"/>
      <c r="D62" s="15"/>
      <c r="E62" s="15"/>
      <c r="F62" s="15"/>
      <c r="G62" s="15"/>
      <c r="H62" s="16"/>
      <c r="I62" s="16"/>
      <c r="J62" s="16"/>
      <c r="K62" s="16"/>
      <c r="L62" s="16"/>
      <c r="M62" s="16"/>
      <c r="N62" s="16"/>
      <c r="O62" s="16"/>
      <c r="P62" s="16"/>
      <c r="Q62" s="16"/>
      <c r="R62" s="16"/>
      <c r="S62" s="16"/>
      <c r="T62" s="16"/>
      <c r="U62" s="16"/>
      <c r="V62" s="16"/>
      <c r="W62" s="15"/>
      <c r="X62" s="15"/>
      <c r="Y62" s="15"/>
      <c r="Z62" s="15"/>
    </row>
    <row r="63" customHeight="1" spans="1:26">
      <c r="A63" s="17"/>
      <c r="B63" s="15"/>
      <c r="C63" s="15"/>
      <c r="D63" s="15"/>
      <c r="E63" s="15"/>
      <c r="F63" s="15"/>
      <c r="G63" s="15"/>
      <c r="H63" s="16"/>
      <c r="I63" s="16"/>
      <c r="J63" s="16"/>
      <c r="K63" s="16"/>
      <c r="L63" s="16"/>
      <c r="M63" s="16"/>
      <c r="N63" s="16"/>
      <c r="O63" s="16"/>
      <c r="P63" s="16"/>
      <c r="Q63" s="16"/>
      <c r="R63" s="16"/>
      <c r="S63" s="16"/>
      <c r="T63" s="16"/>
      <c r="U63" s="16"/>
      <c r="V63" s="16"/>
      <c r="W63" s="15"/>
      <c r="X63" s="15"/>
      <c r="Y63" s="15"/>
      <c r="Z63" s="15"/>
    </row>
    <row r="64" customHeight="1" spans="1:26">
      <c r="A64" s="17"/>
      <c r="B64" s="15"/>
      <c r="C64" s="15"/>
      <c r="D64" s="15"/>
      <c r="E64" s="15"/>
      <c r="F64" s="15"/>
      <c r="G64" s="15"/>
      <c r="H64" s="16"/>
      <c r="I64" s="16"/>
      <c r="J64" s="16"/>
      <c r="K64" s="16"/>
      <c r="L64" s="16"/>
      <c r="M64" s="16"/>
      <c r="N64" s="16"/>
      <c r="O64" s="16"/>
      <c r="P64" s="16"/>
      <c r="Q64" s="16"/>
      <c r="R64" s="16"/>
      <c r="S64" s="16"/>
      <c r="T64" s="16"/>
      <c r="U64" s="16"/>
      <c r="V64" s="16"/>
      <c r="W64" s="15"/>
      <c r="X64" s="15"/>
      <c r="Y64" s="15"/>
      <c r="Z64" s="15"/>
    </row>
    <row r="65" customHeight="1" spans="1:26">
      <c r="A65" s="17"/>
      <c r="B65" s="15"/>
      <c r="C65" s="15"/>
      <c r="D65" s="15"/>
      <c r="E65" s="15"/>
      <c r="F65" s="15"/>
      <c r="G65" s="15"/>
      <c r="H65" s="16"/>
      <c r="I65" s="16"/>
      <c r="J65" s="16"/>
      <c r="K65" s="16"/>
      <c r="L65" s="16"/>
      <c r="M65" s="16"/>
      <c r="N65" s="16"/>
      <c r="O65" s="16"/>
      <c r="P65" s="16"/>
      <c r="Q65" s="16"/>
      <c r="R65" s="16"/>
      <c r="S65" s="16"/>
      <c r="T65" s="16"/>
      <c r="U65" s="16"/>
      <c r="V65" s="16"/>
      <c r="W65" s="15"/>
      <c r="X65" s="15"/>
      <c r="Y65" s="15"/>
      <c r="Z65" s="15"/>
    </row>
    <row r="66" customHeight="1" spans="1:26">
      <c r="A66" s="17"/>
      <c r="B66" s="15"/>
      <c r="C66" s="15"/>
      <c r="D66" s="15"/>
      <c r="E66" s="15"/>
      <c r="F66" s="15"/>
      <c r="G66" s="15"/>
      <c r="H66" s="16"/>
      <c r="I66" s="16"/>
      <c r="J66" s="16"/>
      <c r="K66" s="16"/>
      <c r="L66" s="16"/>
      <c r="M66" s="16"/>
      <c r="N66" s="16"/>
      <c r="O66" s="16"/>
      <c r="P66" s="16"/>
      <c r="Q66" s="16"/>
      <c r="R66" s="16"/>
      <c r="S66" s="16"/>
      <c r="T66" s="16"/>
      <c r="U66" s="16"/>
      <c r="V66" s="16"/>
      <c r="W66" s="15"/>
      <c r="X66" s="15"/>
      <c r="Y66" s="15"/>
      <c r="Z66" s="15"/>
    </row>
    <row r="67" customHeight="1" spans="1:26">
      <c r="A67" s="17"/>
      <c r="B67" s="15"/>
      <c r="C67" s="15"/>
      <c r="D67" s="15"/>
      <c r="E67" s="15"/>
      <c r="F67" s="15"/>
      <c r="G67" s="15"/>
      <c r="H67" s="16"/>
      <c r="I67" s="16"/>
      <c r="J67" s="16"/>
      <c r="K67" s="16"/>
      <c r="L67" s="16"/>
      <c r="M67" s="16"/>
      <c r="N67" s="16"/>
      <c r="O67" s="16"/>
      <c r="P67" s="16"/>
      <c r="Q67" s="16"/>
      <c r="R67" s="16"/>
      <c r="S67" s="16"/>
      <c r="T67" s="16"/>
      <c r="U67" s="16"/>
      <c r="V67" s="16"/>
      <c r="W67" s="15"/>
      <c r="X67" s="15"/>
      <c r="Y67" s="15"/>
      <c r="Z67" s="15"/>
    </row>
    <row r="68" customHeight="1" spans="1:26">
      <c r="A68" s="17"/>
      <c r="B68" s="15"/>
      <c r="C68" s="15"/>
      <c r="D68" s="15"/>
      <c r="E68" s="15"/>
      <c r="F68" s="15"/>
      <c r="G68" s="15"/>
      <c r="H68" s="16"/>
      <c r="I68" s="16"/>
      <c r="J68" s="16"/>
      <c r="K68" s="16"/>
      <c r="L68" s="16"/>
      <c r="M68" s="16"/>
      <c r="N68" s="16"/>
      <c r="O68" s="16"/>
      <c r="P68" s="16"/>
      <c r="Q68" s="16"/>
      <c r="R68" s="16"/>
      <c r="S68" s="16"/>
      <c r="T68" s="16"/>
      <c r="U68" s="16"/>
      <c r="V68" s="16"/>
      <c r="W68" s="15"/>
      <c r="X68" s="15"/>
      <c r="Y68" s="15"/>
      <c r="Z68" s="15"/>
    </row>
    <row r="69" customHeight="1" spans="1:26">
      <c r="A69" s="17"/>
      <c r="B69" s="15"/>
      <c r="C69" s="15"/>
      <c r="D69" s="15"/>
      <c r="E69" s="15"/>
      <c r="F69" s="15"/>
      <c r="G69" s="15"/>
      <c r="H69" s="16"/>
      <c r="I69" s="16"/>
      <c r="J69" s="16"/>
      <c r="K69" s="16"/>
      <c r="L69" s="16"/>
      <c r="M69" s="16"/>
      <c r="N69" s="16"/>
      <c r="O69" s="16"/>
      <c r="P69" s="16"/>
      <c r="Q69" s="16"/>
      <c r="R69" s="16"/>
      <c r="S69" s="16"/>
      <c r="T69" s="16"/>
      <c r="U69" s="16"/>
      <c r="V69" s="16"/>
      <c r="W69" s="15"/>
      <c r="X69" s="15"/>
      <c r="Y69" s="15"/>
      <c r="Z69" s="15"/>
    </row>
    <row r="70" customHeight="1" spans="1:26">
      <c r="A70" s="17"/>
      <c r="B70" s="15"/>
      <c r="C70" s="15"/>
      <c r="D70" s="15"/>
      <c r="E70" s="15"/>
      <c r="F70" s="15"/>
      <c r="G70" s="15"/>
      <c r="H70" s="16"/>
      <c r="I70" s="16"/>
      <c r="J70" s="16"/>
      <c r="K70" s="16"/>
      <c r="L70" s="16"/>
      <c r="M70" s="16"/>
      <c r="N70" s="16"/>
      <c r="O70" s="16"/>
      <c r="P70" s="16"/>
      <c r="Q70" s="16"/>
      <c r="R70" s="16"/>
      <c r="S70" s="16"/>
      <c r="T70" s="16"/>
      <c r="U70" s="16"/>
      <c r="V70" s="16"/>
      <c r="W70" s="15"/>
      <c r="X70" s="15"/>
      <c r="Y70" s="15"/>
      <c r="Z70" s="15"/>
    </row>
    <row r="71" customHeight="1" spans="1:26">
      <c r="A71" s="17"/>
      <c r="B71" s="15"/>
      <c r="C71" s="15"/>
      <c r="D71" s="15"/>
      <c r="E71" s="15"/>
      <c r="F71" s="15"/>
      <c r="G71" s="15"/>
      <c r="H71" s="16"/>
      <c r="I71" s="16"/>
      <c r="J71" s="16"/>
      <c r="K71" s="16"/>
      <c r="L71" s="16"/>
      <c r="M71" s="16"/>
      <c r="N71" s="16"/>
      <c r="O71" s="16"/>
      <c r="P71" s="16"/>
      <c r="Q71" s="16"/>
      <c r="R71" s="16"/>
      <c r="S71" s="16"/>
      <c r="T71" s="16"/>
      <c r="U71" s="16"/>
      <c r="V71" s="16"/>
      <c r="W71" s="15"/>
      <c r="X71" s="15"/>
      <c r="Y71" s="15"/>
      <c r="Z71" s="15"/>
    </row>
    <row r="72" customHeight="1" spans="1:26">
      <c r="A72" s="17"/>
      <c r="B72" s="15"/>
      <c r="C72" s="15"/>
      <c r="D72" s="15"/>
      <c r="E72" s="15"/>
      <c r="F72" s="15"/>
      <c r="G72" s="15"/>
      <c r="H72" s="16"/>
      <c r="I72" s="16"/>
      <c r="J72" s="16"/>
      <c r="K72" s="16"/>
      <c r="L72" s="16"/>
      <c r="M72" s="16"/>
      <c r="N72" s="16"/>
      <c r="O72" s="16"/>
      <c r="P72" s="16"/>
      <c r="Q72" s="16"/>
      <c r="R72" s="16"/>
      <c r="S72" s="16"/>
      <c r="T72" s="16"/>
      <c r="U72" s="16"/>
      <c r="V72" s="16"/>
      <c r="W72" s="15"/>
      <c r="X72" s="15"/>
      <c r="Y72" s="15"/>
      <c r="Z72" s="15"/>
    </row>
    <row r="73" customHeight="1" spans="1:26">
      <c r="A73" s="17"/>
      <c r="B73" s="15"/>
      <c r="C73" s="15"/>
      <c r="D73" s="15"/>
      <c r="E73" s="15"/>
      <c r="F73" s="15"/>
      <c r="G73" s="15"/>
      <c r="H73" s="16"/>
      <c r="I73" s="16"/>
      <c r="J73" s="16"/>
      <c r="K73" s="16"/>
      <c r="L73" s="16"/>
      <c r="M73" s="16"/>
      <c r="N73" s="16"/>
      <c r="O73" s="16"/>
      <c r="P73" s="16"/>
      <c r="Q73" s="16"/>
      <c r="R73" s="16"/>
      <c r="S73" s="16"/>
      <c r="T73" s="16"/>
      <c r="U73" s="16"/>
      <c r="V73" s="16"/>
      <c r="W73" s="15"/>
      <c r="X73" s="15"/>
      <c r="Y73" s="15"/>
      <c r="Z73" s="15"/>
    </row>
    <row r="74" customHeight="1" spans="1:26">
      <c r="A74" s="17"/>
      <c r="B74" s="15"/>
      <c r="C74" s="15"/>
      <c r="D74" s="15"/>
      <c r="E74" s="15"/>
      <c r="F74" s="15"/>
      <c r="G74" s="15"/>
      <c r="H74" s="16"/>
      <c r="I74" s="16"/>
      <c r="J74" s="16"/>
      <c r="K74" s="16"/>
      <c r="L74" s="16"/>
      <c r="M74" s="16"/>
      <c r="N74" s="16"/>
      <c r="O74" s="16"/>
      <c r="P74" s="16"/>
      <c r="Q74" s="16"/>
      <c r="R74" s="16"/>
      <c r="S74" s="16"/>
      <c r="T74" s="16"/>
      <c r="U74" s="16"/>
      <c r="V74" s="16"/>
      <c r="W74" s="15"/>
      <c r="X74" s="15"/>
      <c r="Y74" s="15"/>
      <c r="Z74" s="15"/>
    </row>
    <row r="75" customHeight="1" spans="1:26">
      <c r="A75" s="17"/>
      <c r="B75" s="15"/>
      <c r="C75" s="15"/>
      <c r="D75" s="15"/>
      <c r="E75" s="15"/>
      <c r="F75" s="15"/>
      <c r="G75" s="15"/>
      <c r="H75" s="16"/>
      <c r="I75" s="16"/>
      <c r="J75" s="16"/>
      <c r="K75" s="16"/>
      <c r="L75" s="16"/>
      <c r="M75" s="16"/>
      <c r="N75" s="16"/>
      <c r="O75" s="16"/>
      <c r="P75" s="16"/>
      <c r="Q75" s="16"/>
      <c r="R75" s="16"/>
      <c r="S75" s="16"/>
      <c r="T75" s="16"/>
      <c r="U75" s="16"/>
      <c r="V75" s="16"/>
      <c r="W75" s="15"/>
      <c r="X75" s="15"/>
      <c r="Y75" s="15"/>
      <c r="Z75" s="15"/>
    </row>
    <row r="76" customHeight="1" spans="1:26">
      <c r="A76" s="17"/>
      <c r="B76" s="15"/>
      <c r="C76" s="15"/>
      <c r="D76" s="15"/>
      <c r="E76" s="15"/>
      <c r="F76" s="15"/>
      <c r="G76" s="15"/>
      <c r="H76" s="16"/>
      <c r="I76" s="16"/>
      <c r="J76" s="16"/>
      <c r="K76" s="16"/>
      <c r="L76" s="16"/>
      <c r="M76" s="16"/>
      <c r="N76" s="16"/>
      <c r="O76" s="16"/>
      <c r="P76" s="16"/>
      <c r="Q76" s="16"/>
      <c r="R76" s="16"/>
      <c r="S76" s="16"/>
      <c r="T76" s="16"/>
      <c r="U76" s="16"/>
      <c r="V76" s="16"/>
      <c r="W76" s="15"/>
      <c r="X76" s="15"/>
      <c r="Y76" s="15"/>
      <c r="Z76" s="15"/>
    </row>
    <row r="77" customHeight="1" spans="1:26">
      <c r="A77" s="17"/>
      <c r="B77" s="15"/>
      <c r="C77" s="15"/>
      <c r="D77" s="15"/>
      <c r="E77" s="15"/>
      <c r="F77" s="15"/>
      <c r="G77" s="15"/>
      <c r="H77" s="16"/>
      <c r="I77" s="16"/>
      <c r="J77" s="16"/>
      <c r="K77" s="16"/>
      <c r="L77" s="16"/>
      <c r="M77" s="16"/>
      <c r="N77" s="16"/>
      <c r="O77" s="16"/>
      <c r="P77" s="16"/>
      <c r="Q77" s="16"/>
      <c r="R77" s="16"/>
      <c r="S77" s="16"/>
      <c r="T77" s="16"/>
      <c r="U77" s="16"/>
      <c r="V77" s="16"/>
      <c r="W77" s="15"/>
      <c r="X77" s="15"/>
      <c r="Y77" s="15"/>
      <c r="Z77" s="15"/>
    </row>
    <row r="78" customHeight="1" spans="1:26">
      <c r="A78" s="17"/>
      <c r="B78" s="15"/>
      <c r="C78" s="15"/>
      <c r="D78" s="15"/>
      <c r="E78" s="15"/>
      <c r="F78" s="15"/>
      <c r="G78" s="15"/>
      <c r="H78" s="16"/>
      <c r="I78" s="16"/>
      <c r="J78" s="16"/>
      <c r="K78" s="16"/>
      <c r="L78" s="16"/>
      <c r="M78" s="16"/>
      <c r="N78" s="16"/>
      <c r="O78" s="16"/>
      <c r="P78" s="16"/>
      <c r="Q78" s="16"/>
      <c r="R78" s="16"/>
      <c r="S78" s="16"/>
      <c r="T78" s="16"/>
      <c r="U78" s="16"/>
      <c r="V78" s="16"/>
      <c r="W78" s="15"/>
      <c r="X78" s="15"/>
      <c r="Y78" s="15"/>
      <c r="Z78" s="15"/>
    </row>
    <row r="79" customHeight="1" spans="1:26">
      <c r="A79" s="17"/>
      <c r="B79" s="15"/>
      <c r="C79" s="15"/>
      <c r="D79" s="15"/>
      <c r="E79" s="15"/>
      <c r="F79" s="15"/>
      <c r="G79" s="15"/>
      <c r="H79" s="16"/>
      <c r="I79" s="16"/>
      <c r="J79" s="16"/>
      <c r="K79" s="16"/>
      <c r="L79" s="16"/>
      <c r="M79" s="16"/>
      <c r="N79" s="16"/>
      <c r="O79" s="16"/>
      <c r="P79" s="16"/>
      <c r="Q79" s="16"/>
      <c r="R79" s="16"/>
      <c r="S79" s="16"/>
      <c r="T79" s="16"/>
      <c r="U79" s="16"/>
      <c r="V79" s="16"/>
      <c r="W79" s="15"/>
      <c r="X79" s="15"/>
      <c r="Y79" s="15"/>
      <c r="Z79" s="15"/>
    </row>
    <row r="80" customHeight="1" spans="1:26">
      <c r="A80" s="17"/>
      <c r="B80" s="15"/>
      <c r="C80" s="15"/>
      <c r="D80" s="15"/>
      <c r="E80" s="15"/>
      <c r="F80" s="15"/>
      <c r="G80" s="15"/>
      <c r="H80" s="16"/>
      <c r="I80" s="16"/>
      <c r="J80" s="16"/>
      <c r="K80" s="16"/>
      <c r="L80" s="16"/>
      <c r="M80" s="16"/>
      <c r="N80" s="16"/>
      <c r="O80" s="16"/>
      <c r="P80" s="16"/>
      <c r="Q80" s="16"/>
      <c r="R80" s="16"/>
      <c r="S80" s="16"/>
      <c r="T80" s="16"/>
      <c r="U80" s="16"/>
      <c r="V80" s="16"/>
      <c r="W80" s="15"/>
      <c r="X80" s="15"/>
      <c r="Y80" s="15"/>
      <c r="Z80" s="15"/>
    </row>
    <row r="81" customHeight="1" spans="1:26">
      <c r="A81" s="17"/>
      <c r="B81" s="15"/>
      <c r="C81" s="15"/>
      <c r="D81" s="15"/>
      <c r="E81" s="15"/>
      <c r="F81" s="15"/>
      <c r="G81" s="15"/>
      <c r="H81" s="16"/>
      <c r="I81" s="16"/>
      <c r="J81" s="16"/>
      <c r="K81" s="16"/>
      <c r="L81" s="16"/>
      <c r="M81" s="16"/>
      <c r="N81" s="16"/>
      <c r="O81" s="16"/>
      <c r="P81" s="16"/>
      <c r="Q81" s="16"/>
      <c r="R81" s="16"/>
      <c r="S81" s="16"/>
      <c r="T81" s="16"/>
      <c r="U81" s="16"/>
      <c r="V81" s="16"/>
      <c r="W81" s="15"/>
      <c r="X81" s="15"/>
      <c r="Y81" s="15"/>
      <c r="Z81" s="15"/>
    </row>
    <row r="82" customHeight="1" spans="1:26">
      <c r="A82" s="17"/>
      <c r="B82" s="15"/>
      <c r="C82" s="15"/>
      <c r="D82" s="15"/>
      <c r="E82" s="15"/>
      <c r="F82" s="15"/>
      <c r="G82" s="15"/>
      <c r="H82" s="16"/>
      <c r="I82" s="16"/>
      <c r="J82" s="16"/>
      <c r="K82" s="16"/>
      <c r="L82" s="16"/>
      <c r="M82" s="16"/>
      <c r="N82" s="16"/>
      <c r="O82" s="16"/>
      <c r="P82" s="16"/>
      <c r="Q82" s="16"/>
      <c r="R82" s="16"/>
      <c r="S82" s="16"/>
      <c r="T82" s="16"/>
      <c r="U82" s="16"/>
      <c r="V82" s="16"/>
      <c r="W82" s="15"/>
      <c r="X82" s="15"/>
      <c r="Y82" s="15"/>
      <c r="Z82" s="15"/>
    </row>
    <row r="83" customHeight="1" spans="1:26">
      <c r="A83" s="17"/>
      <c r="B83" s="15"/>
      <c r="C83" s="15"/>
      <c r="D83" s="15"/>
      <c r="E83" s="15"/>
      <c r="F83" s="15"/>
      <c r="G83" s="15"/>
      <c r="H83" s="16"/>
      <c r="I83" s="16"/>
      <c r="J83" s="16"/>
      <c r="K83" s="16"/>
      <c r="L83" s="16"/>
      <c r="M83" s="16"/>
      <c r="N83" s="16"/>
      <c r="O83" s="16"/>
      <c r="P83" s="16"/>
      <c r="Q83" s="16"/>
      <c r="R83" s="16"/>
      <c r="S83" s="16"/>
      <c r="T83" s="16"/>
      <c r="U83" s="16"/>
      <c r="V83" s="16"/>
      <c r="W83" s="15"/>
      <c r="X83" s="15"/>
      <c r="Y83" s="15"/>
      <c r="Z83" s="15"/>
    </row>
    <row r="84" customHeight="1" spans="1:26">
      <c r="A84" s="17"/>
      <c r="B84" s="15"/>
      <c r="C84" s="15"/>
      <c r="D84" s="15"/>
      <c r="E84" s="15"/>
      <c r="F84" s="15"/>
      <c r="G84" s="15"/>
      <c r="H84" s="16"/>
      <c r="I84" s="16"/>
      <c r="J84" s="16"/>
      <c r="K84" s="16"/>
      <c r="L84" s="16"/>
      <c r="M84" s="16"/>
      <c r="N84" s="16"/>
      <c r="O84" s="16"/>
      <c r="P84" s="16"/>
      <c r="Q84" s="16"/>
      <c r="R84" s="16"/>
      <c r="S84" s="16"/>
      <c r="T84" s="16"/>
      <c r="U84" s="16"/>
      <c r="V84" s="16"/>
      <c r="W84" s="15"/>
      <c r="X84" s="15"/>
      <c r="Y84" s="15"/>
      <c r="Z84" s="15"/>
    </row>
    <row r="85" customHeight="1" spans="1:26">
      <c r="A85" s="17"/>
      <c r="B85" s="15"/>
      <c r="C85" s="15"/>
      <c r="D85" s="15"/>
      <c r="E85" s="15"/>
      <c r="F85" s="15"/>
      <c r="G85" s="15"/>
      <c r="H85" s="16"/>
      <c r="I85" s="16"/>
      <c r="J85" s="16"/>
      <c r="K85" s="16"/>
      <c r="L85" s="16"/>
      <c r="M85" s="16"/>
      <c r="N85" s="16"/>
      <c r="O85" s="16"/>
      <c r="P85" s="16"/>
      <c r="Q85" s="16"/>
      <c r="R85" s="16"/>
      <c r="S85" s="16"/>
      <c r="T85" s="16"/>
      <c r="U85" s="16"/>
      <c r="V85" s="16"/>
      <c r="W85" s="15"/>
      <c r="X85" s="15"/>
      <c r="Y85" s="15"/>
      <c r="Z85" s="15"/>
    </row>
    <row r="86" customHeight="1" spans="1:26">
      <c r="A86" s="17"/>
      <c r="B86" s="15"/>
      <c r="C86" s="15"/>
      <c r="D86" s="15"/>
      <c r="E86" s="15"/>
      <c r="F86" s="15"/>
      <c r="G86" s="15"/>
      <c r="H86" s="16"/>
      <c r="I86" s="16"/>
      <c r="J86" s="16"/>
      <c r="K86" s="16"/>
      <c r="L86" s="16"/>
      <c r="M86" s="16"/>
      <c r="N86" s="16"/>
      <c r="O86" s="16"/>
      <c r="P86" s="16"/>
      <c r="Q86" s="16"/>
      <c r="R86" s="16"/>
      <c r="S86" s="16"/>
      <c r="T86" s="16"/>
      <c r="U86" s="16"/>
      <c r="V86" s="16"/>
      <c r="W86" s="15"/>
      <c r="X86" s="15"/>
      <c r="Y86" s="15"/>
      <c r="Z86" s="15"/>
    </row>
    <row r="87" customHeight="1" spans="1:26">
      <c r="A87" s="17"/>
      <c r="B87" s="15"/>
      <c r="C87" s="15"/>
      <c r="D87" s="15"/>
      <c r="E87" s="15"/>
      <c r="F87" s="15"/>
      <c r="G87" s="15"/>
      <c r="H87" s="16"/>
      <c r="I87" s="16"/>
      <c r="J87" s="16"/>
      <c r="K87" s="16"/>
      <c r="L87" s="16"/>
      <c r="M87" s="16"/>
      <c r="N87" s="16"/>
      <c r="O87" s="16"/>
      <c r="P87" s="16"/>
      <c r="Q87" s="16"/>
      <c r="R87" s="16"/>
      <c r="S87" s="16"/>
      <c r="T87" s="16"/>
      <c r="U87" s="16"/>
      <c r="V87" s="16"/>
      <c r="W87" s="15"/>
      <c r="X87" s="15"/>
      <c r="Y87" s="15"/>
      <c r="Z87" s="15"/>
    </row>
    <row r="88" customHeight="1" spans="1:26">
      <c r="A88" s="17"/>
      <c r="B88" s="15"/>
      <c r="C88" s="15"/>
      <c r="D88" s="15"/>
      <c r="E88" s="15"/>
      <c r="F88" s="15"/>
      <c r="G88" s="15"/>
      <c r="H88" s="16"/>
      <c r="I88" s="16"/>
      <c r="J88" s="16"/>
      <c r="K88" s="16"/>
      <c r="L88" s="16"/>
      <c r="M88" s="16"/>
      <c r="N88" s="16"/>
      <c r="O88" s="16"/>
      <c r="P88" s="16"/>
      <c r="Q88" s="16"/>
      <c r="R88" s="16"/>
      <c r="S88" s="16"/>
      <c r="T88" s="16"/>
      <c r="U88" s="16"/>
      <c r="V88" s="16"/>
      <c r="W88" s="15"/>
      <c r="X88" s="15"/>
      <c r="Y88" s="15"/>
      <c r="Z88" s="15"/>
    </row>
    <row r="89" customHeight="1" spans="1:26">
      <c r="A89" s="17"/>
      <c r="B89" s="15"/>
      <c r="C89" s="15"/>
      <c r="D89" s="15"/>
      <c r="E89" s="15"/>
      <c r="F89" s="15"/>
      <c r="G89" s="15"/>
      <c r="H89" s="16"/>
      <c r="I89" s="16"/>
      <c r="J89" s="16"/>
      <c r="K89" s="16"/>
      <c r="L89" s="16"/>
      <c r="M89" s="16"/>
      <c r="N89" s="16"/>
      <c r="O89" s="16"/>
      <c r="P89" s="16"/>
      <c r="Q89" s="16"/>
      <c r="R89" s="16"/>
      <c r="S89" s="16"/>
      <c r="T89" s="16"/>
      <c r="U89" s="16"/>
      <c r="V89" s="16"/>
      <c r="W89" s="15"/>
      <c r="X89" s="15"/>
      <c r="Y89" s="15"/>
      <c r="Z89" s="15"/>
    </row>
    <row r="90" customHeight="1" spans="1:26">
      <c r="A90" s="17"/>
      <c r="B90" s="15"/>
      <c r="C90" s="15"/>
      <c r="D90" s="15"/>
      <c r="E90" s="15"/>
      <c r="F90" s="15"/>
      <c r="G90" s="15"/>
      <c r="H90" s="16"/>
      <c r="I90" s="16"/>
      <c r="J90" s="16"/>
      <c r="K90" s="16"/>
      <c r="L90" s="16"/>
      <c r="M90" s="16"/>
      <c r="N90" s="16"/>
      <c r="O90" s="16"/>
      <c r="P90" s="16"/>
      <c r="Q90" s="16"/>
      <c r="R90" s="16"/>
      <c r="S90" s="16"/>
      <c r="T90" s="16"/>
      <c r="U90" s="16"/>
      <c r="V90" s="16"/>
      <c r="W90" s="15"/>
      <c r="X90" s="15"/>
      <c r="Y90" s="15"/>
      <c r="Z90" s="15"/>
    </row>
    <row r="91" customHeight="1" spans="1:26">
      <c r="A91" s="17"/>
      <c r="B91" s="15"/>
      <c r="C91" s="15"/>
      <c r="D91" s="15"/>
      <c r="E91" s="15"/>
      <c r="F91" s="15"/>
      <c r="G91" s="15"/>
      <c r="H91" s="16"/>
      <c r="I91" s="16"/>
      <c r="J91" s="16"/>
      <c r="K91" s="16"/>
      <c r="L91" s="16"/>
      <c r="M91" s="16"/>
      <c r="N91" s="16"/>
      <c r="O91" s="16"/>
      <c r="P91" s="16"/>
      <c r="Q91" s="16"/>
      <c r="R91" s="16"/>
      <c r="S91" s="16"/>
      <c r="T91" s="16"/>
      <c r="U91" s="16"/>
      <c r="V91" s="16"/>
      <c r="W91" s="15"/>
      <c r="X91" s="15"/>
      <c r="Y91" s="15"/>
      <c r="Z91" s="15"/>
    </row>
    <row r="92" customHeight="1" spans="1:26">
      <c r="A92" s="17"/>
      <c r="B92" s="15"/>
      <c r="C92" s="15"/>
      <c r="D92" s="15"/>
      <c r="E92" s="15"/>
      <c r="F92" s="15"/>
      <c r="G92" s="15"/>
      <c r="H92" s="16"/>
      <c r="I92" s="16"/>
      <c r="J92" s="16"/>
      <c r="K92" s="16"/>
      <c r="L92" s="16"/>
      <c r="M92" s="16"/>
      <c r="N92" s="16"/>
      <c r="O92" s="16"/>
      <c r="P92" s="16"/>
      <c r="Q92" s="16"/>
      <c r="R92" s="16"/>
      <c r="S92" s="16"/>
      <c r="T92" s="16"/>
      <c r="U92" s="16"/>
      <c r="V92" s="16"/>
      <c r="W92" s="15"/>
      <c r="X92" s="15"/>
      <c r="Y92" s="15"/>
      <c r="Z92" s="15"/>
    </row>
    <row r="93" customHeight="1" spans="1:26">
      <c r="A93" s="17"/>
      <c r="B93" s="15"/>
      <c r="C93" s="15"/>
      <c r="D93" s="15"/>
      <c r="E93" s="15"/>
      <c r="F93" s="15"/>
      <c r="G93" s="15"/>
      <c r="H93" s="16"/>
      <c r="I93" s="16"/>
      <c r="J93" s="16"/>
      <c r="K93" s="16"/>
      <c r="L93" s="16"/>
      <c r="M93" s="16"/>
      <c r="N93" s="16"/>
      <c r="O93" s="16"/>
      <c r="P93" s="16"/>
      <c r="Q93" s="16"/>
      <c r="R93" s="16"/>
      <c r="S93" s="16"/>
      <c r="T93" s="16"/>
      <c r="U93" s="16"/>
      <c r="V93" s="16"/>
      <c r="W93" s="15"/>
      <c r="X93" s="15"/>
      <c r="Y93" s="15"/>
      <c r="Z93" s="15"/>
    </row>
    <row r="94" customHeight="1" spans="1:26">
      <c r="A94" s="17"/>
      <c r="B94" s="15"/>
      <c r="C94" s="15"/>
      <c r="D94" s="15"/>
      <c r="E94" s="15"/>
      <c r="F94" s="15"/>
      <c r="G94" s="15"/>
      <c r="H94" s="16"/>
      <c r="I94" s="16"/>
      <c r="J94" s="16"/>
      <c r="K94" s="16"/>
      <c r="L94" s="16"/>
      <c r="M94" s="16"/>
      <c r="N94" s="16"/>
      <c r="O94" s="16"/>
      <c r="P94" s="16"/>
      <c r="Q94" s="16"/>
      <c r="R94" s="16"/>
      <c r="S94" s="16"/>
      <c r="T94" s="16"/>
      <c r="U94" s="16"/>
      <c r="V94" s="16"/>
      <c r="W94" s="15"/>
      <c r="X94" s="15"/>
      <c r="Y94" s="15"/>
      <c r="Z94" s="15"/>
    </row>
    <row r="95" customHeight="1" spans="1:26">
      <c r="A95" s="17"/>
      <c r="B95" s="15"/>
      <c r="C95" s="15"/>
      <c r="D95" s="15"/>
      <c r="E95" s="15"/>
      <c r="F95" s="15"/>
      <c r="G95" s="15"/>
      <c r="H95" s="16"/>
      <c r="I95" s="16"/>
      <c r="J95" s="16"/>
      <c r="K95" s="16"/>
      <c r="L95" s="16"/>
      <c r="M95" s="16"/>
      <c r="N95" s="16"/>
      <c r="O95" s="16"/>
      <c r="P95" s="16"/>
      <c r="Q95" s="16"/>
      <c r="R95" s="16"/>
      <c r="S95" s="16"/>
      <c r="T95" s="16"/>
      <c r="U95" s="16"/>
      <c r="V95" s="16"/>
      <c r="W95" s="15"/>
      <c r="X95" s="15"/>
      <c r="Y95" s="15"/>
      <c r="Z95" s="15"/>
    </row>
    <row r="96" customHeight="1" spans="1:26">
      <c r="A96" s="17"/>
      <c r="B96" s="15"/>
      <c r="C96" s="15"/>
      <c r="D96" s="15"/>
      <c r="E96" s="15"/>
      <c r="F96" s="15"/>
      <c r="G96" s="15"/>
      <c r="H96" s="16"/>
      <c r="I96" s="16"/>
      <c r="J96" s="16"/>
      <c r="K96" s="16"/>
      <c r="L96" s="16"/>
      <c r="M96" s="16"/>
      <c r="N96" s="16"/>
      <c r="O96" s="16"/>
      <c r="P96" s="16"/>
      <c r="Q96" s="16"/>
      <c r="R96" s="16"/>
      <c r="S96" s="16"/>
      <c r="T96" s="16"/>
      <c r="U96" s="16"/>
      <c r="V96" s="16"/>
      <c r="W96" s="15"/>
      <c r="X96" s="15"/>
      <c r="Y96" s="15"/>
      <c r="Z96" s="15"/>
    </row>
    <row r="97" customHeight="1" spans="1:26">
      <c r="A97" s="17"/>
      <c r="B97" s="15"/>
      <c r="C97" s="15"/>
      <c r="D97" s="15"/>
      <c r="E97" s="15"/>
      <c r="F97" s="15"/>
      <c r="G97" s="15"/>
      <c r="H97" s="16"/>
      <c r="I97" s="16"/>
      <c r="J97" s="16"/>
      <c r="K97" s="16"/>
      <c r="L97" s="16"/>
      <c r="M97" s="16"/>
      <c r="N97" s="16"/>
      <c r="O97" s="16"/>
      <c r="P97" s="16"/>
      <c r="Q97" s="16"/>
      <c r="R97" s="16"/>
      <c r="S97" s="16"/>
      <c r="T97" s="16"/>
      <c r="U97" s="16"/>
      <c r="V97" s="16"/>
      <c r="W97" s="15"/>
      <c r="X97" s="15"/>
      <c r="Y97" s="15"/>
      <c r="Z97" s="15"/>
    </row>
    <row r="98" customHeight="1" spans="1:26">
      <c r="A98" s="17"/>
      <c r="B98" s="15"/>
      <c r="C98" s="15"/>
      <c r="D98" s="15"/>
      <c r="E98" s="15"/>
      <c r="F98" s="15"/>
      <c r="G98" s="15"/>
      <c r="H98" s="16"/>
      <c r="I98" s="16"/>
      <c r="J98" s="16"/>
      <c r="K98" s="16"/>
      <c r="L98" s="16"/>
      <c r="M98" s="16"/>
      <c r="N98" s="16"/>
      <c r="O98" s="16"/>
      <c r="P98" s="16"/>
      <c r="Q98" s="16"/>
      <c r="R98" s="16"/>
      <c r="S98" s="16"/>
      <c r="T98" s="16"/>
      <c r="U98" s="16"/>
      <c r="V98" s="16"/>
      <c r="W98" s="15"/>
      <c r="X98" s="15"/>
      <c r="Y98" s="15"/>
      <c r="Z98" s="15"/>
    </row>
    <row r="99" customHeight="1" spans="1:26">
      <c r="A99" s="17"/>
      <c r="B99" s="15"/>
      <c r="C99" s="15"/>
      <c r="D99" s="15"/>
      <c r="E99" s="15"/>
      <c r="F99" s="15"/>
      <c r="G99" s="15"/>
      <c r="H99" s="16"/>
      <c r="I99" s="16"/>
      <c r="J99" s="16"/>
      <c r="K99" s="16"/>
      <c r="L99" s="16"/>
      <c r="M99" s="16"/>
      <c r="N99" s="16"/>
      <c r="O99" s="16"/>
      <c r="P99" s="16"/>
      <c r="Q99" s="16"/>
      <c r="R99" s="16"/>
      <c r="S99" s="16"/>
      <c r="T99" s="16"/>
      <c r="U99" s="16"/>
      <c r="V99" s="16"/>
      <c r="W99" s="15"/>
      <c r="X99" s="15"/>
      <c r="Y99" s="15"/>
      <c r="Z99" s="15"/>
    </row>
    <row r="100" customHeight="1" spans="1:26">
      <c r="A100" s="17"/>
      <c r="B100" s="15"/>
      <c r="C100" s="15"/>
      <c r="D100" s="15"/>
      <c r="E100" s="15"/>
      <c r="F100" s="15"/>
      <c r="G100" s="15"/>
      <c r="H100" s="16"/>
      <c r="I100" s="16"/>
      <c r="J100" s="16"/>
      <c r="K100" s="16"/>
      <c r="L100" s="16"/>
      <c r="M100" s="16"/>
      <c r="N100" s="16"/>
      <c r="O100" s="16"/>
      <c r="P100" s="16"/>
      <c r="Q100" s="16"/>
      <c r="R100" s="16"/>
      <c r="S100" s="16"/>
      <c r="T100" s="16"/>
      <c r="U100" s="16"/>
      <c r="V100" s="16"/>
      <c r="W100" s="15"/>
      <c r="X100" s="15"/>
      <c r="Y100" s="15"/>
      <c r="Z100" s="15"/>
    </row>
    <row r="101" customHeight="1" spans="1:26">
      <c r="A101" s="17"/>
      <c r="B101" s="15"/>
      <c r="C101" s="15"/>
      <c r="D101" s="15"/>
      <c r="E101" s="15"/>
      <c r="F101" s="15"/>
      <c r="G101" s="15"/>
      <c r="H101" s="16"/>
      <c r="I101" s="16"/>
      <c r="J101" s="16"/>
      <c r="K101" s="16"/>
      <c r="L101" s="16"/>
      <c r="M101" s="16"/>
      <c r="N101" s="16"/>
      <c r="O101" s="16"/>
      <c r="P101" s="16"/>
      <c r="Q101" s="16"/>
      <c r="R101" s="16"/>
      <c r="S101" s="16"/>
      <c r="T101" s="16"/>
      <c r="U101" s="16"/>
      <c r="V101" s="16"/>
      <c r="W101" s="15"/>
      <c r="X101" s="15"/>
      <c r="Y101" s="15"/>
      <c r="Z101" s="15"/>
    </row>
    <row r="102" customHeight="1" spans="1:26">
      <c r="A102" s="17"/>
      <c r="B102" s="15"/>
      <c r="C102" s="15"/>
      <c r="D102" s="15"/>
      <c r="E102" s="15"/>
      <c r="F102" s="15"/>
      <c r="G102" s="15"/>
      <c r="H102" s="16"/>
      <c r="I102" s="16"/>
      <c r="J102" s="16"/>
      <c r="K102" s="16"/>
      <c r="L102" s="16"/>
      <c r="M102" s="16"/>
      <c r="N102" s="16"/>
      <c r="O102" s="16"/>
      <c r="P102" s="16"/>
      <c r="Q102" s="16"/>
      <c r="R102" s="16"/>
      <c r="S102" s="16"/>
      <c r="T102" s="16"/>
      <c r="U102" s="16"/>
      <c r="V102" s="16"/>
      <c r="W102" s="15"/>
      <c r="X102" s="15"/>
      <c r="Y102" s="15"/>
      <c r="Z102" s="15"/>
    </row>
    <row r="103" customHeight="1" spans="1:26">
      <c r="A103" s="17"/>
      <c r="B103" s="15"/>
      <c r="C103" s="15"/>
      <c r="D103" s="15"/>
      <c r="E103" s="15"/>
      <c r="F103" s="15"/>
      <c r="G103" s="15"/>
      <c r="H103" s="16"/>
      <c r="I103" s="16"/>
      <c r="J103" s="16"/>
      <c r="K103" s="16"/>
      <c r="L103" s="16"/>
      <c r="M103" s="16"/>
      <c r="N103" s="16"/>
      <c r="O103" s="16"/>
      <c r="P103" s="16"/>
      <c r="Q103" s="16"/>
      <c r="R103" s="16"/>
      <c r="S103" s="16"/>
      <c r="T103" s="16"/>
      <c r="U103" s="16"/>
      <c r="V103" s="16"/>
      <c r="W103" s="15"/>
      <c r="X103" s="15"/>
      <c r="Y103" s="15"/>
      <c r="Z103" s="15"/>
    </row>
    <row r="104" customHeight="1" spans="1:26">
      <c r="A104" s="17"/>
      <c r="B104" s="15"/>
      <c r="C104" s="15"/>
      <c r="D104" s="15"/>
      <c r="E104" s="15"/>
      <c r="F104" s="15"/>
      <c r="G104" s="15"/>
      <c r="H104" s="16"/>
      <c r="I104" s="16"/>
      <c r="J104" s="16"/>
      <c r="K104" s="16"/>
      <c r="L104" s="16"/>
      <c r="M104" s="16"/>
      <c r="N104" s="16"/>
      <c r="O104" s="16"/>
      <c r="P104" s="16"/>
      <c r="Q104" s="16"/>
      <c r="R104" s="16"/>
      <c r="S104" s="16"/>
      <c r="T104" s="16"/>
      <c r="U104" s="16"/>
      <c r="V104" s="16"/>
      <c r="W104" s="15"/>
      <c r="X104" s="15"/>
      <c r="Y104" s="15"/>
      <c r="Z104" s="15"/>
    </row>
    <row r="105" customHeight="1" spans="1:26">
      <c r="A105" s="17"/>
      <c r="B105" s="15"/>
      <c r="C105" s="15"/>
      <c r="D105" s="15"/>
      <c r="E105" s="15"/>
      <c r="F105" s="15"/>
      <c r="G105" s="15"/>
      <c r="H105" s="16"/>
      <c r="I105" s="16"/>
      <c r="J105" s="16"/>
      <c r="K105" s="16"/>
      <c r="L105" s="16"/>
      <c r="M105" s="16"/>
      <c r="N105" s="16"/>
      <c r="O105" s="16"/>
      <c r="P105" s="16"/>
      <c r="Q105" s="16"/>
      <c r="R105" s="16"/>
      <c r="S105" s="16"/>
      <c r="T105" s="16"/>
      <c r="U105" s="16"/>
      <c r="V105" s="16"/>
      <c r="W105" s="15"/>
      <c r="X105" s="15"/>
      <c r="Y105" s="15"/>
      <c r="Z105" s="15"/>
    </row>
    <row r="106" customHeight="1" spans="1:26">
      <c r="A106" s="17"/>
      <c r="B106" s="15"/>
      <c r="C106" s="15"/>
      <c r="D106" s="15"/>
      <c r="E106" s="15"/>
      <c r="F106" s="15"/>
      <c r="G106" s="15"/>
      <c r="H106" s="16"/>
      <c r="I106" s="16"/>
      <c r="J106" s="16"/>
      <c r="K106" s="16"/>
      <c r="L106" s="16"/>
      <c r="M106" s="16"/>
      <c r="N106" s="16"/>
      <c r="O106" s="16"/>
      <c r="P106" s="16"/>
      <c r="Q106" s="16"/>
      <c r="R106" s="16"/>
      <c r="S106" s="16"/>
      <c r="T106" s="16"/>
      <c r="U106" s="16"/>
      <c r="V106" s="16"/>
      <c r="W106" s="15"/>
      <c r="X106" s="15"/>
      <c r="Y106" s="15"/>
      <c r="Z106" s="15"/>
    </row>
    <row r="107" customHeight="1" spans="1:26">
      <c r="A107" s="17"/>
      <c r="B107" s="15"/>
      <c r="C107" s="15"/>
      <c r="D107" s="15"/>
      <c r="E107" s="15"/>
      <c r="F107" s="15"/>
      <c r="G107" s="15"/>
      <c r="H107" s="16"/>
      <c r="I107" s="16"/>
      <c r="J107" s="16"/>
      <c r="K107" s="16"/>
      <c r="L107" s="16"/>
      <c r="M107" s="16"/>
      <c r="N107" s="16"/>
      <c r="O107" s="16"/>
      <c r="P107" s="16"/>
      <c r="Q107" s="16"/>
      <c r="R107" s="16"/>
      <c r="S107" s="16"/>
      <c r="T107" s="16"/>
      <c r="U107" s="16"/>
      <c r="V107" s="16"/>
      <c r="W107" s="15"/>
      <c r="X107" s="15"/>
      <c r="Y107" s="15"/>
      <c r="Z107" s="15"/>
    </row>
    <row r="108" customHeight="1" spans="1:26">
      <c r="A108" s="17"/>
      <c r="B108" s="15"/>
      <c r="C108" s="15"/>
      <c r="D108" s="15"/>
      <c r="E108" s="15"/>
      <c r="F108" s="15"/>
      <c r="G108" s="15"/>
      <c r="H108" s="16"/>
      <c r="I108" s="16"/>
      <c r="J108" s="16"/>
      <c r="K108" s="16"/>
      <c r="L108" s="16"/>
      <c r="M108" s="16"/>
      <c r="N108" s="16"/>
      <c r="O108" s="16"/>
      <c r="P108" s="16"/>
      <c r="Q108" s="16"/>
      <c r="R108" s="16"/>
      <c r="S108" s="16"/>
      <c r="T108" s="16"/>
      <c r="U108" s="16"/>
      <c r="V108" s="16"/>
      <c r="W108" s="15"/>
      <c r="X108" s="15"/>
      <c r="Y108" s="15"/>
      <c r="Z108" s="15"/>
    </row>
    <row r="109" customHeight="1" spans="1:26">
      <c r="A109" s="17"/>
      <c r="B109" s="15"/>
      <c r="C109" s="15"/>
      <c r="D109" s="15"/>
      <c r="E109" s="15"/>
      <c r="F109" s="15"/>
      <c r="G109" s="15"/>
      <c r="H109" s="16"/>
      <c r="I109" s="16"/>
      <c r="J109" s="16"/>
      <c r="K109" s="16"/>
      <c r="L109" s="16"/>
      <c r="M109" s="16"/>
      <c r="N109" s="16"/>
      <c r="O109" s="16"/>
      <c r="P109" s="16"/>
      <c r="Q109" s="16"/>
      <c r="R109" s="16"/>
      <c r="S109" s="16"/>
      <c r="T109" s="16"/>
      <c r="U109" s="16"/>
      <c r="V109" s="16"/>
      <c r="W109" s="15"/>
      <c r="X109" s="15"/>
      <c r="Y109" s="15"/>
      <c r="Z109" s="15"/>
    </row>
    <row r="110" customHeight="1" spans="1:26">
      <c r="A110" s="17"/>
      <c r="B110" s="15"/>
      <c r="C110" s="15"/>
      <c r="D110" s="15"/>
      <c r="E110" s="15"/>
      <c r="F110" s="15"/>
      <c r="G110" s="15"/>
      <c r="H110" s="16"/>
      <c r="I110" s="16"/>
      <c r="J110" s="16"/>
      <c r="K110" s="16"/>
      <c r="L110" s="16"/>
      <c r="M110" s="16"/>
      <c r="N110" s="16"/>
      <c r="O110" s="16"/>
      <c r="P110" s="16"/>
      <c r="Q110" s="16"/>
      <c r="R110" s="16"/>
      <c r="S110" s="16"/>
      <c r="T110" s="16"/>
      <c r="U110" s="16"/>
      <c r="V110" s="16"/>
      <c r="W110" s="15"/>
      <c r="X110" s="15"/>
      <c r="Y110" s="15"/>
      <c r="Z110" s="15"/>
    </row>
    <row r="111" customHeight="1" spans="1:26">
      <c r="A111" s="17"/>
      <c r="B111" s="15"/>
      <c r="C111" s="15"/>
      <c r="D111" s="15"/>
      <c r="E111" s="15"/>
      <c r="F111" s="15"/>
      <c r="G111" s="15"/>
      <c r="H111" s="16"/>
      <c r="I111" s="16"/>
      <c r="J111" s="16"/>
      <c r="K111" s="16"/>
      <c r="L111" s="16"/>
      <c r="M111" s="16"/>
      <c r="N111" s="16"/>
      <c r="O111" s="16"/>
      <c r="P111" s="16"/>
      <c r="Q111" s="16"/>
      <c r="R111" s="16"/>
      <c r="S111" s="16"/>
      <c r="T111" s="16"/>
      <c r="U111" s="16"/>
      <c r="V111" s="16"/>
      <c r="W111" s="15"/>
      <c r="X111" s="15"/>
      <c r="Y111" s="15"/>
      <c r="Z111" s="15"/>
    </row>
    <row r="112" customHeight="1" spans="1:26">
      <c r="A112" s="17"/>
      <c r="B112" s="15"/>
      <c r="C112" s="15"/>
      <c r="D112" s="15"/>
      <c r="E112" s="15"/>
      <c r="F112" s="15"/>
      <c r="G112" s="15"/>
      <c r="H112" s="16"/>
      <c r="I112" s="16"/>
      <c r="J112" s="16"/>
      <c r="K112" s="16"/>
      <c r="L112" s="16"/>
      <c r="M112" s="16"/>
      <c r="N112" s="16"/>
      <c r="O112" s="16"/>
      <c r="P112" s="16"/>
      <c r="Q112" s="16"/>
      <c r="R112" s="16"/>
      <c r="S112" s="16"/>
      <c r="T112" s="16"/>
      <c r="U112" s="16"/>
      <c r="V112" s="16"/>
      <c r="W112" s="15"/>
      <c r="X112" s="15"/>
      <c r="Y112" s="15"/>
      <c r="Z112" s="15"/>
    </row>
    <row r="113" customHeight="1" spans="1:26">
      <c r="A113" s="17"/>
      <c r="B113" s="15"/>
      <c r="C113" s="15"/>
      <c r="D113" s="15"/>
      <c r="E113" s="15"/>
      <c r="F113" s="15"/>
      <c r="G113" s="15"/>
      <c r="H113" s="16"/>
      <c r="I113" s="16"/>
      <c r="J113" s="16"/>
      <c r="K113" s="16"/>
      <c r="L113" s="16"/>
      <c r="M113" s="16"/>
      <c r="N113" s="16"/>
      <c r="O113" s="16"/>
      <c r="P113" s="16"/>
      <c r="Q113" s="16"/>
      <c r="R113" s="16"/>
      <c r="S113" s="16"/>
      <c r="T113" s="16"/>
      <c r="U113" s="16"/>
      <c r="V113" s="16"/>
      <c r="W113" s="15"/>
      <c r="X113" s="15"/>
      <c r="Y113" s="15"/>
      <c r="Z113" s="15"/>
    </row>
    <row r="114" customHeight="1" spans="1:26">
      <c r="A114" s="17"/>
      <c r="B114" s="15"/>
      <c r="C114" s="15"/>
      <c r="D114" s="15"/>
      <c r="E114" s="15"/>
      <c r="F114" s="15"/>
      <c r="G114" s="15"/>
      <c r="H114" s="16"/>
      <c r="I114" s="16"/>
      <c r="J114" s="16"/>
      <c r="K114" s="16"/>
      <c r="L114" s="16"/>
      <c r="M114" s="16"/>
      <c r="N114" s="16"/>
      <c r="O114" s="16"/>
      <c r="P114" s="16"/>
      <c r="Q114" s="16"/>
      <c r="R114" s="16"/>
      <c r="S114" s="16"/>
      <c r="T114" s="16"/>
      <c r="U114" s="16"/>
      <c r="V114" s="16"/>
      <c r="W114" s="15"/>
      <c r="X114" s="15"/>
      <c r="Y114" s="15"/>
      <c r="Z114" s="15"/>
    </row>
    <row r="115" customHeight="1" spans="1:26">
      <c r="A115" s="17"/>
      <c r="B115" s="15"/>
      <c r="C115" s="15"/>
      <c r="D115" s="15"/>
      <c r="E115" s="15"/>
      <c r="F115" s="15"/>
      <c r="G115" s="15"/>
      <c r="H115" s="16"/>
      <c r="I115" s="16"/>
      <c r="J115" s="16"/>
      <c r="K115" s="16"/>
      <c r="L115" s="16"/>
      <c r="M115" s="16"/>
      <c r="N115" s="16"/>
      <c r="O115" s="16"/>
      <c r="P115" s="16"/>
      <c r="Q115" s="16"/>
      <c r="R115" s="16"/>
      <c r="S115" s="16"/>
      <c r="T115" s="16"/>
      <c r="U115" s="16"/>
      <c r="V115" s="16"/>
      <c r="W115" s="15"/>
      <c r="X115" s="15"/>
      <c r="Y115" s="15"/>
      <c r="Z115" s="15"/>
    </row>
    <row r="116" customHeight="1" spans="1:26">
      <c r="A116" s="17"/>
      <c r="B116" s="15"/>
      <c r="C116" s="15"/>
      <c r="D116" s="15"/>
      <c r="E116" s="15"/>
      <c r="F116" s="15"/>
      <c r="G116" s="15"/>
      <c r="H116" s="16"/>
      <c r="I116" s="16"/>
      <c r="J116" s="16"/>
      <c r="K116" s="16"/>
      <c r="L116" s="16"/>
      <c r="M116" s="16"/>
      <c r="N116" s="16"/>
      <c r="O116" s="16"/>
      <c r="P116" s="16"/>
      <c r="Q116" s="16"/>
      <c r="R116" s="16"/>
      <c r="S116" s="16"/>
      <c r="T116" s="16"/>
      <c r="U116" s="16"/>
      <c r="V116" s="16"/>
      <c r="W116" s="15"/>
      <c r="X116" s="15"/>
      <c r="Y116" s="15"/>
      <c r="Z116" s="15"/>
    </row>
    <row r="117" customHeight="1" spans="1:26">
      <c r="A117" s="17"/>
      <c r="B117" s="15"/>
      <c r="C117" s="15"/>
      <c r="D117" s="15"/>
      <c r="E117" s="15"/>
      <c r="F117" s="15"/>
      <c r="G117" s="15"/>
      <c r="H117" s="16"/>
      <c r="I117" s="16"/>
      <c r="J117" s="16"/>
      <c r="K117" s="16"/>
      <c r="L117" s="16"/>
      <c r="M117" s="16"/>
      <c r="N117" s="16"/>
      <c r="O117" s="16"/>
      <c r="P117" s="16"/>
      <c r="Q117" s="16"/>
      <c r="R117" s="16"/>
      <c r="S117" s="16"/>
      <c r="T117" s="16"/>
      <c r="U117" s="16"/>
      <c r="V117" s="16"/>
      <c r="W117" s="15"/>
      <c r="X117" s="15"/>
      <c r="Y117" s="15"/>
      <c r="Z117" s="15"/>
    </row>
    <row r="118" customHeight="1" spans="1:26">
      <c r="A118" s="17"/>
      <c r="B118" s="15"/>
      <c r="C118" s="15"/>
      <c r="D118" s="15"/>
      <c r="E118" s="15"/>
      <c r="F118" s="15"/>
      <c r="G118" s="15"/>
      <c r="H118" s="16"/>
      <c r="I118" s="16"/>
      <c r="J118" s="16"/>
      <c r="K118" s="16"/>
      <c r="L118" s="16"/>
      <c r="M118" s="16"/>
      <c r="N118" s="16"/>
      <c r="O118" s="16"/>
      <c r="P118" s="16"/>
      <c r="Q118" s="16"/>
      <c r="R118" s="16"/>
      <c r="S118" s="16"/>
      <c r="T118" s="16"/>
      <c r="U118" s="16"/>
      <c r="V118" s="16"/>
      <c r="W118" s="15"/>
      <c r="X118" s="15"/>
      <c r="Y118" s="15"/>
      <c r="Z118" s="15"/>
    </row>
    <row r="119" customHeight="1" spans="1:26">
      <c r="A119" s="17"/>
      <c r="B119" s="15"/>
      <c r="C119" s="15"/>
      <c r="D119" s="15"/>
      <c r="E119" s="15"/>
      <c r="F119" s="15"/>
      <c r="G119" s="15"/>
      <c r="H119" s="16"/>
      <c r="I119" s="16"/>
      <c r="J119" s="16"/>
      <c r="K119" s="16"/>
      <c r="L119" s="16"/>
      <c r="M119" s="16"/>
      <c r="N119" s="16"/>
      <c r="O119" s="16"/>
      <c r="P119" s="16"/>
      <c r="Q119" s="16"/>
      <c r="R119" s="16"/>
      <c r="S119" s="16"/>
      <c r="T119" s="16"/>
      <c r="U119" s="16"/>
      <c r="V119" s="16"/>
      <c r="W119" s="15"/>
      <c r="X119" s="15"/>
      <c r="Y119" s="15"/>
      <c r="Z119" s="15"/>
    </row>
    <row r="120" customHeight="1" spans="1:26">
      <c r="A120" s="17"/>
      <c r="B120" s="15"/>
      <c r="C120" s="15"/>
      <c r="D120" s="15"/>
      <c r="E120" s="15"/>
      <c r="F120" s="15"/>
      <c r="G120" s="15"/>
      <c r="H120" s="16"/>
      <c r="I120" s="16"/>
      <c r="J120" s="16"/>
      <c r="K120" s="16"/>
      <c r="L120" s="16"/>
      <c r="M120" s="16"/>
      <c r="N120" s="16"/>
      <c r="O120" s="16"/>
      <c r="P120" s="16"/>
      <c r="Q120" s="16"/>
      <c r="R120" s="16"/>
      <c r="S120" s="16"/>
      <c r="T120" s="16"/>
      <c r="U120" s="16"/>
      <c r="V120" s="16"/>
      <c r="W120" s="15"/>
      <c r="X120" s="15"/>
      <c r="Y120" s="15"/>
      <c r="Z120" s="15"/>
    </row>
    <row r="121" customHeight="1" spans="1:26">
      <c r="A121" s="17"/>
      <c r="B121" s="15"/>
      <c r="C121" s="15"/>
      <c r="D121" s="15"/>
      <c r="E121" s="15"/>
      <c r="F121" s="15"/>
      <c r="G121" s="15"/>
      <c r="H121" s="16"/>
      <c r="I121" s="16"/>
      <c r="J121" s="16"/>
      <c r="K121" s="16"/>
      <c r="L121" s="16"/>
      <c r="M121" s="16"/>
      <c r="N121" s="16"/>
      <c r="O121" s="16"/>
      <c r="P121" s="16"/>
      <c r="Q121" s="16"/>
      <c r="R121" s="16"/>
      <c r="S121" s="16"/>
      <c r="T121" s="16"/>
      <c r="U121" s="16"/>
      <c r="V121" s="16"/>
      <c r="W121" s="15"/>
      <c r="X121" s="15"/>
      <c r="Y121" s="15"/>
      <c r="Z121" s="15"/>
    </row>
    <row r="122" customHeight="1" spans="1:26">
      <c r="A122" s="17"/>
      <c r="B122" s="15"/>
      <c r="C122" s="15"/>
      <c r="D122" s="15"/>
      <c r="E122" s="15"/>
      <c r="F122" s="15"/>
      <c r="G122" s="15"/>
      <c r="H122" s="16"/>
      <c r="I122" s="16"/>
      <c r="J122" s="16"/>
      <c r="K122" s="16"/>
      <c r="L122" s="16"/>
      <c r="M122" s="16"/>
      <c r="N122" s="16"/>
      <c r="O122" s="16"/>
      <c r="P122" s="16"/>
      <c r="Q122" s="16"/>
      <c r="R122" s="16"/>
      <c r="S122" s="16"/>
      <c r="T122" s="16"/>
      <c r="U122" s="16"/>
      <c r="V122" s="16"/>
      <c r="W122" s="15"/>
      <c r="X122" s="15"/>
      <c r="Y122" s="15"/>
      <c r="Z122" s="15"/>
    </row>
    <row r="123" customHeight="1" spans="1:26">
      <c r="A123" s="17"/>
      <c r="B123" s="15"/>
      <c r="C123" s="15"/>
      <c r="D123" s="15"/>
      <c r="E123" s="15"/>
      <c r="F123" s="15"/>
      <c r="G123" s="15"/>
      <c r="H123" s="16"/>
      <c r="I123" s="16"/>
      <c r="J123" s="16"/>
      <c r="K123" s="16"/>
      <c r="L123" s="16"/>
      <c r="M123" s="16"/>
      <c r="N123" s="16"/>
      <c r="O123" s="16"/>
      <c r="P123" s="16"/>
      <c r="Q123" s="16"/>
      <c r="R123" s="16"/>
      <c r="S123" s="16"/>
      <c r="T123" s="16"/>
      <c r="U123" s="16"/>
      <c r="V123" s="16"/>
      <c r="W123" s="15"/>
      <c r="X123" s="15"/>
      <c r="Y123" s="15"/>
      <c r="Z123" s="15"/>
    </row>
    <row r="124" customHeight="1" spans="1:26">
      <c r="A124" s="17"/>
      <c r="B124" s="15"/>
      <c r="C124" s="15"/>
      <c r="D124" s="15"/>
      <c r="E124" s="15"/>
      <c r="F124" s="15"/>
      <c r="G124" s="15"/>
      <c r="H124" s="16"/>
      <c r="I124" s="16"/>
      <c r="J124" s="16"/>
      <c r="K124" s="16"/>
      <c r="L124" s="16"/>
      <c r="M124" s="16"/>
      <c r="N124" s="16"/>
      <c r="O124" s="16"/>
      <c r="P124" s="16"/>
      <c r="Q124" s="16"/>
      <c r="R124" s="16"/>
      <c r="S124" s="16"/>
      <c r="T124" s="16"/>
      <c r="U124" s="16"/>
      <c r="V124" s="16"/>
      <c r="W124" s="15"/>
      <c r="X124" s="15"/>
      <c r="Y124" s="15"/>
      <c r="Z124" s="15"/>
    </row>
    <row r="125" customHeight="1" spans="1:26">
      <c r="A125" s="17"/>
      <c r="B125" s="15"/>
      <c r="C125" s="15"/>
      <c r="D125" s="15"/>
      <c r="E125" s="15"/>
      <c r="F125" s="15"/>
      <c r="G125" s="15"/>
      <c r="H125" s="16"/>
      <c r="I125" s="16"/>
      <c r="J125" s="16"/>
      <c r="K125" s="16"/>
      <c r="L125" s="16"/>
      <c r="M125" s="16"/>
      <c r="N125" s="16"/>
      <c r="O125" s="16"/>
      <c r="P125" s="16"/>
      <c r="Q125" s="16"/>
      <c r="R125" s="16"/>
      <c r="S125" s="16"/>
      <c r="T125" s="16"/>
      <c r="U125" s="16"/>
      <c r="V125" s="16"/>
      <c r="W125" s="15"/>
      <c r="X125" s="15"/>
      <c r="Y125" s="15"/>
      <c r="Z125" s="15"/>
    </row>
    <row r="126" customHeight="1" spans="1:26">
      <c r="A126" s="17"/>
      <c r="B126" s="15"/>
      <c r="C126" s="15"/>
      <c r="D126" s="15"/>
      <c r="E126" s="15"/>
      <c r="F126" s="15"/>
      <c r="G126" s="15"/>
      <c r="H126" s="16"/>
      <c r="I126" s="16"/>
      <c r="J126" s="16"/>
      <c r="K126" s="16"/>
      <c r="L126" s="16"/>
      <c r="M126" s="16"/>
      <c r="N126" s="16"/>
      <c r="O126" s="16"/>
      <c r="P126" s="16"/>
      <c r="Q126" s="16"/>
      <c r="R126" s="16"/>
      <c r="S126" s="16"/>
      <c r="T126" s="16"/>
      <c r="U126" s="16"/>
      <c r="V126" s="16"/>
      <c r="W126" s="15"/>
      <c r="X126" s="15"/>
      <c r="Y126" s="15"/>
      <c r="Z126" s="15"/>
    </row>
    <row r="127" customHeight="1" spans="1:26">
      <c r="A127" s="17"/>
      <c r="B127" s="15"/>
      <c r="C127" s="15"/>
      <c r="D127" s="15"/>
      <c r="E127" s="15"/>
      <c r="F127" s="15"/>
      <c r="G127" s="15"/>
      <c r="H127" s="16"/>
      <c r="I127" s="16"/>
      <c r="J127" s="16"/>
      <c r="K127" s="16"/>
      <c r="L127" s="16"/>
      <c r="M127" s="16"/>
      <c r="N127" s="16"/>
      <c r="O127" s="16"/>
      <c r="P127" s="16"/>
      <c r="Q127" s="16"/>
      <c r="R127" s="16"/>
      <c r="S127" s="16"/>
      <c r="T127" s="16"/>
      <c r="U127" s="16"/>
      <c r="V127" s="16"/>
      <c r="W127" s="15"/>
      <c r="X127" s="15"/>
      <c r="Y127" s="15"/>
      <c r="Z127" s="15"/>
    </row>
    <row r="128" customHeight="1" spans="1:26">
      <c r="A128" s="17"/>
      <c r="B128" s="15"/>
      <c r="C128" s="15"/>
      <c r="D128" s="15"/>
      <c r="E128" s="15"/>
      <c r="F128" s="15"/>
      <c r="G128" s="15"/>
      <c r="H128" s="16"/>
      <c r="I128" s="16"/>
      <c r="J128" s="16"/>
      <c r="K128" s="16"/>
      <c r="L128" s="16"/>
      <c r="M128" s="16"/>
      <c r="N128" s="16"/>
      <c r="O128" s="16"/>
      <c r="P128" s="16"/>
      <c r="Q128" s="16"/>
      <c r="R128" s="16"/>
      <c r="S128" s="16"/>
      <c r="T128" s="16"/>
      <c r="U128" s="16"/>
      <c r="V128" s="16"/>
      <c r="W128" s="15"/>
      <c r="X128" s="15"/>
      <c r="Y128" s="15"/>
      <c r="Z128" s="15"/>
    </row>
    <row r="129" customHeight="1" spans="1:26">
      <c r="A129" s="17"/>
      <c r="B129" s="15"/>
      <c r="C129" s="15"/>
      <c r="D129" s="15"/>
      <c r="E129" s="15"/>
      <c r="F129" s="15"/>
      <c r="G129" s="15"/>
      <c r="H129" s="16"/>
      <c r="I129" s="16"/>
      <c r="J129" s="16"/>
      <c r="K129" s="16"/>
      <c r="L129" s="16"/>
      <c r="M129" s="16"/>
      <c r="N129" s="16"/>
      <c r="O129" s="16"/>
      <c r="P129" s="16"/>
      <c r="Q129" s="16"/>
      <c r="R129" s="16"/>
      <c r="S129" s="16"/>
      <c r="T129" s="16"/>
      <c r="U129" s="16"/>
      <c r="V129" s="16"/>
      <c r="W129" s="15"/>
      <c r="X129" s="15"/>
      <c r="Y129" s="15"/>
      <c r="Z129" s="15"/>
    </row>
    <row r="130" customHeight="1" spans="1:26">
      <c r="A130" s="17"/>
      <c r="B130" s="15"/>
      <c r="C130" s="15"/>
      <c r="D130" s="15"/>
      <c r="E130" s="15"/>
      <c r="F130" s="15"/>
      <c r="G130" s="15"/>
      <c r="H130" s="16"/>
      <c r="I130" s="16"/>
      <c r="J130" s="16"/>
      <c r="K130" s="16"/>
      <c r="L130" s="16"/>
      <c r="M130" s="16"/>
      <c r="N130" s="16"/>
      <c r="O130" s="16"/>
      <c r="P130" s="16"/>
      <c r="Q130" s="16"/>
      <c r="R130" s="16"/>
      <c r="S130" s="16"/>
      <c r="T130" s="16"/>
      <c r="U130" s="16"/>
      <c r="V130" s="16"/>
      <c r="W130" s="15"/>
      <c r="X130" s="15"/>
      <c r="Y130" s="15"/>
      <c r="Z130" s="15"/>
    </row>
    <row r="131" customHeight="1" spans="1:26">
      <c r="A131" s="17"/>
      <c r="B131" s="15"/>
      <c r="C131" s="15"/>
      <c r="D131" s="15"/>
      <c r="E131" s="15"/>
      <c r="F131" s="15"/>
      <c r="G131" s="15"/>
      <c r="H131" s="16"/>
      <c r="I131" s="16"/>
      <c r="J131" s="16"/>
      <c r="K131" s="16"/>
      <c r="L131" s="16"/>
      <c r="M131" s="16"/>
      <c r="N131" s="16"/>
      <c r="O131" s="16"/>
      <c r="P131" s="16"/>
      <c r="Q131" s="16"/>
      <c r="R131" s="16"/>
      <c r="S131" s="16"/>
      <c r="T131" s="16"/>
      <c r="U131" s="16"/>
      <c r="V131" s="16"/>
      <c r="W131" s="15"/>
      <c r="X131" s="15"/>
      <c r="Y131" s="15"/>
      <c r="Z131" s="15"/>
    </row>
    <row r="132" customHeight="1" spans="1:26">
      <c r="A132" s="17"/>
      <c r="B132" s="15"/>
      <c r="C132" s="15"/>
      <c r="D132" s="15"/>
      <c r="E132" s="15"/>
      <c r="F132" s="15"/>
      <c r="G132" s="15"/>
      <c r="H132" s="16"/>
      <c r="I132" s="16"/>
      <c r="J132" s="16"/>
      <c r="K132" s="16"/>
      <c r="L132" s="16"/>
      <c r="M132" s="16"/>
      <c r="N132" s="16"/>
      <c r="O132" s="16"/>
      <c r="P132" s="16"/>
      <c r="Q132" s="16"/>
      <c r="R132" s="16"/>
      <c r="S132" s="16"/>
      <c r="T132" s="16"/>
      <c r="U132" s="16"/>
      <c r="V132" s="16"/>
      <c r="W132" s="15"/>
      <c r="X132" s="15"/>
      <c r="Y132" s="15"/>
      <c r="Z132" s="15"/>
    </row>
    <row r="133" customHeight="1" spans="1:26">
      <c r="A133" s="17"/>
      <c r="B133" s="15"/>
      <c r="C133" s="15"/>
      <c r="D133" s="15"/>
      <c r="E133" s="15"/>
      <c r="F133" s="15"/>
      <c r="G133" s="15"/>
      <c r="H133" s="16"/>
      <c r="I133" s="16"/>
      <c r="J133" s="16"/>
      <c r="K133" s="16"/>
      <c r="L133" s="16"/>
      <c r="M133" s="16"/>
      <c r="N133" s="16"/>
      <c r="O133" s="16"/>
      <c r="P133" s="16"/>
      <c r="Q133" s="16"/>
      <c r="R133" s="16"/>
      <c r="S133" s="16"/>
      <c r="T133" s="16"/>
      <c r="U133" s="16"/>
      <c r="V133" s="16"/>
      <c r="W133" s="15"/>
      <c r="X133" s="15"/>
      <c r="Y133" s="15"/>
      <c r="Z133" s="15"/>
    </row>
    <row r="134" customHeight="1" spans="1:26">
      <c r="A134" s="17"/>
      <c r="B134" s="15"/>
      <c r="C134" s="15"/>
      <c r="D134" s="15"/>
      <c r="E134" s="15"/>
      <c r="F134" s="15"/>
      <c r="G134" s="15"/>
      <c r="H134" s="16"/>
      <c r="I134" s="16"/>
      <c r="J134" s="16"/>
      <c r="K134" s="16"/>
      <c r="L134" s="16"/>
      <c r="M134" s="16"/>
      <c r="N134" s="16"/>
      <c r="O134" s="16"/>
      <c r="P134" s="16"/>
      <c r="Q134" s="16"/>
      <c r="R134" s="16"/>
      <c r="S134" s="16"/>
      <c r="T134" s="16"/>
      <c r="U134" s="16"/>
      <c r="V134" s="16"/>
      <c r="W134" s="15"/>
      <c r="X134" s="15"/>
      <c r="Y134" s="15"/>
      <c r="Z134" s="15"/>
    </row>
    <row r="135" customHeight="1" spans="1:26">
      <c r="A135" s="17"/>
      <c r="B135" s="15"/>
      <c r="C135" s="15"/>
      <c r="D135" s="15"/>
      <c r="E135" s="15"/>
      <c r="F135" s="15"/>
      <c r="G135" s="15"/>
      <c r="H135" s="16"/>
      <c r="I135" s="16"/>
      <c r="J135" s="16"/>
      <c r="K135" s="16"/>
      <c r="L135" s="16"/>
      <c r="M135" s="16"/>
      <c r="N135" s="16"/>
      <c r="O135" s="16"/>
      <c r="P135" s="16"/>
      <c r="Q135" s="16"/>
      <c r="R135" s="16"/>
      <c r="S135" s="16"/>
      <c r="T135" s="16"/>
      <c r="U135" s="16"/>
      <c r="V135" s="16"/>
      <c r="W135" s="15"/>
      <c r="X135" s="15"/>
      <c r="Y135" s="15"/>
      <c r="Z135" s="15"/>
    </row>
    <row r="136" customHeight="1" spans="1:26">
      <c r="A136" s="17"/>
      <c r="B136" s="15"/>
      <c r="C136" s="15"/>
      <c r="D136" s="15"/>
      <c r="E136" s="15"/>
      <c r="F136" s="15"/>
      <c r="G136" s="15"/>
      <c r="H136" s="16"/>
      <c r="I136" s="16"/>
      <c r="J136" s="16"/>
      <c r="K136" s="16"/>
      <c r="L136" s="16"/>
      <c r="M136" s="16"/>
      <c r="N136" s="16"/>
      <c r="O136" s="16"/>
      <c r="P136" s="16"/>
      <c r="Q136" s="16"/>
      <c r="R136" s="16"/>
      <c r="S136" s="16"/>
      <c r="T136" s="16"/>
      <c r="U136" s="16"/>
      <c r="V136" s="16"/>
      <c r="W136" s="15"/>
      <c r="X136" s="15"/>
      <c r="Y136" s="15"/>
      <c r="Z136" s="15"/>
    </row>
    <row r="137" customHeight="1" spans="1:26">
      <c r="A137" s="17"/>
      <c r="B137" s="15"/>
      <c r="C137" s="15"/>
      <c r="D137" s="15"/>
      <c r="E137" s="15"/>
      <c r="F137" s="15"/>
      <c r="G137" s="15"/>
      <c r="H137" s="16"/>
      <c r="I137" s="16"/>
      <c r="J137" s="16"/>
      <c r="K137" s="16"/>
      <c r="L137" s="16"/>
      <c r="M137" s="16"/>
      <c r="N137" s="16"/>
      <c r="O137" s="16"/>
      <c r="P137" s="16"/>
      <c r="Q137" s="16"/>
      <c r="R137" s="16"/>
      <c r="S137" s="16"/>
      <c r="T137" s="16"/>
      <c r="U137" s="16"/>
      <c r="V137" s="16"/>
      <c r="W137" s="15"/>
      <c r="X137" s="15"/>
      <c r="Y137" s="15"/>
      <c r="Z137" s="15"/>
    </row>
    <row r="138" customHeight="1" spans="1:26">
      <c r="A138" s="17"/>
      <c r="B138" s="15"/>
      <c r="C138" s="15"/>
      <c r="D138" s="15"/>
      <c r="E138" s="15"/>
      <c r="F138" s="15"/>
      <c r="G138" s="15"/>
      <c r="H138" s="16"/>
      <c r="I138" s="16"/>
      <c r="J138" s="16"/>
      <c r="K138" s="16"/>
      <c r="L138" s="16"/>
      <c r="M138" s="16"/>
      <c r="N138" s="16"/>
      <c r="O138" s="16"/>
      <c r="P138" s="16"/>
      <c r="Q138" s="16"/>
      <c r="R138" s="16"/>
      <c r="S138" s="16"/>
      <c r="T138" s="16"/>
      <c r="U138" s="16"/>
      <c r="V138" s="16"/>
      <c r="W138" s="15"/>
      <c r="X138" s="15"/>
      <c r="Y138" s="15"/>
      <c r="Z138" s="15"/>
    </row>
    <row r="139" customHeight="1" spans="1:26">
      <c r="A139" s="17"/>
      <c r="B139" s="15"/>
      <c r="C139" s="15"/>
      <c r="D139" s="15"/>
      <c r="E139" s="15"/>
      <c r="F139" s="15"/>
      <c r="G139" s="15"/>
      <c r="H139" s="16"/>
      <c r="I139" s="16"/>
      <c r="J139" s="16"/>
      <c r="K139" s="16"/>
      <c r="L139" s="16"/>
      <c r="M139" s="16"/>
      <c r="N139" s="16"/>
      <c r="O139" s="16"/>
      <c r="P139" s="16"/>
      <c r="Q139" s="16"/>
      <c r="R139" s="16"/>
      <c r="S139" s="16"/>
      <c r="T139" s="16"/>
      <c r="U139" s="16"/>
      <c r="V139" s="16"/>
      <c r="W139" s="15"/>
      <c r="X139" s="15"/>
      <c r="Y139" s="15"/>
      <c r="Z139" s="15"/>
    </row>
    <row r="140" customHeight="1" spans="1:26">
      <c r="A140" s="17"/>
      <c r="B140" s="15"/>
      <c r="C140" s="15"/>
      <c r="D140" s="15"/>
      <c r="E140" s="15"/>
      <c r="F140" s="15"/>
      <c r="G140" s="15"/>
      <c r="H140" s="16"/>
      <c r="I140" s="16"/>
      <c r="J140" s="16"/>
      <c r="K140" s="16"/>
      <c r="L140" s="16"/>
      <c r="M140" s="16"/>
      <c r="N140" s="16"/>
      <c r="O140" s="16"/>
      <c r="P140" s="16"/>
      <c r="Q140" s="16"/>
      <c r="R140" s="16"/>
      <c r="S140" s="16"/>
      <c r="T140" s="16"/>
      <c r="U140" s="16"/>
      <c r="V140" s="16"/>
      <c r="W140" s="15"/>
      <c r="X140" s="15"/>
      <c r="Y140" s="15"/>
      <c r="Z140" s="15"/>
    </row>
    <row r="141" customHeight="1" spans="1:26">
      <c r="A141" s="17"/>
      <c r="B141" s="15"/>
      <c r="C141" s="15"/>
      <c r="D141" s="15"/>
      <c r="E141" s="15"/>
      <c r="F141" s="15"/>
      <c r="G141" s="15"/>
      <c r="H141" s="16"/>
      <c r="I141" s="16"/>
      <c r="J141" s="16"/>
      <c r="K141" s="16"/>
      <c r="L141" s="16"/>
      <c r="M141" s="16"/>
      <c r="N141" s="16"/>
      <c r="O141" s="16"/>
      <c r="P141" s="16"/>
      <c r="Q141" s="16"/>
      <c r="R141" s="16"/>
      <c r="S141" s="16"/>
      <c r="T141" s="16"/>
      <c r="U141" s="16"/>
      <c r="V141" s="16"/>
      <c r="W141" s="15"/>
      <c r="X141" s="15"/>
      <c r="Y141" s="15"/>
      <c r="Z141" s="15"/>
    </row>
    <row r="142" customHeight="1" spans="1:26">
      <c r="A142" s="17"/>
      <c r="B142" s="15"/>
      <c r="C142" s="15"/>
      <c r="D142" s="15"/>
      <c r="E142" s="15"/>
      <c r="F142" s="15"/>
      <c r="G142" s="15"/>
      <c r="H142" s="16"/>
      <c r="I142" s="16"/>
      <c r="J142" s="16"/>
      <c r="K142" s="16"/>
      <c r="L142" s="16"/>
      <c r="M142" s="16"/>
      <c r="N142" s="16"/>
      <c r="O142" s="16"/>
      <c r="P142" s="16"/>
      <c r="Q142" s="16"/>
      <c r="R142" s="16"/>
      <c r="S142" s="16"/>
      <c r="T142" s="16"/>
      <c r="U142" s="16"/>
      <c r="V142" s="16"/>
      <c r="W142" s="15"/>
      <c r="X142" s="15"/>
      <c r="Y142" s="15"/>
      <c r="Z142" s="15"/>
    </row>
    <row r="143" customHeight="1" spans="1:26">
      <c r="A143" s="17"/>
      <c r="B143" s="15"/>
      <c r="C143" s="15"/>
      <c r="D143" s="15"/>
      <c r="E143" s="15"/>
      <c r="F143" s="15"/>
      <c r="G143" s="15"/>
      <c r="H143" s="16"/>
      <c r="I143" s="16"/>
      <c r="J143" s="16"/>
      <c r="K143" s="16"/>
      <c r="L143" s="16"/>
      <c r="M143" s="16"/>
      <c r="N143" s="16"/>
      <c r="O143" s="16"/>
      <c r="P143" s="16"/>
      <c r="Q143" s="16"/>
      <c r="R143" s="16"/>
      <c r="S143" s="16"/>
      <c r="T143" s="16"/>
      <c r="U143" s="16"/>
      <c r="V143" s="16"/>
      <c r="W143" s="15"/>
      <c r="X143" s="15"/>
      <c r="Y143" s="15"/>
      <c r="Z143" s="15"/>
    </row>
    <row r="144" customHeight="1" spans="1:26">
      <c r="A144" s="17"/>
      <c r="B144" s="15"/>
      <c r="C144" s="15"/>
      <c r="D144" s="15"/>
      <c r="E144" s="15"/>
      <c r="F144" s="15"/>
      <c r="G144" s="15"/>
      <c r="H144" s="16"/>
      <c r="I144" s="16"/>
      <c r="J144" s="16"/>
      <c r="K144" s="16"/>
      <c r="L144" s="16"/>
      <c r="M144" s="16"/>
      <c r="N144" s="16"/>
      <c r="O144" s="16"/>
      <c r="P144" s="16"/>
      <c r="Q144" s="16"/>
      <c r="R144" s="16"/>
      <c r="S144" s="16"/>
      <c r="T144" s="16"/>
      <c r="U144" s="16"/>
      <c r="V144" s="16"/>
      <c r="W144" s="15"/>
      <c r="X144" s="15"/>
      <c r="Y144" s="15"/>
      <c r="Z144" s="15"/>
    </row>
    <row r="145" customHeight="1" spans="1:26">
      <c r="A145" s="17"/>
      <c r="B145" s="15"/>
      <c r="C145" s="15"/>
      <c r="D145" s="15"/>
      <c r="E145" s="15"/>
      <c r="F145" s="15"/>
      <c r="G145" s="15"/>
      <c r="H145" s="16"/>
      <c r="I145" s="16"/>
      <c r="J145" s="16"/>
      <c r="K145" s="16"/>
      <c r="L145" s="16"/>
      <c r="M145" s="16"/>
      <c r="N145" s="16"/>
      <c r="O145" s="16"/>
      <c r="P145" s="16"/>
      <c r="Q145" s="16"/>
      <c r="R145" s="16"/>
      <c r="S145" s="16"/>
      <c r="T145" s="16"/>
      <c r="U145" s="16"/>
      <c r="V145" s="16"/>
      <c r="W145" s="15"/>
      <c r="X145" s="15"/>
      <c r="Y145" s="15"/>
      <c r="Z145" s="15"/>
    </row>
    <row r="146" customHeight="1" spans="1:26">
      <c r="A146" s="17"/>
      <c r="B146" s="15"/>
      <c r="C146" s="15"/>
      <c r="D146" s="15"/>
      <c r="E146" s="15"/>
      <c r="F146" s="15"/>
      <c r="G146" s="15"/>
      <c r="H146" s="16"/>
      <c r="I146" s="16"/>
      <c r="J146" s="16"/>
      <c r="K146" s="16"/>
      <c r="L146" s="16"/>
      <c r="M146" s="16"/>
      <c r="N146" s="16"/>
      <c r="O146" s="16"/>
      <c r="P146" s="16"/>
      <c r="Q146" s="16"/>
      <c r="R146" s="16"/>
      <c r="S146" s="16"/>
      <c r="T146" s="16"/>
      <c r="U146" s="16"/>
      <c r="V146" s="16"/>
      <c r="W146" s="15"/>
      <c r="X146" s="15"/>
      <c r="Y146" s="15"/>
      <c r="Z146" s="15"/>
    </row>
    <row r="147" customHeight="1" spans="1:26">
      <c r="A147" s="17"/>
      <c r="B147" s="15"/>
      <c r="C147" s="15"/>
      <c r="D147" s="15"/>
      <c r="E147" s="15"/>
      <c r="F147" s="15"/>
      <c r="G147" s="15"/>
      <c r="H147" s="16"/>
      <c r="I147" s="16"/>
      <c r="J147" s="16"/>
      <c r="K147" s="16"/>
      <c r="L147" s="16"/>
      <c r="M147" s="16"/>
      <c r="N147" s="16"/>
      <c r="O147" s="16"/>
      <c r="P147" s="16"/>
      <c r="Q147" s="16"/>
      <c r="R147" s="16"/>
      <c r="S147" s="16"/>
      <c r="T147" s="16"/>
      <c r="U147" s="16"/>
      <c r="V147" s="16"/>
      <c r="W147" s="15"/>
      <c r="X147" s="15"/>
      <c r="Y147" s="15"/>
      <c r="Z147" s="15"/>
    </row>
    <row r="148" customHeight="1" spans="1:26">
      <c r="A148" s="17"/>
      <c r="B148" s="15"/>
      <c r="C148" s="15"/>
      <c r="D148" s="15"/>
      <c r="E148" s="15"/>
      <c r="F148" s="15"/>
      <c r="G148" s="15"/>
      <c r="H148" s="16"/>
      <c r="I148" s="16"/>
      <c r="J148" s="16"/>
      <c r="K148" s="16"/>
      <c r="L148" s="16"/>
      <c r="M148" s="16"/>
      <c r="N148" s="16"/>
      <c r="O148" s="16"/>
      <c r="P148" s="16"/>
      <c r="Q148" s="16"/>
      <c r="R148" s="16"/>
      <c r="S148" s="16"/>
      <c r="T148" s="16"/>
      <c r="U148" s="16"/>
      <c r="V148" s="16"/>
      <c r="W148" s="15"/>
      <c r="X148" s="15"/>
      <c r="Y148" s="15"/>
      <c r="Z148" s="15"/>
    </row>
    <row r="149" customHeight="1" spans="1:26">
      <c r="A149" s="17"/>
      <c r="B149" s="15"/>
      <c r="C149" s="15"/>
      <c r="D149" s="15"/>
      <c r="E149" s="15"/>
      <c r="F149" s="15"/>
      <c r="G149" s="15"/>
      <c r="H149" s="16"/>
      <c r="I149" s="16"/>
      <c r="J149" s="16"/>
      <c r="K149" s="16"/>
      <c r="L149" s="16"/>
      <c r="M149" s="16"/>
      <c r="N149" s="16"/>
      <c r="O149" s="16"/>
      <c r="P149" s="16"/>
      <c r="Q149" s="16"/>
      <c r="R149" s="16"/>
      <c r="S149" s="16"/>
      <c r="T149" s="16"/>
      <c r="U149" s="16"/>
      <c r="V149" s="16"/>
      <c r="W149" s="15"/>
      <c r="X149" s="15"/>
      <c r="Y149" s="15"/>
      <c r="Z149" s="15"/>
    </row>
    <row r="150" customHeight="1" spans="1:26">
      <c r="A150" s="17"/>
      <c r="B150" s="15"/>
      <c r="C150" s="15"/>
      <c r="D150" s="15"/>
      <c r="E150" s="15"/>
      <c r="F150" s="15"/>
      <c r="G150" s="15"/>
      <c r="H150" s="16"/>
      <c r="I150" s="16"/>
      <c r="J150" s="16"/>
      <c r="K150" s="16"/>
      <c r="L150" s="16"/>
      <c r="M150" s="16"/>
      <c r="N150" s="16"/>
      <c r="O150" s="16"/>
      <c r="P150" s="16"/>
      <c r="Q150" s="16"/>
      <c r="R150" s="16"/>
      <c r="S150" s="16"/>
      <c r="T150" s="16"/>
      <c r="U150" s="16"/>
      <c r="V150" s="16"/>
      <c r="W150" s="15"/>
      <c r="X150" s="15"/>
      <c r="Y150" s="15"/>
      <c r="Z150" s="15"/>
    </row>
    <row r="151" customHeight="1" spans="1:26">
      <c r="A151" s="17"/>
      <c r="B151" s="15"/>
      <c r="C151" s="15"/>
      <c r="D151" s="15"/>
      <c r="E151" s="15"/>
      <c r="F151" s="15"/>
      <c r="G151" s="15"/>
      <c r="H151" s="16"/>
      <c r="I151" s="16"/>
      <c r="J151" s="16"/>
      <c r="K151" s="16"/>
      <c r="L151" s="16"/>
      <c r="M151" s="16"/>
      <c r="N151" s="16"/>
      <c r="O151" s="16"/>
      <c r="P151" s="16"/>
      <c r="Q151" s="16"/>
      <c r="R151" s="16"/>
      <c r="S151" s="16"/>
      <c r="T151" s="16"/>
      <c r="U151" s="16"/>
      <c r="V151" s="16"/>
      <c r="W151" s="15"/>
      <c r="X151" s="15"/>
      <c r="Y151" s="15"/>
      <c r="Z151" s="15"/>
    </row>
    <row r="152" customHeight="1" spans="1:26">
      <c r="A152" s="17"/>
      <c r="B152" s="15"/>
      <c r="C152" s="15"/>
      <c r="D152" s="15"/>
      <c r="E152" s="15"/>
      <c r="F152" s="15"/>
      <c r="G152" s="15"/>
      <c r="H152" s="16"/>
      <c r="I152" s="16"/>
      <c r="J152" s="16"/>
      <c r="K152" s="16"/>
      <c r="L152" s="16"/>
      <c r="M152" s="16"/>
      <c r="N152" s="16"/>
      <c r="O152" s="16"/>
      <c r="P152" s="16"/>
      <c r="Q152" s="16"/>
      <c r="R152" s="16"/>
      <c r="S152" s="16"/>
      <c r="T152" s="16"/>
      <c r="U152" s="16"/>
      <c r="V152" s="16"/>
      <c r="W152" s="15"/>
      <c r="X152" s="15"/>
      <c r="Y152" s="15"/>
      <c r="Z152" s="15"/>
    </row>
    <row r="153" customHeight="1" spans="1:26">
      <c r="A153" s="17"/>
      <c r="B153" s="15"/>
      <c r="C153" s="15"/>
      <c r="D153" s="15"/>
      <c r="E153" s="15"/>
      <c r="F153" s="15"/>
      <c r="G153" s="15"/>
      <c r="H153" s="16"/>
      <c r="I153" s="16"/>
      <c r="J153" s="16"/>
      <c r="K153" s="16"/>
      <c r="L153" s="16"/>
      <c r="M153" s="16"/>
      <c r="N153" s="16"/>
      <c r="O153" s="16"/>
      <c r="P153" s="16"/>
      <c r="Q153" s="16"/>
      <c r="R153" s="16"/>
      <c r="S153" s="16"/>
      <c r="T153" s="16"/>
      <c r="U153" s="16"/>
      <c r="V153" s="16"/>
      <c r="W153" s="15"/>
      <c r="X153" s="15"/>
      <c r="Y153" s="15"/>
      <c r="Z153" s="15"/>
    </row>
    <row r="154" customHeight="1" spans="1:26">
      <c r="A154" s="17"/>
      <c r="B154" s="15"/>
      <c r="C154" s="15"/>
      <c r="D154" s="15"/>
      <c r="E154" s="15"/>
      <c r="F154" s="15"/>
      <c r="G154" s="15"/>
      <c r="H154" s="16"/>
      <c r="I154" s="16"/>
      <c r="J154" s="16"/>
      <c r="K154" s="16"/>
      <c r="L154" s="16"/>
      <c r="M154" s="16"/>
      <c r="N154" s="16"/>
      <c r="O154" s="16"/>
      <c r="P154" s="16"/>
      <c r="Q154" s="16"/>
      <c r="R154" s="16"/>
      <c r="S154" s="16"/>
      <c r="T154" s="16"/>
      <c r="U154" s="16"/>
      <c r="V154" s="16"/>
      <c r="W154" s="15"/>
      <c r="X154" s="15"/>
      <c r="Y154" s="15"/>
      <c r="Z154" s="15"/>
    </row>
    <row r="155" customHeight="1" spans="1:26">
      <c r="A155" s="17"/>
      <c r="B155" s="15"/>
      <c r="C155" s="15"/>
      <c r="D155" s="15"/>
      <c r="E155" s="15"/>
      <c r="F155" s="15"/>
      <c r="G155" s="15"/>
      <c r="H155" s="16"/>
      <c r="I155" s="16"/>
      <c r="J155" s="16"/>
      <c r="K155" s="16"/>
      <c r="L155" s="16"/>
      <c r="M155" s="16"/>
      <c r="N155" s="16"/>
      <c r="O155" s="16"/>
      <c r="P155" s="16"/>
      <c r="Q155" s="16"/>
      <c r="R155" s="16"/>
      <c r="S155" s="16"/>
      <c r="T155" s="16"/>
      <c r="U155" s="16"/>
      <c r="V155" s="16"/>
      <c r="W155" s="15"/>
      <c r="X155" s="15"/>
      <c r="Y155" s="15"/>
      <c r="Z155" s="15"/>
    </row>
    <row r="156" customHeight="1" spans="1:26">
      <c r="A156" s="17"/>
      <c r="B156" s="15"/>
      <c r="C156" s="15"/>
      <c r="D156" s="15"/>
      <c r="E156" s="15"/>
      <c r="F156" s="15"/>
      <c r="G156" s="15"/>
      <c r="H156" s="16"/>
      <c r="I156" s="16"/>
      <c r="J156" s="16"/>
      <c r="K156" s="16"/>
      <c r="L156" s="16"/>
      <c r="M156" s="16"/>
      <c r="N156" s="16"/>
      <c r="O156" s="16"/>
      <c r="P156" s="16"/>
      <c r="Q156" s="16"/>
      <c r="R156" s="16"/>
      <c r="S156" s="16"/>
      <c r="T156" s="16"/>
      <c r="U156" s="16"/>
      <c r="V156" s="16"/>
      <c r="W156" s="15"/>
      <c r="X156" s="15"/>
      <c r="Y156" s="15"/>
      <c r="Z156" s="15"/>
    </row>
    <row r="157" customHeight="1" spans="1:26">
      <c r="A157" s="17"/>
      <c r="B157" s="15"/>
      <c r="C157" s="15"/>
      <c r="D157" s="15"/>
      <c r="E157" s="15"/>
      <c r="F157" s="15"/>
      <c r="G157" s="15"/>
      <c r="H157" s="16"/>
      <c r="I157" s="16"/>
      <c r="J157" s="16"/>
      <c r="K157" s="16"/>
      <c r="L157" s="16"/>
      <c r="M157" s="16"/>
      <c r="N157" s="16"/>
      <c r="O157" s="16"/>
      <c r="P157" s="16"/>
      <c r="Q157" s="16"/>
      <c r="R157" s="16"/>
      <c r="S157" s="16"/>
      <c r="T157" s="16"/>
      <c r="U157" s="16"/>
      <c r="V157" s="16"/>
      <c r="W157" s="15"/>
      <c r="X157" s="15"/>
      <c r="Y157" s="15"/>
      <c r="Z157" s="15"/>
    </row>
    <row r="158" customHeight="1" spans="1:26">
      <c r="A158" s="17"/>
      <c r="B158" s="15"/>
      <c r="C158" s="15"/>
      <c r="D158" s="15"/>
      <c r="E158" s="15"/>
      <c r="F158" s="15"/>
      <c r="G158" s="15"/>
      <c r="H158" s="16"/>
      <c r="I158" s="16"/>
      <c r="J158" s="16"/>
      <c r="K158" s="16"/>
      <c r="L158" s="16"/>
      <c r="M158" s="16"/>
      <c r="N158" s="16"/>
      <c r="O158" s="16"/>
      <c r="P158" s="16"/>
      <c r="Q158" s="16"/>
      <c r="R158" s="16"/>
      <c r="S158" s="16"/>
      <c r="T158" s="16"/>
      <c r="U158" s="16"/>
      <c r="V158" s="16"/>
      <c r="W158" s="15"/>
      <c r="X158" s="15"/>
      <c r="Y158" s="15"/>
      <c r="Z158" s="15"/>
    </row>
    <row r="159" customHeight="1" spans="1:26">
      <c r="A159" s="17"/>
      <c r="B159" s="15"/>
      <c r="C159" s="15"/>
      <c r="D159" s="15"/>
      <c r="E159" s="15"/>
      <c r="F159" s="15"/>
      <c r="G159" s="15"/>
      <c r="H159" s="16"/>
      <c r="I159" s="16"/>
      <c r="J159" s="16"/>
      <c r="K159" s="16"/>
      <c r="L159" s="16"/>
      <c r="M159" s="16"/>
      <c r="N159" s="16"/>
      <c r="O159" s="16"/>
      <c r="P159" s="16"/>
      <c r="Q159" s="16"/>
      <c r="R159" s="16"/>
      <c r="S159" s="16"/>
      <c r="T159" s="16"/>
      <c r="U159" s="16"/>
      <c r="V159" s="16"/>
      <c r="W159" s="15"/>
      <c r="X159" s="15"/>
      <c r="Y159" s="15"/>
      <c r="Z159" s="15"/>
    </row>
    <row r="160" customHeight="1" spans="1:26">
      <c r="A160" s="17"/>
      <c r="B160" s="15"/>
      <c r="C160" s="15"/>
      <c r="D160" s="15"/>
      <c r="E160" s="15"/>
      <c r="F160" s="15"/>
      <c r="G160" s="15"/>
      <c r="H160" s="16"/>
      <c r="I160" s="16"/>
      <c r="J160" s="16"/>
      <c r="K160" s="16"/>
      <c r="L160" s="16"/>
      <c r="M160" s="16"/>
      <c r="N160" s="16"/>
      <c r="O160" s="16"/>
      <c r="P160" s="16"/>
      <c r="Q160" s="16"/>
      <c r="R160" s="16"/>
      <c r="S160" s="16"/>
      <c r="T160" s="16"/>
      <c r="U160" s="16"/>
      <c r="V160" s="16"/>
      <c r="W160" s="15"/>
      <c r="X160" s="15"/>
      <c r="Y160" s="15"/>
      <c r="Z160" s="15"/>
    </row>
    <row r="161" customHeight="1" spans="1:26">
      <c r="A161" s="17"/>
      <c r="B161" s="15"/>
      <c r="C161" s="15"/>
      <c r="D161" s="15"/>
      <c r="E161" s="15"/>
      <c r="F161" s="15"/>
      <c r="G161" s="15"/>
      <c r="H161" s="16"/>
      <c r="I161" s="16"/>
      <c r="J161" s="16"/>
      <c r="K161" s="16"/>
      <c r="L161" s="16"/>
      <c r="M161" s="16"/>
      <c r="N161" s="16"/>
      <c r="O161" s="16"/>
      <c r="P161" s="16"/>
      <c r="Q161" s="16"/>
      <c r="R161" s="16"/>
      <c r="S161" s="16"/>
      <c r="T161" s="16"/>
      <c r="U161" s="16"/>
      <c r="V161" s="16"/>
      <c r="W161" s="15"/>
      <c r="X161" s="15"/>
      <c r="Y161" s="15"/>
      <c r="Z161" s="15"/>
    </row>
    <row r="162" customHeight="1" spans="1:26">
      <c r="A162" s="17"/>
      <c r="B162" s="15"/>
      <c r="C162" s="15"/>
      <c r="D162" s="15"/>
      <c r="E162" s="15"/>
      <c r="F162" s="15"/>
      <c r="G162" s="15"/>
      <c r="H162" s="16"/>
      <c r="I162" s="16"/>
      <c r="J162" s="16"/>
      <c r="K162" s="16"/>
      <c r="L162" s="16"/>
      <c r="M162" s="16"/>
      <c r="N162" s="16"/>
      <c r="O162" s="16"/>
      <c r="P162" s="16"/>
      <c r="Q162" s="16"/>
      <c r="R162" s="16"/>
      <c r="S162" s="16"/>
      <c r="T162" s="16"/>
      <c r="U162" s="16"/>
      <c r="V162" s="16"/>
      <c r="W162" s="15"/>
      <c r="X162" s="15"/>
      <c r="Y162" s="15"/>
      <c r="Z162" s="15"/>
    </row>
    <row r="163" customHeight="1" spans="1:26">
      <c r="A163" s="17"/>
      <c r="B163" s="15"/>
      <c r="C163" s="15"/>
      <c r="D163" s="15"/>
      <c r="E163" s="15"/>
      <c r="F163" s="15"/>
      <c r="G163" s="15"/>
      <c r="H163" s="16"/>
      <c r="I163" s="16"/>
      <c r="J163" s="16"/>
      <c r="K163" s="16"/>
      <c r="L163" s="16"/>
      <c r="M163" s="16"/>
      <c r="N163" s="16"/>
      <c r="O163" s="16"/>
      <c r="P163" s="16"/>
      <c r="Q163" s="16"/>
      <c r="R163" s="16"/>
      <c r="S163" s="16"/>
      <c r="T163" s="16"/>
      <c r="U163" s="16"/>
      <c r="V163" s="16"/>
      <c r="W163" s="15"/>
      <c r="X163" s="15"/>
      <c r="Y163" s="15"/>
      <c r="Z163" s="15"/>
    </row>
    <row r="164" customHeight="1" spans="1:26">
      <c r="A164" s="17"/>
      <c r="B164" s="15"/>
      <c r="C164" s="15"/>
      <c r="D164" s="15"/>
      <c r="E164" s="15"/>
      <c r="F164" s="15"/>
      <c r="G164" s="15"/>
      <c r="H164" s="16"/>
      <c r="I164" s="16"/>
      <c r="J164" s="16"/>
      <c r="K164" s="16"/>
      <c r="L164" s="16"/>
      <c r="M164" s="16"/>
      <c r="N164" s="16"/>
      <c r="O164" s="16"/>
      <c r="P164" s="16"/>
      <c r="Q164" s="16"/>
      <c r="R164" s="16"/>
      <c r="S164" s="16"/>
      <c r="T164" s="16"/>
      <c r="U164" s="16"/>
      <c r="V164" s="16"/>
      <c r="W164" s="15"/>
      <c r="X164" s="15"/>
      <c r="Y164" s="15"/>
      <c r="Z164" s="15"/>
    </row>
    <row r="165" customHeight="1" spans="1:26">
      <c r="A165" s="17"/>
      <c r="B165" s="15"/>
      <c r="C165" s="15"/>
      <c r="D165" s="15"/>
      <c r="E165" s="15"/>
      <c r="F165" s="15"/>
      <c r="G165" s="15"/>
      <c r="H165" s="16"/>
      <c r="I165" s="16"/>
      <c r="J165" s="16"/>
      <c r="K165" s="16"/>
      <c r="L165" s="16"/>
      <c r="M165" s="16"/>
      <c r="N165" s="16"/>
      <c r="O165" s="16"/>
      <c r="P165" s="16"/>
      <c r="Q165" s="16"/>
      <c r="R165" s="16"/>
      <c r="S165" s="16"/>
      <c r="T165" s="16"/>
      <c r="U165" s="16"/>
      <c r="V165" s="16"/>
      <c r="W165" s="15"/>
      <c r="X165" s="15"/>
      <c r="Y165" s="15"/>
      <c r="Z165" s="15"/>
    </row>
    <row r="166" customHeight="1" spans="1:26">
      <c r="A166" s="17"/>
      <c r="B166" s="15"/>
      <c r="C166" s="15"/>
      <c r="D166" s="15"/>
      <c r="E166" s="15"/>
      <c r="F166" s="15"/>
      <c r="G166" s="15"/>
      <c r="H166" s="16"/>
      <c r="I166" s="16"/>
      <c r="J166" s="16"/>
      <c r="K166" s="16"/>
      <c r="L166" s="16"/>
      <c r="M166" s="16"/>
      <c r="N166" s="16"/>
      <c r="O166" s="16"/>
      <c r="P166" s="16"/>
      <c r="Q166" s="16"/>
      <c r="R166" s="16"/>
      <c r="S166" s="16"/>
      <c r="T166" s="16"/>
      <c r="U166" s="16"/>
      <c r="V166" s="16"/>
      <c r="W166" s="15"/>
      <c r="X166" s="15"/>
      <c r="Y166" s="15"/>
      <c r="Z166" s="15"/>
    </row>
    <row r="167" customHeight="1" spans="1:26">
      <c r="A167" s="17"/>
      <c r="B167" s="15"/>
      <c r="C167" s="15"/>
      <c r="D167" s="15"/>
      <c r="E167" s="15"/>
      <c r="F167" s="15"/>
      <c r="G167" s="15"/>
      <c r="H167" s="16"/>
      <c r="I167" s="16"/>
      <c r="J167" s="16"/>
      <c r="K167" s="16"/>
      <c r="L167" s="16"/>
      <c r="M167" s="16"/>
      <c r="N167" s="16"/>
      <c r="O167" s="16"/>
      <c r="P167" s="16"/>
      <c r="Q167" s="16"/>
      <c r="R167" s="16"/>
      <c r="S167" s="16"/>
      <c r="T167" s="16"/>
      <c r="U167" s="16"/>
      <c r="V167" s="16"/>
      <c r="W167" s="15"/>
      <c r="X167" s="15"/>
      <c r="Y167" s="15"/>
      <c r="Z167" s="15"/>
    </row>
    <row r="168" customHeight="1" spans="1:26">
      <c r="A168" s="17"/>
      <c r="B168" s="15"/>
      <c r="C168" s="15"/>
      <c r="D168" s="15"/>
      <c r="E168" s="15"/>
      <c r="F168" s="15"/>
      <c r="G168" s="15"/>
      <c r="H168" s="16"/>
      <c r="I168" s="16"/>
      <c r="J168" s="16"/>
      <c r="K168" s="16"/>
      <c r="L168" s="16"/>
      <c r="M168" s="16"/>
      <c r="N168" s="16"/>
      <c r="O168" s="16"/>
      <c r="P168" s="16"/>
      <c r="Q168" s="16"/>
      <c r="R168" s="16"/>
      <c r="S168" s="16"/>
      <c r="T168" s="16"/>
      <c r="U168" s="16"/>
      <c r="V168" s="16"/>
      <c r="W168" s="15"/>
      <c r="X168" s="15"/>
      <c r="Y168" s="15"/>
      <c r="Z168" s="15"/>
    </row>
    <row r="169" customHeight="1" spans="1:26">
      <c r="A169" s="17"/>
      <c r="B169" s="15"/>
      <c r="C169" s="15"/>
      <c r="D169" s="15"/>
      <c r="E169" s="15"/>
      <c r="F169" s="15"/>
      <c r="G169" s="15"/>
      <c r="H169" s="16"/>
      <c r="I169" s="16"/>
      <c r="J169" s="16"/>
      <c r="K169" s="16"/>
      <c r="L169" s="16"/>
      <c r="M169" s="16"/>
      <c r="N169" s="16"/>
      <c r="O169" s="16"/>
      <c r="P169" s="16"/>
      <c r="Q169" s="16"/>
      <c r="R169" s="16"/>
      <c r="S169" s="16"/>
      <c r="T169" s="16"/>
      <c r="U169" s="16"/>
      <c r="V169" s="16"/>
      <c r="W169" s="15"/>
      <c r="X169" s="15"/>
      <c r="Y169" s="15"/>
      <c r="Z169" s="15"/>
    </row>
    <row r="170" customHeight="1" spans="1:26">
      <c r="A170" s="17"/>
      <c r="B170" s="15"/>
      <c r="C170" s="15"/>
      <c r="D170" s="15"/>
      <c r="E170" s="15"/>
      <c r="F170" s="15"/>
      <c r="G170" s="15"/>
      <c r="H170" s="16"/>
      <c r="I170" s="16"/>
      <c r="J170" s="16"/>
      <c r="K170" s="16"/>
      <c r="L170" s="16"/>
      <c r="M170" s="16"/>
      <c r="N170" s="16"/>
      <c r="O170" s="16"/>
      <c r="P170" s="16"/>
      <c r="Q170" s="16"/>
      <c r="R170" s="16"/>
      <c r="S170" s="16"/>
      <c r="T170" s="16"/>
      <c r="U170" s="16"/>
      <c r="V170" s="16"/>
      <c r="W170" s="15"/>
      <c r="X170" s="15"/>
      <c r="Y170" s="15"/>
      <c r="Z170" s="15"/>
    </row>
    <row r="171" customHeight="1" spans="1:26">
      <c r="A171" s="17"/>
      <c r="B171" s="15"/>
      <c r="C171" s="15"/>
      <c r="D171" s="15"/>
      <c r="E171" s="15"/>
      <c r="F171" s="15"/>
      <c r="G171" s="15"/>
      <c r="H171" s="16"/>
      <c r="I171" s="16"/>
      <c r="J171" s="16"/>
      <c r="K171" s="16"/>
      <c r="L171" s="16"/>
      <c r="M171" s="16"/>
      <c r="N171" s="16"/>
      <c r="O171" s="16"/>
      <c r="P171" s="16"/>
      <c r="Q171" s="16"/>
      <c r="R171" s="16"/>
      <c r="S171" s="16"/>
      <c r="T171" s="16"/>
      <c r="U171" s="16"/>
      <c r="V171" s="16"/>
      <c r="W171" s="15"/>
      <c r="X171" s="15"/>
      <c r="Y171" s="15"/>
      <c r="Z171" s="15"/>
    </row>
    <row r="172" customHeight="1" spans="1:26">
      <c r="A172" s="17"/>
      <c r="B172" s="15"/>
      <c r="C172" s="15"/>
      <c r="D172" s="15"/>
      <c r="E172" s="15"/>
      <c r="F172" s="15"/>
      <c r="G172" s="15"/>
      <c r="H172" s="16"/>
      <c r="I172" s="16"/>
      <c r="J172" s="16"/>
      <c r="K172" s="16"/>
      <c r="L172" s="16"/>
      <c r="M172" s="16"/>
      <c r="N172" s="16"/>
      <c r="O172" s="16"/>
      <c r="P172" s="16"/>
      <c r="Q172" s="16"/>
      <c r="R172" s="16"/>
      <c r="S172" s="16"/>
      <c r="T172" s="16"/>
      <c r="U172" s="16"/>
      <c r="V172" s="16"/>
      <c r="W172" s="15"/>
      <c r="X172" s="15"/>
      <c r="Y172" s="15"/>
      <c r="Z172" s="15"/>
    </row>
    <row r="173" customHeight="1" spans="1:26">
      <c r="A173" s="17"/>
      <c r="B173" s="15"/>
      <c r="C173" s="15"/>
      <c r="D173" s="15"/>
      <c r="E173" s="15"/>
      <c r="F173" s="15"/>
      <c r="G173" s="15"/>
      <c r="H173" s="16"/>
      <c r="I173" s="16"/>
      <c r="J173" s="16"/>
      <c r="K173" s="16"/>
      <c r="L173" s="16"/>
      <c r="M173" s="16"/>
      <c r="N173" s="16"/>
      <c r="O173" s="16"/>
      <c r="P173" s="16"/>
      <c r="Q173" s="16"/>
      <c r="R173" s="16"/>
      <c r="S173" s="16"/>
      <c r="T173" s="16"/>
      <c r="U173" s="16"/>
      <c r="V173" s="16"/>
      <c r="W173" s="15"/>
      <c r="X173" s="15"/>
      <c r="Y173" s="15"/>
      <c r="Z173" s="15"/>
    </row>
    <row r="174" customHeight="1" spans="1:26">
      <c r="A174" s="17"/>
      <c r="B174" s="15"/>
      <c r="C174" s="15"/>
      <c r="D174" s="15"/>
      <c r="E174" s="15"/>
      <c r="F174" s="15"/>
      <c r="G174" s="15"/>
      <c r="H174" s="16"/>
      <c r="I174" s="16"/>
      <c r="J174" s="16"/>
      <c r="K174" s="16"/>
      <c r="L174" s="16"/>
      <c r="M174" s="16"/>
      <c r="N174" s="16"/>
      <c r="O174" s="16"/>
      <c r="P174" s="16"/>
      <c r="Q174" s="16"/>
      <c r="R174" s="16"/>
      <c r="S174" s="16"/>
      <c r="T174" s="16"/>
      <c r="U174" s="16"/>
      <c r="V174" s="16"/>
      <c r="W174" s="15"/>
      <c r="X174" s="15"/>
      <c r="Y174" s="15"/>
      <c r="Z174" s="15"/>
    </row>
    <row r="175" customHeight="1" spans="1:26">
      <c r="A175" s="17"/>
      <c r="B175" s="15"/>
      <c r="C175" s="15"/>
      <c r="D175" s="15"/>
      <c r="E175" s="15"/>
      <c r="F175" s="15"/>
      <c r="G175" s="15"/>
      <c r="H175" s="16"/>
      <c r="I175" s="16"/>
      <c r="J175" s="16"/>
      <c r="K175" s="16"/>
      <c r="L175" s="16"/>
      <c r="M175" s="16"/>
      <c r="N175" s="16"/>
      <c r="O175" s="16"/>
      <c r="P175" s="16"/>
      <c r="Q175" s="16"/>
      <c r="R175" s="16"/>
      <c r="S175" s="16"/>
      <c r="T175" s="16"/>
      <c r="U175" s="16"/>
      <c r="V175" s="16"/>
      <c r="W175" s="15"/>
      <c r="X175" s="15"/>
      <c r="Y175" s="15"/>
      <c r="Z175" s="15"/>
    </row>
    <row r="176" customHeight="1" spans="1:26">
      <c r="A176" s="17"/>
      <c r="B176" s="15"/>
      <c r="C176" s="15"/>
      <c r="D176" s="15"/>
      <c r="E176" s="15"/>
      <c r="F176" s="15"/>
      <c r="G176" s="15"/>
      <c r="H176" s="16"/>
      <c r="I176" s="16"/>
      <c r="J176" s="16"/>
      <c r="K176" s="16"/>
      <c r="L176" s="16"/>
      <c r="M176" s="16"/>
      <c r="N176" s="16"/>
      <c r="O176" s="16"/>
      <c r="P176" s="16"/>
      <c r="Q176" s="16"/>
      <c r="R176" s="16"/>
      <c r="S176" s="16"/>
      <c r="T176" s="16"/>
      <c r="U176" s="16"/>
      <c r="V176" s="16"/>
      <c r="W176" s="15"/>
      <c r="X176" s="15"/>
      <c r="Y176" s="15"/>
      <c r="Z176" s="15"/>
    </row>
    <row r="177" customHeight="1" spans="1:26">
      <c r="A177" s="17"/>
      <c r="B177" s="15"/>
      <c r="C177" s="15"/>
      <c r="D177" s="15"/>
      <c r="E177" s="15"/>
      <c r="F177" s="15"/>
      <c r="G177" s="15"/>
      <c r="H177" s="16"/>
      <c r="I177" s="16"/>
      <c r="J177" s="16"/>
      <c r="K177" s="16"/>
      <c r="L177" s="16"/>
      <c r="M177" s="16"/>
      <c r="N177" s="16"/>
      <c r="O177" s="16"/>
      <c r="P177" s="16"/>
      <c r="Q177" s="16"/>
      <c r="R177" s="16"/>
      <c r="S177" s="16"/>
      <c r="T177" s="16"/>
      <c r="U177" s="16"/>
      <c r="V177" s="16"/>
      <c r="W177" s="15"/>
      <c r="X177" s="15"/>
      <c r="Y177" s="15"/>
      <c r="Z177" s="15"/>
    </row>
    <row r="178" customHeight="1" spans="1:26">
      <c r="A178" s="17"/>
      <c r="B178" s="15"/>
      <c r="C178" s="15"/>
      <c r="D178" s="15"/>
      <c r="E178" s="15"/>
      <c r="F178" s="15"/>
      <c r="G178" s="15"/>
      <c r="H178" s="16"/>
      <c r="I178" s="16"/>
      <c r="J178" s="16"/>
      <c r="K178" s="16"/>
      <c r="L178" s="16"/>
      <c r="M178" s="16"/>
      <c r="N178" s="16"/>
      <c r="O178" s="16"/>
      <c r="P178" s="16"/>
      <c r="Q178" s="16"/>
      <c r="R178" s="16"/>
      <c r="S178" s="16"/>
      <c r="T178" s="16"/>
      <c r="U178" s="16"/>
      <c r="V178" s="16"/>
      <c r="W178" s="15"/>
      <c r="X178" s="15"/>
      <c r="Y178" s="15"/>
      <c r="Z178" s="15"/>
    </row>
    <row r="179" customHeight="1" spans="1:26">
      <c r="A179" s="17"/>
      <c r="B179" s="15"/>
      <c r="C179" s="15"/>
      <c r="D179" s="15"/>
      <c r="E179" s="15"/>
      <c r="F179" s="15"/>
      <c r="G179" s="15"/>
      <c r="H179" s="16"/>
      <c r="I179" s="16"/>
      <c r="J179" s="16"/>
      <c r="K179" s="16"/>
      <c r="L179" s="16"/>
      <c r="M179" s="16"/>
      <c r="N179" s="16"/>
      <c r="O179" s="16"/>
      <c r="P179" s="16"/>
      <c r="Q179" s="16"/>
      <c r="R179" s="16"/>
      <c r="S179" s="16"/>
      <c r="T179" s="16"/>
      <c r="U179" s="16"/>
      <c r="V179" s="16"/>
      <c r="W179" s="15"/>
      <c r="X179" s="15"/>
      <c r="Y179" s="15"/>
      <c r="Z179" s="15"/>
    </row>
    <row r="180" customHeight="1" spans="1:26">
      <c r="A180" s="17"/>
      <c r="B180" s="15"/>
      <c r="C180" s="15"/>
      <c r="D180" s="15"/>
      <c r="E180" s="15"/>
      <c r="F180" s="15"/>
      <c r="G180" s="15"/>
      <c r="H180" s="16"/>
      <c r="I180" s="16"/>
      <c r="J180" s="16"/>
      <c r="K180" s="16"/>
      <c r="L180" s="16"/>
      <c r="M180" s="16"/>
      <c r="N180" s="16"/>
      <c r="O180" s="16"/>
      <c r="P180" s="16"/>
      <c r="Q180" s="16"/>
      <c r="R180" s="16"/>
      <c r="S180" s="16"/>
      <c r="T180" s="16"/>
      <c r="U180" s="16"/>
      <c r="V180" s="16"/>
      <c r="W180" s="15"/>
      <c r="X180" s="15"/>
      <c r="Y180" s="15"/>
      <c r="Z180" s="15"/>
    </row>
    <row r="181" customHeight="1" spans="1:26">
      <c r="A181" s="17"/>
      <c r="B181" s="15"/>
      <c r="C181" s="15"/>
      <c r="D181" s="15"/>
      <c r="E181" s="15"/>
      <c r="F181" s="15"/>
      <c r="G181" s="15"/>
      <c r="H181" s="16"/>
      <c r="I181" s="16"/>
      <c r="J181" s="16"/>
      <c r="K181" s="16"/>
      <c r="L181" s="16"/>
      <c r="M181" s="16"/>
      <c r="N181" s="16"/>
      <c r="O181" s="16"/>
      <c r="P181" s="16"/>
      <c r="Q181" s="16"/>
      <c r="R181" s="16"/>
      <c r="S181" s="16"/>
      <c r="T181" s="16"/>
      <c r="U181" s="16"/>
      <c r="V181" s="16"/>
      <c r="W181" s="15"/>
      <c r="X181" s="15"/>
      <c r="Y181" s="15"/>
      <c r="Z181" s="15"/>
    </row>
    <row r="182" customHeight="1" spans="1:26">
      <c r="A182" s="17"/>
      <c r="B182" s="15"/>
      <c r="C182" s="15"/>
      <c r="D182" s="15"/>
      <c r="E182" s="15"/>
      <c r="F182" s="15"/>
      <c r="G182" s="15"/>
      <c r="H182" s="16"/>
      <c r="I182" s="16"/>
      <c r="J182" s="16"/>
      <c r="K182" s="16"/>
      <c r="L182" s="16"/>
      <c r="M182" s="16"/>
      <c r="N182" s="16"/>
      <c r="O182" s="16"/>
      <c r="P182" s="16"/>
      <c r="Q182" s="16"/>
      <c r="R182" s="16"/>
      <c r="S182" s="16"/>
      <c r="T182" s="16"/>
      <c r="U182" s="16"/>
      <c r="V182" s="16"/>
      <c r="W182" s="15"/>
      <c r="X182" s="15"/>
      <c r="Y182" s="15"/>
      <c r="Z182" s="15"/>
    </row>
    <row r="183" customHeight="1" spans="1:26">
      <c r="A183" s="17"/>
      <c r="B183" s="15"/>
      <c r="C183" s="15"/>
      <c r="D183" s="15"/>
      <c r="E183" s="15"/>
      <c r="F183" s="15"/>
      <c r="G183" s="15"/>
      <c r="H183" s="16"/>
      <c r="I183" s="16"/>
      <c r="J183" s="16"/>
      <c r="K183" s="16"/>
      <c r="L183" s="16"/>
      <c r="M183" s="16"/>
      <c r="N183" s="16"/>
      <c r="O183" s="16"/>
      <c r="P183" s="16"/>
      <c r="Q183" s="16"/>
      <c r="R183" s="16"/>
      <c r="S183" s="16"/>
      <c r="T183" s="16"/>
      <c r="U183" s="16"/>
      <c r="V183" s="16"/>
      <c r="W183" s="15"/>
      <c r="X183" s="15"/>
      <c r="Y183" s="15"/>
      <c r="Z183" s="15"/>
    </row>
    <row r="184" customHeight="1" spans="1:26">
      <c r="A184" s="17"/>
      <c r="B184" s="15"/>
      <c r="C184" s="15"/>
      <c r="D184" s="15"/>
      <c r="E184" s="15"/>
      <c r="F184" s="15"/>
      <c r="G184" s="15"/>
      <c r="H184" s="16"/>
      <c r="I184" s="16"/>
      <c r="J184" s="16"/>
      <c r="K184" s="16"/>
      <c r="L184" s="16"/>
      <c r="M184" s="16"/>
      <c r="N184" s="16"/>
      <c r="O184" s="16"/>
      <c r="P184" s="16"/>
      <c r="Q184" s="16"/>
      <c r="R184" s="16"/>
      <c r="S184" s="16"/>
      <c r="T184" s="16"/>
      <c r="U184" s="16"/>
      <c r="V184" s="16"/>
      <c r="W184" s="15"/>
      <c r="X184" s="15"/>
      <c r="Y184" s="15"/>
      <c r="Z184" s="15"/>
    </row>
    <row r="185" customHeight="1" spans="1:26">
      <c r="A185" s="17"/>
      <c r="B185" s="15"/>
      <c r="C185" s="15"/>
      <c r="D185" s="15"/>
      <c r="E185" s="15"/>
      <c r="F185" s="15"/>
      <c r="G185" s="15"/>
      <c r="H185" s="16"/>
      <c r="I185" s="16"/>
      <c r="J185" s="16"/>
      <c r="K185" s="16"/>
      <c r="L185" s="16"/>
      <c r="M185" s="16"/>
      <c r="N185" s="16"/>
      <c r="O185" s="16"/>
      <c r="P185" s="16"/>
      <c r="Q185" s="16"/>
      <c r="R185" s="16"/>
      <c r="S185" s="16"/>
      <c r="T185" s="16"/>
      <c r="U185" s="16"/>
      <c r="V185" s="16"/>
      <c r="W185" s="15"/>
      <c r="X185" s="15"/>
      <c r="Y185" s="15"/>
      <c r="Z185" s="15"/>
    </row>
    <row r="186" customHeight="1" spans="1:26">
      <c r="A186" s="17"/>
      <c r="B186" s="15"/>
      <c r="C186" s="15"/>
      <c r="D186" s="15"/>
      <c r="E186" s="15"/>
      <c r="F186" s="15"/>
      <c r="G186" s="15"/>
      <c r="H186" s="16"/>
      <c r="I186" s="16"/>
      <c r="J186" s="16"/>
      <c r="K186" s="16"/>
      <c r="L186" s="16"/>
      <c r="M186" s="16"/>
      <c r="N186" s="16"/>
      <c r="O186" s="16"/>
      <c r="P186" s="16"/>
      <c r="Q186" s="16"/>
      <c r="R186" s="16"/>
      <c r="S186" s="16"/>
      <c r="T186" s="16"/>
      <c r="U186" s="16"/>
      <c r="V186" s="16"/>
      <c r="W186" s="15"/>
      <c r="X186" s="15"/>
      <c r="Y186" s="15"/>
      <c r="Z186" s="15"/>
    </row>
    <row r="187" customHeight="1" spans="1:26">
      <c r="A187" s="17"/>
      <c r="B187" s="15"/>
      <c r="C187" s="15"/>
      <c r="D187" s="15"/>
      <c r="E187" s="15"/>
      <c r="F187" s="15"/>
      <c r="G187" s="15"/>
      <c r="H187" s="16"/>
      <c r="I187" s="16"/>
      <c r="J187" s="16"/>
      <c r="K187" s="16"/>
      <c r="L187" s="16"/>
      <c r="M187" s="16"/>
      <c r="N187" s="16"/>
      <c r="O187" s="16"/>
      <c r="P187" s="16"/>
      <c r="Q187" s="16"/>
      <c r="R187" s="16"/>
      <c r="S187" s="16"/>
      <c r="T187" s="16"/>
      <c r="U187" s="16"/>
      <c r="V187" s="16"/>
      <c r="W187" s="15"/>
      <c r="X187" s="15"/>
      <c r="Y187" s="15"/>
      <c r="Z187" s="15"/>
    </row>
    <row r="188" customHeight="1" spans="1:26">
      <c r="A188" s="17"/>
      <c r="B188" s="15"/>
      <c r="C188" s="15"/>
      <c r="D188" s="15"/>
      <c r="E188" s="15"/>
      <c r="F188" s="15"/>
      <c r="G188" s="15"/>
      <c r="H188" s="16"/>
      <c r="I188" s="16"/>
      <c r="J188" s="16"/>
      <c r="K188" s="16"/>
      <c r="L188" s="16"/>
      <c r="M188" s="16"/>
      <c r="N188" s="16"/>
      <c r="O188" s="16"/>
      <c r="P188" s="16"/>
      <c r="Q188" s="16"/>
      <c r="R188" s="16"/>
      <c r="S188" s="16"/>
      <c r="T188" s="16"/>
      <c r="U188" s="16"/>
      <c r="V188" s="16"/>
      <c r="W188" s="15"/>
      <c r="X188" s="15"/>
      <c r="Y188" s="15"/>
      <c r="Z188" s="15"/>
    </row>
    <row r="189" customHeight="1" spans="1:26">
      <c r="A189" s="17"/>
      <c r="B189" s="15"/>
      <c r="C189" s="15"/>
      <c r="D189" s="15"/>
      <c r="E189" s="15"/>
      <c r="F189" s="15"/>
      <c r="G189" s="15"/>
      <c r="H189" s="16"/>
      <c r="I189" s="16"/>
      <c r="J189" s="16"/>
      <c r="K189" s="16"/>
      <c r="L189" s="16"/>
      <c r="M189" s="16"/>
      <c r="N189" s="16"/>
      <c r="O189" s="16"/>
      <c r="P189" s="16"/>
      <c r="Q189" s="16"/>
      <c r="R189" s="16"/>
      <c r="S189" s="16"/>
      <c r="T189" s="16"/>
      <c r="U189" s="16"/>
      <c r="V189" s="16"/>
      <c r="W189" s="15"/>
      <c r="X189" s="15"/>
      <c r="Y189" s="15"/>
      <c r="Z189" s="15"/>
    </row>
    <row r="190" customHeight="1" spans="1:26">
      <c r="A190" s="17"/>
      <c r="B190" s="15"/>
      <c r="C190" s="15"/>
      <c r="D190" s="15"/>
      <c r="E190" s="15"/>
      <c r="F190" s="15"/>
      <c r="G190" s="15"/>
      <c r="H190" s="16"/>
      <c r="I190" s="16"/>
      <c r="J190" s="16"/>
      <c r="K190" s="16"/>
      <c r="L190" s="16"/>
      <c r="M190" s="16"/>
      <c r="N190" s="16"/>
      <c r="O190" s="16"/>
      <c r="P190" s="16"/>
      <c r="Q190" s="16"/>
      <c r="R190" s="16"/>
      <c r="S190" s="16"/>
      <c r="T190" s="16"/>
      <c r="U190" s="16"/>
      <c r="V190" s="16"/>
      <c r="W190" s="15"/>
      <c r="X190" s="15"/>
      <c r="Y190" s="15"/>
      <c r="Z190" s="15"/>
    </row>
    <row r="191" customHeight="1" spans="1:26">
      <c r="A191" s="17"/>
      <c r="B191" s="15"/>
      <c r="C191" s="15"/>
      <c r="D191" s="15"/>
      <c r="E191" s="15"/>
      <c r="F191" s="15"/>
      <c r="G191" s="15"/>
      <c r="H191" s="16"/>
      <c r="I191" s="16"/>
      <c r="J191" s="16"/>
      <c r="K191" s="16"/>
      <c r="L191" s="16"/>
      <c r="M191" s="16"/>
      <c r="N191" s="16"/>
      <c r="O191" s="16"/>
      <c r="P191" s="16"/>
      <c r="Q191" s="16"/>
      <c r="R191" s="16"/>
      <c r="S191" s="16"/>
      <c r="T191" s="16"/>
      <c r="U191" s="16"/>
      <c r="V191" s="16"/>
      <c r="W191" s="15"/>
      <c r="X191" s="15"/>
      <c r="Y191" s="15"/>
      <c r="Z191" s="15"/>
    </row>
    <row r="192" customHeight="1" spans="1:26">
      <c r="A192" s="17"/>
      <c r="B192" s="15"/>
      <c r="C192" s="15"/>
      <c r="D192" s="15"/>
      <c r="E192" s="15"/>
      <c r="F192" s="15"/>
      <c r="G192" s="15"/>
      <c r="H192" s="16"/>
      <c r="I192" s="16"/>
      <c r="J192" s="16"/>
      <c r="K192" s="16"/>
      <c r="L192" s="16"/>
      <c r="M192" s="16"/>
      <c r="N192" s="16"/>
      <c r="O192" s="16"/>
      <c r="P192" s="16"/>
      <c r="Q192" s="16"/>
      <c r="R192" s="16"/>
      <c r="S192" s="16"/>
      <c r="T192" s="16"/>
      <c r="U192" s="16"/>
      <c r="V192" s="16"/>
      <c r="W192" s="15"/>
      <c r="X192" s="15"/>
      <c r="Y192" s="15"/>
      <c r="Z192" s="15"/>
    </row>
    <row r="193" customHeight="1" spans="1:26">
      <c r="A193" s="17"/>
      <c r="B193" s="15"/>
      <c r="C193" s="15"/>
      <c r="D193" s="15"/>
      <c r="E193" s="15"/>
      <c r="F193" s="15"/>
      <c r="G193" s="15"/>
      <c r="H193" s="16"/>
      <c r="I193" s="16"/>
      <c r="J193" s="16"/>
      <c r="K193" s="16"/>
      <c r="L193" s="16"/>
      <c r="M193" s="16"/>
      <c r="N193" s="16"/>
      <c r="O193" s="16"/>
      <c r="P193" s="16"/>
      <c r="Q193" s="16"/>
      <c r="R193" s="16"/>
      <c r="S193" s="16"/>
      <c r="T193" s="16"/>
      <c r="U193" s="16"/>
      <c r="V193" s="16"/>
      <c r="W193" s="15"/>
      <c r="X193" s="15"/>
      <c r="Y193" s="15"/>
      <c r="Z193" s="15"/>
    </row>
    <row r="194" customHeight="1" spans="1:26">
      <c r="A194" s="17"/>
      <c r="B194" s="15"/>
      <c r="C194" s="15"/>
      <c r="D194" s="15"/>
      <c r="E194" s="15"/>
      <c r="F194" s="15"/>
      <c r="G194" s="15"/>
      <c r="H194" s="16"/>
      <c r="I194" s="16"/>
      <c r="J194" s="16"/>
      <c r="K194" s="16"/>
      <c r="L194" s="16"/>
      <c r="M194" s="16"/>
      <c r="N194" s="16"/>
      <c r="O194" s="16"/>
      <c r="P194" s="16"/>
      <c r="Q194" s="16"/>
      <c r="R194" s="16"/>
      <c r="S194" s="16"/>
      <c r="T194" s="16"/>
      <c r="U194" s="16"/>
      <c r="V194" s="16"/>
      <c r="W194" s="15"/>
      <c r="X194" s="15"/>
      <c r="Y194" s="15"/>
      <c r="Z194" s="15"/>
    </row>
    <row r="195" customHeight="1" spans="1:26">
      <c r="A195" s="17"/>
      <c r="B195" s="15"/>
      <c r="C195" s="15"/>
      <c r="D195" s="15"/>
      <c r="E195" s="15"/>
      <c r="F195" s="15"/>
      <c r="G195" s="15"/>
      <c r="H195" s="16"/>
      <c r="I195" s="16"/>
      <c r="J195" s="16"/>
      <c r="K195" s="16"/>
      <c r="L195" s="16"/>
      <c r="M195" s="16"/>
      <c r="N195" s="16"/>
      <c r="O195" s="16"/>
      <c r="P195" s="16"/>
      <c r="Q195" s="16"/>
      <c r="R195" s="16"/>
      <c r="S195" s="16"/>
      <c r="T195" s="16"/>
      <c r="U195" s="16"/>
      <c r="V195" s="16"/>
      <c r="W195" s="15"/>
      <c r="X195" s="15"/>
      <c r="Y195" s="15"/>
      <c r="Z195" s="15"/>
    </row>
    <row r="196" customHeight="1" spans="1:26">
      <c r="A196" s="17"/>
      <c r="B196" s="15"/>
      <c r="C196" s="15"/>
      <c r="D196" s="15"/>
      <c r="E196" s="15"/>
      <c r="F196" s="15"/>
      <c r="G196" s="15"/>
      <c r="H196" s="16"/>
      <c r="I196" s="16"/>
      <c r="J196" s="16"/>
      <c r="K196" s="16"/>
      <c r="L196" s="16"/>
      <c r="M196" s="16"/>
      <c r="N196" s="16"/>
      <c r="O196" s="16"/>
      <c r="P196" s="16"/>
      <c r="Q196" s="16"/>
      <c r="R196" s="16"/>
      <c r="S196" s="16"/>
      <c r="T196" s="16"/>
      <c r="U196" s="16"/>
      <c r="V196" s="16"/>
      <c r="W196" s="15"/>
      <c r="X196" s="15"/>
      <c r="Y196" s="15"/>
      <c r="Z196" s="15"/>
    </row>
    <row r="197" customHeight="1" spans="1:26">
      <c r="A197" s="17"/>
      <c r="B197" s="15"/>
      <c r="C197" s="15"/>
      <c r="D197" s="15"/>
      <c r="E197" s="15"/>
      <c r="F197" s="15"/>
      <c r="G197" s="15"/>
      <c r="H197" s="16"/>
      <c r="I197" s="16"/>
      <c r="J197" s="16"/>
      <c r="K197" s="16"/>
      <c r="L197" s="16"/>
      <c r="M197" s="16"/>
      <c r="N197" s="16"/>
      <c r="O197" s="16"/>
      <c r="P197" s="16"/>
      <c r="Q197" s="16"/>
      <c r="R197" s="16"/>
      <c r="S197" s="16"/>
      <c r="T197" s="16"/>
      <c r="U197" s="16"/>
      <c r="V197" s="16"/>
      <c r="W197" s="15"/>
      <c r="X197" s="15"/>
      <c r="Y197" s="15"/>
      <c r="Z197" s="15"/>
    </row>
    <row r="198" customHeight="1" spans="1:26">
      <c r="A198" s="17"/>
      <c r="B198" s="15"/>
      <c r="C198" s="15"/>
      <c r="D198" s="15"/>
      <c r="E198" s="15"/>
      <c r="F198" s="15"/>
      <c r="G198" s="15"/>
      <c r="H198" s="16"/>
      <c r="I198" s="16"/>
      <c r="J198" s="16"/>
      <c r="K198" s="16"/>
      <c r="L198" s="16"/>
      <c r="M198" s="16"/>
      <c r="N198" s="16"/>
      <c r="O198" s="16"/>
      <c r="P198" s="16"/>
      <c r="Q198" s="16"/>
      <c r="R198" s="16"/>
      <c r="S198" s="16"/>
      <c r="T198" s="16"/>
      <c r="U198" s="16"/>
      <c r="V198" s="16"/>
      <c r="W198" s="15"/>
      <c r="X198" s="15"/>
      <c r="Y198" s="15"/>
      <c r="Z198" s="15"/>
    </row>
    <row r="199" customHeight="1" spans="1:26">
      <c r="A199" s="17"/>
      <c r="B199" s="15"/>
      <c r="C199" s="15"/>
      <c r="D199" s="15"/>
      <c r="E199" s="15"/>
      <c r="F199" s="15"/>
      <c r="G199" s="15"/>
      <c r="H199" s="16"/>
      <c r="I199" s="16"/>
      <c r="J199" s="16"/>
      <c r="K199" s="16"/>
      <c r="L199" s="16"/>
      <c r="M199" s="16"/>
      <c r="N199" s="16"/>
      <c r="O199" s="16"/>
      <c r="P199" s="16"/>
      <c r="Q199" s="16"/>
      <c r="R199" s="16"/>
      <c r="S199" s="16"/>
      <c r="T199" s="16"/>
      <c r="U199" s="16"/>
      <c r="V199" s="16"/>
      <c r="W199" s="15"/>
      <c r="X199" s="15"/>
      <c r="Y199" s="15"/>
      <c r="Z199" s="15"/>
    </row>
    <row r="200" customHeight="1" spans="1:26">
      <c r="A200" s="17"/>
      <c r="B200" s="15"/>
      <c r="C200" s="15"/>
      <c r="D200" s="15"/>
      <c r="E200" s="15"/>
      <c r="F200" s="15"/>
      <c r="G200" s="15"/>
      <c r="H200" s="16"/>
      <c r="I200" s="16"/>
      <c r="J200" s="16"/>
      <c r="K200" s="16"/>
      <c r="L200" s="16"/>
      <c r="M200" s="16"/>
      <c r="N200" s="16"/>
      <c r="O200" s="16"/>
      <c r="P200" s="16"/>
      <c r="Q200" s="16"/>
      <c r="R200" s="16"/>
      <c r="S200" s="16"/>
      <c r="T200" s="16"/>
      <c r="U200" s="16"/>
      <c r="V200" s="16"/>
      <c r="W200" s="15"/>
      <c r="X200" s="15"/>
      <c r="Y200" s="15"/>
      <c r="Z200" s="15"/>
    </row>
    <row r="201" customHeight="1" spans="1:26">
      <c r="A201" s="17"/>
      <c r="B201" s="15"/>
      <c r="C201" s="15"/>
      <c r="D201" s="15"/>
      <c r="E201" s="15"/>
      <c r="F201" s="15"/>
      <c r="G201" s="15"/>
      <c r="H201" s="16"/>
      <c r="I201" s="16"/>
      <c r="J201" s="16"/>
      <c r="K201" s="16"/>
      <c r="L201" s="16"/>
      <c r="M201" s="16"/>
      <c r="N201" s="16"/>
      <c r="O201" s="16"/>
      <c r="P201" s="16"/>
      <c r="Q201" s="16"/>
      <c r="R201" s="16"/>
      <c r="S201" s="16"/>
      <c r="T201" s="16"/>
      <c r="U201" s="16"/>
      <c r="V201" s="16"/>
      <c r="W201" s="15"/>
      <c r="X201" s="15"/>
      <c r="Y201" s="15"/>
      <c r="Z201" s="15"/>
    </row>
    <row r="202" customHeight="1" spans="1:26">
      <c r="A202" s="17"/>
      <c r="B202" s="15"/>
      <c r="C202" s="15"/>
      <c r="D202" s="15"/>
      <c r="E202" s="15"/>
      <c r="F202" s="15"/>
      <c r="G202" s="15"/>
      <c r="H202" s="16"/>
      <c r="I202" s="16"/>
      <c r="J202" s="16"/>
      <c r="K202" s="16"/>
      <c r="L202" s="16"/>
      <c r="M202" s="16"/>
      <c r="N202" s="16"/>
      <c r="O202" s="16"/>
      <c r="P202" s="16"/>
      <c r="Q202" s="16"/>
      <c r="R202" s="16"/>
      <c r="S202" s="16"/>
      <c r="T202" s="16"/>
      <c r="U202" s="16"/>
      <c r="V202" s="16"/>
      <c r="W202" s="15"/>
      <c r="X202" s="15"/>
      <c r="Y202" s="15"/>
      <c r="Z202" s="15"/>
    </row>
    <row r="203" customHeight="1" spans="1:26">
      <c r="A203" s="17"/>
      <c r="B203" s="15"/>
      <c r="C203" s="15"/>
      <c r="D203" s="15"/>
      <c r="E203" s="15"/>
      <c r="F203" s="15"/>
      <c r="G203" s="15"/>
      <c r="H203" s="16"/>
      <c r="I203" s="16"/>
      <c r="J203" s="16"/>
      <c r="K203" s="16"/>
      <c r="L203" s="16"/>
      <c r="M203" s="16"/>
      <c r="N203" s="16"/>
      <c r="O203" s="16"/>
      <c r="P203" s="16"/>
      <c r="Q203" s="16"/>
      <c r="R203" s="16"/>
      <c r="S203" s="16"/>
      <c r="T203" s="16"/>
      <c r="U203" s="16"/>
      <c r="V203" s="16"/>
      <c r="W203" s="15"/>
      <c r="X203" s="15"/>
      <c r="Y203" s="15"/>
      <c r="Z203" s="15"/>
    </row>
    <row r="204" customHeight="1" spans="1:26">
      <c r="A204" s="17"/>
      <c r="B204" s="15"/>
      <c r="C204" s="15"/>
      <c r="D204" s="15"/>
      <c r="E204" s="15"/>
      <c r="F204" s="15"/>
      <c r="G204" s="15"/>
      <c r="H204" s="16"/>
      <c r="I204" s="16"/>
      <c r="J204" s="16"/>
      <c r="K204" s="16"/>
      <c r="L204" s="16"/>
      <c r="M204" s="16"/>
      <c r="N204" s="16"/>
      <c r="O204" s="16"/>
      <c r="P204" s="16"/>
      <c r="Q204" s="16"/>
      <c r="R204" s="16"/>
      <c r="S204" s="16"/>
      <c r="T204" s="16"/>
      <c r="U204" s="16"/>
      <c r="V204" s="16"/>
      <c r="W204" s="15"/>
      <c r="X204" s="15"/>
      <c r="Y204" s="15"/>
      <c r="Z204" s="15"/>
    </row>
    <row r="205" customHeight="1" spans="1:26">
      <c r="A205" s="17"/>
      <c r="B205" s="15"/>
      <c r="C205" s="15"/>
      <c r="D205" s="15"/>
      <c r="E205" s="15"/>
      <c r="F205" s="15"/>
      <c r="G205" s="15"/>
      <c r="H205" s="16"/>
      <c r="I205" s="16"/>
      <c r="J205" s="16"/>
      <c r="K205" s="16"/>
      <c r="L205" s="16"/>
      <c r="M205" s="16"/>
      <c r="N205" s="16"/>
      <c r="O205" s="16"/>
      <c r="P205" s="16"/>
      <c r="Q205" s="16"/>
      <c r="R205" s="16"/>
      <c r="S205" s="16"/>
      <c r="T205" s="16"/>
      <c r="U205" s="16"/>
      <c r="V205" s="16"/>
      <c r="W205" s="15"/>
      <c r="X205" s="15"/>
      <c r="Y205" s="15"/>
      <c r="Z205" s="15"/>
    </row>
    <row r="206" customHeight="1" spans="1:26">
      <c r="A206" s="17"/>
      <c r="B206" s="15"/>
      <c r="C206" s="15"/>
      <c r="D206" s="15"/>
      <c r="E206" s="15"/>
      <c r="F206" s="15"/>
      <c r="G206" s="15"/>
      <c r="H206" s="16"/>
      <c r="I206" s="16"/>
      <c r="J206" s="16"/>
      <c r="K206" s="16"/>
      <c r="L206" s="16"/>
      <c r="M206" s="16"/>
      <c r="N206" s="16"/>
      <c r="O206" s="16"/>
      <c r="P206" s="16"/>
      <c r="Q206" s="16"/>
      <c r="R206" s="16"/>
      <c r="S206" s="16"/>
      <c r="T206" s="16"/>
      <c r="U206" s="16"/>
      <c r="V206" s="16"/>
      <c r="W206" s="15"/>
      <c r="X206" s="15"/>
      <c r="Y206" s="15"/>
      <c r="Z206" s="15"/>
    </row>
    <row r="207" customHeight="1" spans="1:26">
      <c r="A207" s="17"/>
      <c r="B207" s="15"/>
      <c r="C207" s="15"/>
      <c r="D207" s="15"/>
      <c r="E207" s="15"/>
      <c r="F207" s="15"/>
      <c r="G207" s="15"/>
      <c r="H207" s="16"/>
      <c r="I207" s="16"/>
      <c r="J207" s="16"/>
      <c r="K207" s="16"/>
      <c r="L207" s="16"/>
      <c r="M207" s="16"/>
      <c r="N207" s="16"/>
      <c r="O207" s="16"/>
      <c r="P207" s="16"/>
      <c r="Q207" s="16"/>
      <c r="R207" s="16"/>
      <c r="S207" s="16"/>
      <c r="T207" s="16"/>
      <c r="U207" s="16"/>
      <c r="V207" s="16"/>
      <c r="W207" s="15"/>
      <c r="X207" s="15"/>
      <c r="Y207" s="15"/>
      <c r="Z207" s="15"/>
    </row>
    <row r="208" customHeight="1" spans="1:26">
      <c r="A208" s="17"/>
      <c r="B208" s="15"/>
      <c r="C208" s="15"/>
      <c r="D208" s="15"/>
      <c r="E208" s="15"/>
      <c r="F208" s="15"/>
      <c r="G208" s="15"/>
      <c r="H208" s="16"/>
      <c r="I208" s="16"/>
      <c r="J208" s="16"/>
      <c r="K208" s="16"/>
      <c r="L208" s="16"/>
      <c r="M208" s="16"/>
      <c r="N208" s="16"/>
      <c r="O208" s="16"/>
      <c r="P208" s="16"/>
      <c r="Q208" s="16"/>
      <c r="R208" s="16"/>
      <c r="S208" s="16"/>
      <c r="T208" s="16"/>
      <c r="U208" s="16"/>
      <c r="V208" s="16"/>
      <c r="W208" s="15"/>
      <c r="X208" s="15"/>
      <c r="Y208" s="15"/>
      <c r="Z208" s="15"/>
    </row>
    <row r="209" customHeight="1" spans="1:26">
      <c r="A209" s="17"/>
      <c r="B209" s="15"/>
      <c r="C209" s="15"/>
      <c r="D209" s="15"/>
      <c r="E209" s="15"/>
      <c r="F209" s="15"/>
      <c r="G209" s="15"/>
      <c r="H209" s="16"/>
      <c r="I209" s="16"/>
      <c r="J209" s="16"/>
      <c r="K209" s="16"/>
      <c r="L209" s="16"/>
      <c r="M209" s="16"/>
      <c r="N209" s="16"/>
      <c r="O209" s="16"/>
      <c r="P209" s="16"/>
      <c r="Q209" s="16"/>
      <c r="R209" s="16"/>
      <c r="S209" s="16"/>
      <c r="T209" s="16"/>
      <c r="U209" s="16"/>
      <c r="V209" s="16"/>
      <c r="W209" s="15"/>
      <c r="X209" s="15"/>
      <c r="Y209" s="15"/>
      <c r="Z209" s="15"/>
    </row>
    <row r="210" customHeight="1" spans="1:26">
      <c r="A210" s="17"/>
      <c r="B210" s="15"/>
      <c r="C210" s="15"/>
      <c r="D210" s="15"/>
      <c r="E210" s="15"/>
      <c r="F210" s="15"/>
      <c r="G210" s="15"/>
      <c r="H210" s="16"/>
      <c r="I210" s="16"/>
      <c r="J210" s="16"/>
      <c r="K210" s="16"/>
      <c r="L210" s="16"/>
      <c r="M210" s="16"/>
      <c r="N210" s="16"/>
      <c r="O210" s="16"/>
      <c r="P210" s="16"/>
      <c r="Q210" s="16"/>
      <c r="R210" s="16"/>
      <c r="S210" s="16"/>
      <c r="T210" s="16"/>
      <c r="U210" s="16"/>
      <c r="V210" s="16"/>
      <c r="W210" s="15"/>
      <c r="X210" s="15"/>
      <c r="Y210" s="15"/>
      <c r="Z210" s="15"/>
    </row>
    <row r="211" customHeight="1" spans="1:26">
      <c r="A211" s="17"/>
      <c r="B211" s="15"/>
      <c r="C211" s="15"/>
      <c r="D211" s="15"/>
      <c r="E211" s="15"/>
      <c r="F211" s="15"/>
      <c r="G211" s="15"/>
      <c r="H211" s="16"/>
      <c r="I211" s="16"/>
      <c r="J211" s="16"/>
      <c r="K211" s="16"/>
      <c r="L211" s="16"/>
      <c r="M211" s="16"/>
      <c r="N211" s="16"/>
      <c r="O211" s="16"/>
      <c r="P211" s="16"/>
      <c r="Q211" s="16"/>
      <c r="R211" s="16"/>
      <c r="S211" s="16"/>
      <c r="T211" s="16"/>
      <c r="U211" s="16"/>
      <c r="V211" s="16"/>
      <c r="W211" s="15"/>
      <c r="X211" s="15"/>
      <c r="Y211" s="15"/>
      <c r="Z211" s="15"/>
    </row>
    <row r="212" customHeight="1" spans="1:26">
      <c r="A212" s="17"/>
      <c r="B212" s="15"/>
      <c r="C212" s="15"/>
      <c r="D212" s="15"/>
      <c r="E212" s="15"/>
      <c r="F212" s="15"/>
      <c r="G212" s="15"/>
      <c r="H212" s="16"/>
      <c r="I212" s="16"/>
      <c r="J212" s="16"/>
      <c r="K212" s="16"/>
      <c r="L212" s="16"/>
      <c r="M212" s="16"/>
      <c r="N212" s="16"/>
      <c r="O212" s="16"/>
      <c r="P212" s="16"/>
      <c r="Q212" s="16"/>
      <c r="R212" s="16"/>
      <c r="S212" s="16"/>
      <c r="T212" s="16"/>
      <c r="U212" s="16"/>
      <c r="V212" s="16"/>
      <c r="W212" s="15"/>
      <c r="X212" s="15"/>
      <c r="Y212" s="15"/>
      <c r="Z212" s="15"/>
    </row>
    <row r="213" customHeight="1" spans="1:26">
      <c r="A213" s="17"/>
      <c r="B213" s="15"/>
      <c r="C213" s="15"/>
      <c r="D213" s="15"/>
      <c r="E213" s="15"/>
      <c r="F213" s="15"/>
      <c r="G213" s="15"/>
      <c r="H213" s="16"/>
      <c r="I213" s="16"/>
      <c r="J213" s="16"/>
      <c r="K213" s="16"/>
      <c r="L213" s="16"/>
      <c r="M213" s="16"/>
      <c r="N213" s="16"/>
      <c r="O213" s="16"/>
      <c r="P213" s="16"/>
      <c r="Q213" s="16"/>
      <c r="R213" s="16"/>
      <c r="S213" s="16"/>
      <c r="T213" s="16"/>
      <c r="U213" s="16"/>
      <c r="V213" s="16"/>
      <c r="W213" s="15"/>
      <c r="X213" s="15"/>
      <c r="Y213" s="15"/>
      <c r="Z213" s="15"/>
    </row>
    <row r="214" customHeight="1" spans="1:26">
      <c r="A214" s="17"/>
      <c r="B214" s="15"/>
      <c r="C214" s="15"/>
      <c r="D214" s="15"/>
      <c r="E214" s="15"/>
      <c r="F214" s="15"/>
      <c r="G214" s="15"/>
      <c r="H214" s="16"/>
      <c r="I214" s="16"/>
      <c r="J214" s="16"/>
      <c r="K214" s="16"/>
      <c r="L214" s="16"/>
      <c r="M214" s="16"/>
      <c r="N214" s="16"/>
      <c r="O214" s="16"/>
      <c r="P214" s="16"/>
      <c r="Q214" s="16"/>
      <c r="R214" s="16"/>
      <c r="S214" s="16"/>
      <c r="T214" s="16"/>
      <c r="U214" s="16"/>
      <c r="V214" s="16"/>
      <c r="W214" s="15"/>
      <c r="X214" s="15"/>
      <c r="Y214" s="15"/>
      <c r="Z214" s="15"/>
    </row>
    <row r="215" customHeight="1" spans="1:26">
      <c r="A215" s="17"/>
      <c r="B215" s="15"/>
      <c r="C215" s="15"/>
      <c r="D215" s="15"/>
      <c r="E215" s="15"/>
      <c r="F215" s="15"/>
      <c r="G215" s="15"/>
      <c r="H215" s="16"/>
      <c r="I215" s="16"/>
      <c r="J215" s="16"/>
      <c r="K215" s="16"/>
      <c r="L215" s="16"/>
      <c r="M215" s="16"/>
      <c r="N215" s="16"/>
      <c r="O215" s="16"/>
      <c r="P215" s="16"/>
      <c r="Q215" s="16"/>
      <c r="R215" s="16"/>
      <c r="S215" s="16"/>
      <c r="T215" s="16"/>
      <c r="U215" s="16"/>
      <c r="V215" s="16"/>
      <c r="W215" s="15"/>
      <c r="X215" s="15"/>
      <c r="Y215" s="15"/>
      <c r="Z215" s="15"/>
    </row>
    <row r="216" customHeight="1" spans="1:26">
      <c r="A216" s="17"/>
      <c r="B216" s="15"/>
      <c r="C216" s="15"/>
      <c r="D216" s="15"/>
      <c r="E216" s="15"/>
      <c r="F216" s="15"/>
      <c r="G216" s="15"/>
      <c r="H216" s="16"/>
      <c r="I216" s="16"/>
      <c r="J216" s="16"/>
      <c r="K216" s="16"/>
      <c r="L216" s="16"/>
      <c r="M216" s="16"/>
      <c r="N216" s="16"/>
      <c r="O216" s="16"/>
      <c r="P216" s="16"/>
      <c r="Q216" s="16"/>
      <c r="R216" s="16"/>
      <c r="S216" s="16"/>
      <c r="T216" s="16"/>
      <c r="U216" s="16"/>
      <c r="V216" s="16"/>
      <c r="W216" s="15"/>
      <c r="X216" s="15"/>
      <c r="Y216" s="15"/>
      <c r="Z216" s="15"/>
    </row>
    <row r="217" customHeight="1" spans="1:26">
      <c r="A217" s="17"/>
      <c r="B217" s="15"/>
      <c r="C217" s="15"/>
      <c r="D217" s="15"/>
      <c r="E217" s="15"/>
      <c r="F217" s="15"/>
      <c r="G217" s="15"/>
      <c r="H217" s="16"/>
      <c r="I217" s="16"/>
      <c r="J217" s="16"/>
      <c r="K217" s="16"/>
      <c r="L217" s="16"/>
      <c r="M217" s="16"/>
      <c r="N217" s="16"/>
      <c r="O217" s="16"/>
      <c r="P217" s="16"/>
      <c r="Q217" s="16"/>
      <c r="R217" s="16"/>
      <c r="S217" s="16"/>
      <c r="T217" s="16"/>
      <c r="U217" s="16"/>
      <c r="V217" s="16"/>
      <c r="W217" s="15"/>
      <c r="X217" s="15"/>
      <c r="Y217" s="15"/>
      <c r="Z217" s="15"/>
    </row>
    <row r="218" customHeight="1" spans="1:26">
      <c r="A218" s="17"/>
      <c r="B218" s="15"/>
      <c r="C218" s="15"/>
      <c r="D218" s="15"/>
      <c r="E218" s="15"/>
      <c r="F218" s="15"/>
      <c r="G218" s="15"/>
      <c r="H218" s="16"/>
      <c r="I218" s="16"/>
      <c r="J218" s="16"/>
      <c r="K218" s="16"/>
      <c r="L218" s="16"/>
      <c r="M218" s="16"/>
      <c r="N218" s="16"/>
      <c r="O218" s="16"/>
      <c r="P218" s="16"/>
      <c r="Q218" s="16"/>
      <c r="R218" s="16"/>
      <c r="S218" s="16"/>
      <c r="T218" s="16"/>
      <c r="U218" s="16"/>
      <c r="V218" s="16"/>
      <c r="W218" s="15"/>
      <c r="X218" s="15"/>
      <c r="Y218" s="15"/>
      <c r="Z218" s="15"/>
    </row>
    <row r="219" customHeight="1" spans="1:26">
      <c r="A219" s="17"/>
      <c r="B219" s="15"/>
      <c r="C219" s="15"/>
      <c r="D219" s="15"/>
      <c r="E219" s="15"/>
      <c r="F219" s="15"/>
      <c r="G219" s="15"/>
      <c r="H219" s="16"/>
      <c r="I219" s="16"/>
      <c r="J219" s="16"/>
      <c r="K219" s="16"/>
      <c r="L219" s="16"/>
      <c r="M219" s="16"/>
      <c r="N219" s="16"/>
      <c r="O219" s="16"/>
      <c r="P219" s="16"/>
      <c r="Q219" s="16"/>
      <c r="R219" s="16"/>
      <c r="S219" s="16"/>
      <c r="T219" s="16"/>
      <c r="U219" s="16"/>
      <c r="V219" s="16"/>
      <c r="W219" s="15"/>
      <c r="X219" s="15"/>
      <c r="Y219" s="15"/>
      <c r="Z219" s="15"/>
    </row>
    <row r="220" customHeight="1" spans="1:26">
      <c r="A220" s="17"/>
      <c r="B220" s="15"/>
      <c r="C220" s="15"/>
      <c r="D220" s="15"/>
      <c r="E220" s="15"/>
      <c r="F220" s="15"/>
      <c r="G220" s="15"/>
      <c r="H220" s="16"/>
      <c r="I220" s="16"/>
      <c r="J220" s="16"/>
      <c r="K220" s="16"/>
      <c r="L220" s="16"/>
      <c r="M220" s="16"/>
      <c r="N220" s="16"/>
      <c r="O220" s="16"/>
      <c r="P220" s="16"/>
      <c r="Q220" s="16"/>
      <c r="R220" s="16"/>
      <c r="S220" s="16"/>
      <c r="T220" s="16"/>
      <c r="U220" s="16"/>
      <c r="V220" s="16"/>
      <c r="W220" s="15"/>
      <c r="X220" s="15"/>
      <c r="Y220" s="15"/>
      <c r="Z220" s="15"/>
    </row>
    <row r="221" customHeight="1" spans="1:26">
      <c r="A221" s="17"/>
      <c r="B221" s="15"/>
      <c r="C221" s="15"/>
      <c r="D221" s="15"/>
      <c r="E221" s="15"/>
      <c r="F221" s="15"/>
      <c r="G221" s="15"/>
      <c r="H221" s="16"/>
      <c r="I221" s="16"/>
      <c r="J221" s="16"/>
      <c r="K221" s="16"/>
      <c r="L221" s="16"/>
      <c r="M221" s="16"/>
      <c r="N221" s="16"/>
      <c r="O221" s="16"/>
      <c r="P221" s="16"/>
      <c r="Q221" s="16"/>
      <c r="R221" s="16"/>
      <c r="S221" s="16"/>
      <c r="T221" s="16"/>
      <c r="U221" s="16"/>
      <c r="V221" s="16"/>
      <c r="W221" s="15"/>
      <c r="X221" s="15"/>
      <c r="Y221" s="15"/>
      <c r="Z221" s="15"/>
    </row>
    <row r="222" customHeight="1" spans="1:26">
      <c r="A222" s="17"/>
      <c r="B222" s="15"/>
      <c r="C222" s="15"/>
      <c r="D222" s="15"/>
      <c r="E222" s="15"/>
      <c r="F222" s="15"/>
      <c r="G222" s="15"/>
      <c r="H222" s="16"/>
      <c r="I222" s="16"/>
      <c r="J222" s="16"/>
      <c r="K222" s="16"/>
      <c r="L222" s="16"/>
      <c r="M222" s="16"/>
      <c r="N222" s="16"/>
      <c r="O222" s="16"/>
      <c r="P222" s="16"/>
      <c r="Q222" s="16"/>
      <c r="R222" s="16"/>
      <c r="S222" s="16"/>
      <c r="T222" s="16"/>
      <c r="U222" s="16"/>
      <c r="V222" s="16"/>
      <c r="W222" s="15"/>
      <c r="X222" s="15"/>
      <c r="Y222" s="15"/>
      <c r="Z222" s="15"/>
    </row>
    <row r="223" customHeight="1" spans="1:26">
      <c r="A223" s="17"/>
      <c r="B223" s="15"/>
      <c r="C223" s="15"/>
      <c r="D223" s="15"/>
      <c r="E223" s="15"/>
      <c r="F223" s="15"/>
      <c r="G223" s="15"/>
      <c r="H223" s="16"/>
      <c r="I223" s="16"/>
      <c r="J223" s="16"/>
      <c r="K223" s="16"/>
      <c r="L223" s="16"/>
      <c r="M223" s="16"/>
      <c r="N223" s="16"/>
      <c r="O223" s="16"/>
      <c r="P223" s="16"/>
      <c r="Q223" s="16"/>
      <c r="R223" s="16"/>
      <c r="S223" s="16"/>
      <c r="T223" s="16"/>
      <c r="U223" s="16"/>
      <c r="V223" s="16"/>
      <c r="W223" s="15"/>
      <c r="X223" s="15"/>
      <c r="Y223" s="15"/>
      <c r="Z223" s="15"/>
    </row>
    <row r="224" customHeight="1" spans="1:26">
      <c r="A224" s="17"/>
      <c r="B224" s="15"/>
      <c r="C224" s="15"/>
      <c r="D224" s="15"/>
      <c r="E224" s="15"/>
      <c r="F224" s="15"/>
      <c r="G224" s="15"/>
      <c r="H224" s="16"/>
      <c r="I224" s="16"/>
      <c r="J224" s="16"/>
      <c r="K224" s="16"/>
      <c r="L224" s="16"/>
      <c r="M224" s="16"/>
      <c r="N224" s="16"/>
      <c r="O224" s="16"/>
      <c r="P224" s="16"/>
      <c r="Q224" s="16"/>
      <c r="R224" s="16"/>
      <c r="S224" s="16"/>
      <c r="T224" s="16"/>
      <c r="U224" s="16"/>
      <c r="V224" s="16"/>
      <c r="W224" s="15"/>
      <c r="X224" s="15"/>
      <c r="Y224" s="15"/>
      <c r="Z224" s="15"/>
    </row>
    <row r="225" customHeight="1" spans="1:26">
      <c r="A225" s="17"/>
      <c r="B225" s="15"/>
      <c r="C225" s="15"/>
      <c r="D225" s="15"/>
      <c r="E225" s="15"/>
      <c r="F225" s="15"/>
      <c r="G225" s="15"/>
      <c r="H225" s="16"/>
      <c r="I225" s="16"/>
      <c r="J225" s="16"/>
      <c r="K225" s="16"/>
      <c r="L225" s="16"/>
      <c r="M225" s="16"/>
      <c r="N225" s="16"/>
      <c r="O225" s="16"/>
      <c r="P225" s="16"/>
      <c r="Q225" s="16"/>
      <c r="R225" s="16"/>
      <c r="S225" s="16"/>
      <c r="T225" s="16"/>
      <c r="U225" s="16"/>
      <c r="V225" s="16"/>
      <c r="W225" s="15"/>
      <c r="X225" s="15"/>
      <c r="Y225" s="15"/>
      <c r="Z225" s="15"/>
    </row>
    <row r="226" customHeight="1" spans="1:26">
      <c r="A226" s="17"/>
      <c r="B226" s="15"/>
      <c r="C226" s="15"/>
      <c r="D226" s="15"/>
      <c r="E226" s="15"/>
      <c r="F226" s="15"/>
      <c r="G226" s="15"/>
      <c r="H226" s="16"/>
      <c r="I226" s="16"/>
      <c r="J226" s="16"/>
      <c r="K226" s="16"/>
      <c r="L226" s="16"/>
      <c r="M226" s="16"/>
      <c r="N226" s="16"/>
      <c r="O226" s="16"/>
      <c r="P226" s="16"/>
      <c r="Q226" s="16"/>
      <c r="R226" s="16"/>
      <c r="S226" s="16"/>
      <c r="T226" s="16"/>
      <c r="U226" s="16"/>
      <c r="V226" s="16"/>
      <c r="W226" s="15"/>
      <c r="X226" s="15"/>
      <c r="Y226" s="15"/>
      <c r="Z226" s="15"/>
    </row>
    <row r="227" customHeight="1" spans="1:26">
      <c r="A227" s="17"/>
      <c r="B227" s="15"/>
      <c r="C227" s="15"/>
      <c r="D227" s="15"/>
      <c r="E227" s="15"/>
      <c r="F227" s="15"/>
      <c r="G227" s="15"/>
      <c r="H227" s="16"/>
      <c r="I227" s="16"/>
      <c r="J227" s="16"/>
      <c r="K227" s="16"/>
      <c r="L227" s="16"/>
      <c r="M227" s="16"/>
      <c r="N227" s="16"/>
      <c r="O227" s="16"/>
      <c r="P227" s="16"/>
      <c r="Q227" s="16"/>
      <c r="R227" s="16"/>
      <c r="S227" s="16"/>
      <c r="T227" s="16"/>
      <c r="U227" s="16"/>
      <c r="V227" s="16"/>
      <c r="W227" s="15"/>
      <c r="X227" s="15"/>
      <c r="Y227" s="15"/>
      <c r="Z227" s="15"/>
    </row>
    <row r="228" customHeight="1" spans="1:26">
      <c r="A228" s="17"/>
      <c r="B228" s="15"/>
      <c r="C228" s="15"/>
      <c r="D228" s="15"/>
      <c r="E228" s="15"/>
      <c r="F228" s="15"/>
      <c r="G228" s="15"/>
      <c r="H228" s="16"/>
      <c r="I228" s="16"/>
      <c r="J228" s="16"/>
      <c r="K228" s="16"/>
      <c r="L228" s="16"/>
      <c r="M228" s="16"/>
      <c r="N228" s="16"/>
      <c r="O228" s="16"/>
      <c r="P228" s="16"/>
      <c r="Q228" s="16"/>
      <c r="R228" s="16"/>
      <c r="S228" s="16"/>
      <c r="T228" s="16"/>
      <c r="U228" s="16"/>
      <c r="V228" s="16"/>
      <c r="W228" s="15"/>
      <c r="X228" s="15"/>
      <c r="Y228" s="15"/>
      <c r="Z228" s="15"/>
    </row>
    <row r="229" customHeight="1" spans="1:26">
      <c r="A229" s="17"/>
      <c r="B229" s="15"/>
      <c r="C229" s="15"/>
      <c r="D229" s="15"/>
      <c r="E229" s="15"/>
      <c r="F229" s="15"/>
      <c r="G229" s="15"/>
      <c r="H229" s="16"/>
      <c r="I229" s="16"/>
      <c r="J229" s="16"/>
      <c r="K229" s="16"/>
      <c r="L229" s="16"/>
      <c r="M229" s="16"/>
      <c r="N229" s="16"/>
      <c r="O229" s="16"/>
      <c r="P229" s="16"/>
      <c r="Q229" s="16"/>
      <c r="R229" s="16"/>
      <c r="S229" s="16"/>
      <c r="T229" s="16"/>
      <c r="U229" s="16"/>
      <c r="V229" s="16"/>
      <c r="W229" s="15"/>
      <c r="X229" s="15"/>
      <c r="Y229" s="15"/>
      <c r="Z229" s="15"/>
    </row>
    <row r="230" customHeight="1" spans="1:26">
      <c r="A230" s="17"/>
      <c r="B230" s="15"/>
      <c r="C230" s="15"/>
      <c r="D230" s="15"/>
      <c r="E230" s="15"/>
      <c r="F230" s="15"/>
      <c r="G230" s="15"/>
      <c r="H230" s="16"/>
      <c r="I230" s="16"/>
      <c r="J230" s="16"/>
      <c r="K230" s="16"/>
      <c r="L230" s="16"/>
      <c r="M230" s="16"/>
      <c r="N230" s="16"/>
      <c r="O230" s="16"/>
      <c r="P230" s="16"/>
      <c r="Q230" s="16"/>
      <c r="R230" s="16"/>
      <c r="S230" s="16"/>
      <c r="T230" s="16"/>
      <c r="U230" s="16"/>
      <c r="V230" s="16"/>
      <c r="W230" s="15"/>
      <c r="X230" s="15"/>
      <c r="Y230" s="15"/>
      <c r="Z230" s="15"/>
    </row>
    <row r="231" customHeight="1" spans="1:26">
      <c r="A231" s="17"/>
      <c r="B231" s="15"/>
      <c r="C231" s="15"/>
      <c r="D231" s="15"/>
      <c r="E231" s="15"/>
      <c r="F231" s="15"/>
      <c r="G231" s="15"/>
      <c r="H231" s="16"/>
      <c r="I231" s="16"/>
      <c r="J231" s="16"/>
      <c r="K231" s="16"/>
      <c r="L231" s="16"/>
      <c r="M231" s="16"/>
      <c r="N231" s="16"/>
      <c r="O231" s="16"/>
      <c r="P231" s="16"/>
      <c r="Q231" s="16"/>
      <c r="R231" s="16"/>
      <c r="S231" s="16"/>
      <c r="T231" s="16"/>
      <c r="U231" s="16"/>
      <c r="V231" s="16"/>
      <c r="W231" s="15"/>
      <c r="X231" s="15"/>
      <c r="Y231" s="15"/>
      <c r="Z231" s="15"/>
    </row>
    <row r="232" customHeight="1" spans="1:26">
      <c r="A232" s="17"/>
      <c r="B232" s="15"/>
      <c r="C232" s="15"/>
      <c r="D232" s="15"/>
      <c r="E232" s="15"/>
      <c r="F232" s="15"/>
      <c r="G232" s="15"/>
      <c r="H232" s="16"/>
      <c r="I232" s="16"/>
      <c r="J232" s="16"/>
      <c r="K232" s="16"/>
      <c r="L232" s="16"/>
      <c r="M232" s="16"/>
      <c r="N232" s="16"/>
      <c r="O232" s="16"/>
      <c r="P232" s="16"/>
      <c r="Q232" s="16"/>
      <c r="R232" s="16"/>
      <c r="S232" s="16"/>
      <c r="T232" s="16"/>
      <c r="U232" s="16"/>
      <c r="V232" s="16"/>
      <c r="W232" s="15"/>
      <c r="X232" s="15"/>
      <c r="Y232" s="15"/>
      <c r="Z232" s="15"/>
    </row>
    <row r="233" customHeight="1" spans="1:26">
      <c r="A233" s="17"/>
      <c r="B233" s="15"/>
      <c r="C233" s="15"/>
      <c r="D233" s="15"/>
      <c r="E233" s="15"/>
      <c r="F233" s="15"/>
      <c r="G233" s="15"/>
      <c r="H233" s="16"/>
      <c r="I233" s="16"/>
      <c r="J233" s="16"/>
      <c r="K233" s="16"/>
      <c r="L233" s="16"/>
      <c r="M233" s="16"/>
      <c r="N233" s="16"/>
      <c r="O233" s="16"/>
      <c r="P233" s="16"/>
      <c r="Q233" s="16"/>
      <c r="R233" s="16"/>
      <c r="S233" s="16"/>
      <c r="T233" s="16"/>
      <c r="U233" s="16"/>
      <c r="V233" s="16"/>
      <c r="W233" s="15"/>
      <c r="X233" s="15"/>
      <c r="Y233" s="15"/>
      <c r="Z233" s="15"/>
    </row>
    <row r="234" customHeight="1" spans="1:26">
      <c r="A234" s="17"/>
      <c r="B234" s="15"/>
      <c r="C234" s="15"/>
      <c r="D234" s="15"/>
      <c r="E234" s="15"/>
      <c r="F234" s="15"/>
      <c r="G234" s="15"/>
      <c r="H234" s="16"/>
      <c r="I234" s="16"/>
      <c r="J234" s="16"/>
      <c r="K234" s="16"/>
      <c r="L234" s="16"/>
      <c r="M234" s="16"/>
      <c r="N234" s="16"/>
      <c r="O234" s="16"/>
      <c r="P234" s="16"/>
      <c r="Q234" s="16"/>
      <c r="R234" s="16"/>
      <c r="S234" s="16"/>
      <c r="T234" s="16"/>
      <c r="U234" s="16"/>
      <c r="V234" s="16"/>
      <c r="W234" s="15"/>
      <c r="X234" s="15"/>
      <c r="Y234" s="15"/>
      <c r="Z234" s="15"/>
    </row>
    <row r="235" customHeight="1" spans="1:26">
      <c r="A235" s="17"/>
      <c r="B235" s="15"/>
      <c r="C235" s="15"/>
      <c r="D235" s="15"/>
      <c r="E235" s="15"/>
      <c r="F235" s="15"/>
      <c r="G235" s="15"/>
      <c r="H235" s="16"/>
      <c r="I235" s="16"/>
      <c r="J235" s="16"/>
      <c r="K235" s="16"/>
      <c r="L235" s="16"/>
      <c r="M235" s="16"/>
      <c r="N235" s="16"/>
      <c r="O235" s="16"/>
      <c r="P235" s="16"/>
      <c r="Q235" s="16"/>
      <c r="R235" s="16"/>
      <c r="S235" s="16"/>
      <c r="T235" s="16"/>
      <c r="U235" s="16"/>
      <c r="V235" s="16"/>
      <c r="W235" s="15"/>
      <c r="X235" s="15"/>
      <c r="Y235" s="15"/>
      <c r="Z235" s="15"/>
    </row>
    <row r="236" customHeight="1" spans="1:26">
      <c r="A236" s="17"/>
      <c r="B236" s="15"/>
      <c r="C236" s="15"/>
      <c r="D236" s="15"/>
      <c r="E236" s="15"/>
      <c r="F236" s="15"/>
      <c r="G236" s="15"/>
      <c r="H236" s="16"/>
      <c r="I236" s="16"/>
      <c r="J236" s="16"/>
      <c r="K236" s="16"/>
      <c r="L236" s="16"/>
      <c r="M236" s="16"/>
      <c r="N236" s="16"/>
      <c r="O236" s="16"/>
      <c r="P236" s="16"/>
      <c r="Q236" s="16"/>
      <c r="R236" s="16"/>
      <c r="S236" s="16"/>
      <c r="T236" s="16"/>
      <c r="U236" s="16"/>
      <c r="V236" s="16"/>
      <c r="W236" s="15"/>
      <c r="X236" s="15"/>
      <c r="Y236" s="15"/>
      <c r="Z236" s="15"/>
    </row>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24">
    <mergeCell ref="H2:I2"/>
    <mergeCell ref="J2:K2"/>
    <mergeCell ref="L2:M2"/>
    <mergeCell ref="H10:L10"/>
    <mergeCell ref="M10:Q10"/>
    <mergeCell ref="R10:V10"/>
    <mergeCell ref="H11:J11"/>
    <mergeCell ref="M11:O11"/>
    <mergeCell ref="R11:T11"/>
    <mergeCell ref="A10:A12"/>
    <mergeCell ref="B10:B12"/>
    <mergeCell ref="C10:C12"/>
    <mergeCell ref="D10:D12"/>
    <mergeCell ref="E10:E12"/>
    <mergeCell ref="F10:F12"/>
    <mergeCell ref="G10:G12"/>
    <mergeCell ref="K11:K12"/>
    <mergeCell ref="L11:L12"/>
    <mergeCell ref="N2:N3"/>
    <mergeCell ref="P11:P12"/>
    <mergeCell ref="Q11:Q12"/>
    <mergeCell ref="U11:U12"/>
    <mergeCell ref="V11:V12"/>
    <mergeCell ref="W10:W12"/>
  </mergeCells>
  <dataValidations count="1">
    <dataValidation type="list" allowBlank="1" showErrorMessage="1" sqref="H13:I36 R13:S36 M13:N36">
      <formula1>"Passed,Failed,Blocked,Not Run"</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1"/>
  <sheetViews>
    <sheetView showGridLines="0" workbookViewId="0">
      <selection activeCell="A1" sqref="A1"/>
    </sheetView>
  </sheetViews>
  <sheetFormatPr defaultColWidth="12.6296296296296" defaultRowHeight="15.75" customHeight="1"/>
  <cols>
    <col min="1" max="1" width="12.6296296296296" customWidth="1"/>
    <col min="2" max="2" width="15.6296296296296" customWidth="1"/>
    <col min="3" max="3" width="18.75" customWidth="1"/>
    <col min="4" max="4" width="25.1296296296296" customWidth="1"/>
    <col min="5" max="5" width="28.3796296296296" customWidth="1"/>
    <col min="6" max="7" width="37.6296296296296" customWidth="1"/>
    <col min="8" max="9" width="18.5" customWidth="1"/>
    <col min="10" max="10" width="19.5" customWidth="1"/>
    <col min="11" max="11" width="23.75" customWidth="1"/>
    <col min="12" max="12" width="14.75" customWidth="1"/>
    <col min="13" max="14" width="18.5" customWidth="1"/>
    <col min="15" max="15" width="19.5" customWidth="1"/>
    <col min="16" max="16" width="27.75" customWidth="1"/>
    <col min="17" max="17" width="15.3796296296296" customWidth="1"/>
    <col min="18" max="19" width="18.5" customWidth="1"/>
    <col min="20" max="20" width="19.5" customWidth="1"/>
    <col min="21" max="21" width="26.3796296296296" customWidth="1"/>
    <col min="22" max="22" width="15" customWidth="1"/>
    <col min="23" max="23" width="27" customWidth="1"/>
    <col min="24" max="26" width="11.8796296296296" customWidth="1"/>
  </cols>
  <sheetData>
    <row r="1" customHeight="1" spans="1:26">
      <c r="A1" s="14" t="s">
        <v>86</v>
      </c>
      <c r="B1" s="15"/>
      <c r="C1" s="15"/>
      <c r="D1" s="15"/>
      <c r="E1" s="15"/>
      <c r="F1" s="15"/>
      <c r="G1" s="15"/>
      <c r="H1" s="16"/>
      <c r="I1" s="16"/>
      <c r="J1" s="16"/>
      <c r="K1" s="16"/>
      <c r="L1" s="16"/>
      <c r="M1" s="16"/>
      <c r="N1" s="16"/>
      <c r="O1" s="16"/>
      <c r="P1" s="16"/>
      <c r="Q1" s="16"/>
      <c r="R1" s="16"/>
      <c r="S1" s="16"/>
      <c r="T1" s="16"/>
      <c r="U1" s="16"/>
      <c r="V1" s="16"/>
      <c r="W1" s="15"/>
      <c r="X1" s="15"/>
      <c r="Y1" s="15"/>
      <c r="Z1" s="15"/>
    </row>
    <row r="2" customHeight="1" spans="1:26">
      <c r="A2" s="17"/>
      <c r="B2" s="15"/>
      <c r="C2" s="15"/>
      <c r="D2" s="15"/>
      <c r="E2" s="15"/>
      <c r="F2" s="15"/>
      <c r="G2" s="15"/>
      <c r="H2" s="18" t="s">
        <v>64</v>
      </c>
      <c r="I2" s="31"/>
      <c r="J2" s="18" t="s">
        <v>65</v>
      </c>
      <c r="K2" s="31"/>
      <c r="L2" s="18" t="s">
        <v>66</v>
      </c>
      <c r="M2" s="31"/>
      <c r="N2" s="23" t="s">
        <v>87</v>
      </c>
      <c r="O2" s="16"/>
      <c r="P2" s="16"/>
      <c r="Q2" s="16"/>
      <c r="R2" s="16"/>
      <c r="S2" s="16"/>
      <c r="T2" s="16"/>
      <c r="U2" s="16"/>
      <c r="V2" s="16"/>
      <c r="W2" s="15"/>
      <c r="X2" s="15"/>
      <c r="Y2" s="15"/>
      <c r="Z2" s="15"/>
    </row>
    <row r="3" customHeight="1" spans="1:26">
      <c r="A3" s="6" t="s">
        <v>26</v>
      </c>
      <c r="B3" s="6" t="s">
        <v>88</v>
      </c>
      <c r="C3" s="15"/>
      <c r="D3" s="6" t="s">
        <v>89</v>
      </c>
      <c r="E3" s="6" t="s">
        <v>90</v>
      </c>
      <c r="F3" s="15"/>
      <c r="G3" s="19"/>
      <c r="H3" s="6" t="s">
        <v>67</v>
      </c>
      <c r="I3" s="6" t="s">
        <v>68</v>
      </c>
      <c r="J3" s="6" t="s">
        <v>67</v>
      </c>
      <c r="K3" s="6" t="s">
        <v>68</v>
      </c>
      <c r="L3" s="6" t="s">
        <v>67</v>
      </c>
      <c r="M3" s="6" t="s">
        <v>68</v>
      </c>
      <c r="N3" s="25"/>
      <c r="O3" s="16"/>
      <c r="P3" s="16"/>
      <c r="Q3" s="16"/>
      <c r="R3" s="16"/>
      <c r="S3" s="16"/>
      <c r="T3" s="16"/>
      <c r="U3" s="16"/>
      <c r="V3" s="16"/>
      <c r="W3" s="15"/>
      <c r="X3" s="15"/>
      <c r="Y3" s="15"/>
      <c r="Z3" s="15"/>
    </row>
    <row r="4" customHeight="1" spans="1:26">
      <c r="A4" s="20" t="s">
        <v>13</v>
      </c>
      <c r="B4" s="21" t="s">
        <v>41</v>
      </c>
      <c r="C4" s="15"/>
      <c r="D4" s="20" t="s">
        <v>578</v>
      </c>
      <c r="E4" s="21" t="s">
        <v>579</v>
      </c>
      <c r="F4" s="15"/>
      <c r="G4" s="6" t="s">
        <v>96</v>
      </c>
      <c r="H4" s="22">
        <f t="shared" ref="H4:I4" si="0">COUNTIF(H13:H216,"PASSED")</f>
        <v>15</v>
      </c>
      <c r="I4" s="22">
        <f t="shared" si="0"/>
        <v>18</v>
      </c>
      <c r="J4" s="22">
        <f t="shared" ref="J4:K4" si="1">COUNTIF(M13:M216,"PASSED")</f>
        <v>16</v>
      </c>
      <c r="K4" s="22">
        <f t="shared" si="1"/>
        <v>16</v>
      </c>
      <c r="L4" s="22">
        <f t="shared" ref="L4:M4" si="2">COUNTIF(R13:R216,"PASSED")</f>
        <v>18</v>
      </c>
      <c r="M4" s="22">
        <f t="shared" si="2"/>
        <v>18</v>
      </c>
      <c r="N4" s="22">
        <f t="shared" ref="N4:N8" si="3">SUM(H4:M4)</f>
        <v>101</v>
      </c>
      <c r="O4" s="16"/>
      <c r="P4" s="16"/>
      <c r="Q4" s="16"/>
      <c r="R4" s="16"/>
      <c r="S4" s="16"/>
      <c r="T4" s="16"/>
      <c r="U4" s="16"/>
      <c r="V4" s="16"/>
      <c r="W4" s="15"/>
      <c r="X4" s="15"/>
      <c r="Y4" s="15"/>
      <c r="Z4" s="15"/>
    </row>
    <row r="5" customHeight="1" spans="1:26">
      <c r="A5" s="20"/>
      <c r="B5" s="20"/>
      <c r="C5" s="15"/>
      <c r="D5" s="20" t="s">
        <v>580</v>
      </c>
      <c r="E5" s="21" t="s">
        <v>581</v>
      </c>
      <c r="F5" s="15"/>
      <c r="G5" s="6" t="s">
        <v>97</v>
      </c>
      <c r="H5" s="22">
        <f t="shared" ref="H5:I5" si="4">COUNTIF(H13:H226,"FAILED")</f>
        <v>3</v>
      </c>
      <c r="I5" s="22">
        <f t="shared" si="4"/>
        <v>0</v>
      </c>
      <c r="J5" s="22">
        <f t="shared" ref="J5:K5" si="5">COUNTIF(M14:M217,"FAILED")</f>
        <v>2</v>
      </c>
      <c r="K5" s="22">
        <f t="shared" si="5"/>
        <v>2</v>
      </c>
      <c r="L5" s="22">
        <f t="shared" ref="L5:M5" si="6">COUNTIF(R14:R217,"FAILED")</f>
        <v>0</v>
      </c>
      <c r="M5" s="22">
        <f t="shared" si="6"/>
        <v>0</v>
      </c>
      <c r="N5" s="22">
        <f t="shared" si="3"/>
        <v>7</v>
      </c>
      <c r="O5" s="16"/>
      <c r="P5" s="16"/>
      <c r="Q5" s="16"/>
      <c r="R5" s="16"/>
      <c r="S5" s="16"/>
      <c r="T5" s="16"/>
      <c r="U5" s="16"/>
      <c r="V5" s="16"/>
      <c r="W5" s="15"/>
      <c r="X5" s="15"/>
      <c r="Y5" s="15"/>
      <c r="Z5" s="15"/>
    </row>
    <row r="6" customHeight="1" spans="1:26">
      <c r="A6" s="20"/>
      <c r="B6" s="20"/>
      <c r="C6" s="15"/>
      <c r="D6" s="20"/>
      <c r="E6" s="20"/>
      <c r="F6" s="15"/>
      <c r="G6" s="6" t="s">
        <v>98</v>
      </c>
      <c r="H6" s="22">
        <f t="shared" ref="H6:I6" si="7">COUNTIF(H13:H236,"BLOCKED")</f>
        <v>0</v>
      </c>
      <c r="I6" s="22">
        <f t="shared" si="7"/>
        <v>0</v>
      </c>
      <c r="J6" s="22">
        <f t="shared" ref="J6:K6" si="8">COUNTIF(M15:M218,"BLOCKED")</f>
        <v>0</v>
      </c>
      <c r="K6" s="22">
        <f t="shared" si="8"/>
        <v>0</v>
      </c>
      <c r="L6" s="22">
        <f t="shared" ref="L6:M6" si="9">COUNTIF(R15:R218,"BLOCKED")</f>
        <v>0</v>
      </c>
      <c r="M6" s="22">
        <f t="shared" si="9"/>
        <v>0</v>
      </c>
      <c r="N6" s="22">
        <f t="shared" si="3"/>
        <v>0</v>
      </c>
      <c r="O6" s="16"/>
      <c r="P6" s="16"/>
      <c r="Q6" s="16"/>
      <c r="R6" s="16"/>
      <c r="S6" s="16"/>
      <c r="T6" s="16"/>
      <c r="U6" s="16"/>
      <c r="V6" s="16"/>
      <c r="W6" s="15"/>
      <c r="X6" s="15"/>
      <c r="Y6" s="15"/>
      <c r="Z6" s="15"/>
    </row>
    <row r="7" customHeight="1" spans="1:26">
      <c r="A7" s="20"/>
      <c r="B7" s="20"/>
      <c r="C7" s="15"/>
      <c r="D7" s="20"/>
      <c r="E7" s="20"/>
      <c r="F7" s="15"/>
      <c r="G7" s="6" t="s">
        <v>99</v>
      </c>
      <c r="H7" s="22">
        <f t="shared" ref="H7:I7" si="10">COUNTIF(H13:H246,"NOT RUN")</f>
        <v>0</v>
      </c>
      <c r="I7" s="22">
        <f t="shared" si="10"/>
        <v>0</v>
      </c>
      <c r="J7" s="22">
        <f t="shared" ref="J7:K7" si="11">COUNTIF(M16:M219,"NOT RUN")</f>
        <v>0</v>
      </c>
      <c r="K7" s="22">
        <f t="shared" si="11"/>
        <v>0</v>
      </c>
      <c r="L7" s="22">
        <f t="shared" ref="L7:M7" si="12">COUNTIF(R16:R219,"NOT RUN")</f>
        <v>0</v>
      </c>
      <c r="M7" s="22">
        <f t="shared" si="12"/>
        <v>0</v>
      </c>
      <c r="N7" s="22">
        <f t="shared" si="3"/>
        <v>0</v>
      </c>
      <c r="O7" s="16"/>
      <c r="P7" s="16"/>
      <c r="Q7" s="16"/>
      <c r="R7" s="16"/>
      <c r="S7" s="16"/>
      <c r="T7" s="16"/>
      <c r="U7" s="16"/>
      <c r="V7" s="16"/>
      <c r="W7" s="15"/>
      <c r="X7" s="15"/>
      <c r="Y7" s="15"/>
      <c r="Z7" s="15"/>
    </row>
    <row r="8" customHeight="1" spans="1:26">
      <c r="A8" s="20"/>
      <c r="B8" s="20"/>
      <c r="C8" s="15"/>
      <c r="D8" s="20"/>
      <c r="E8" s="20"/>
      <c r="F8" s="15"/>
      <c r="G8" s="6" t="s">
        <v>100</v>
      </c>
      <c r="H8" s="22">
        <f t="shared" ref="H8:M8" si="13">COUNTA($G13:$G228)</f>
        <v>18</v>
      </c>
      <c r="I8" s="22">
        <f t="shared" si="13"/>
        <v>18</v>
      </c>
      <c r="J8" s="22">
        <f t="shared" si="13"/>
        <v>18</v>
      </c>
      <c r="K8" s="22">
        <f t="shared" si="13"/>
        <v>18</v>
      </c>
      <c r="L8" s="22">
        <f t="shared" si="13"/>
        <v>18</v>
      </c>
      <c r="M8" s="22">
        <f t="shared" si="13"/>
        <v>18</v>
      </c>
      <c r="N8" s="22">
        <f t="shared" si="3"/>
        <v>108</v>
      </c>
      <c r="O8" s="16"/>
      <c r="P8" s="16"/>
      <c r="Q8" s="16"/>
      <c r="R8" s="16"/>
      <c r="S8" s="16"/>
      <c r="T8" s="16"/>
      <c r="U8" s="16"/>
      <c r="V8" s="16"/>
      <c r="W8" s="15"/>
      <c r="X8" s="15"/>
      <c r="Y8" s="15"/>
      <c r="Z8" s="15"/>
    </row>
    <row r="9" customHeight="1" spans="1:26">
      <c r="A9" s="17"/>
      <c r="B9" s="15"/>
      <c r="C9" s="15"/>
      <c r="D9" s="15"/>
      <c r="E9" s="15"/>
      <c r="F9" s="15"/>
      <c r="G9" s="15"/>
      <c r="H9" s="16"/>
      <c r="I9" s="16"/>
      <c r="J9" s="16"/>
      <c r="K9" s="16"/>
      <c r="L9" s="16"/>
      <c r="M9" s="16"/>
      <c r="N9" s="16"/>
      <c r="O9" s="16"/>
      <c r="P9" s="16"/>
      <c r="Q9" s="16"/>
      <c r="R9" s="16"/>
      <c r="S9" s="16"/>
      <c r="T9" s="16"/>
      <c r="U9" s="16"/>
      <c r="V9" s="16"/>
      <c r="W9" s="15"/>
      <c r="X9" s="15"/>
      <c r="Y9" s="15"/>
      <c r="Z9" s="15"/>
    </row>
    <row r="10" customHeight="1" spans="1:26">
      <c r="A10" s="23" t="s">
        <v>22</v>
      </c>
      <c r="B10" s="23" t="s">
        <v>101</v>
      </c>
      <c r="C10" s="23" t="s">
        <v>102</v>
      </c>
      <c r="D10" s="23" t="s">
        <v>103</v>
      </c>
      <c r="E10" s="23" t="s">
        <v>104</v>
      </c>
      <c r="F10" s="23" t="s">
        <v>105</v>
      </c>
      <c r="G10" s="23" t="s">
        <v>106</v>
      </c>
      <c r="H10" s="18" t="s">
        <v>64</v>
      </c>
      <c r="I10" s="32"/>
      <c r="J10" s="32"/>
      <c r="K10" s="32"/>
      <c r="L10" s="31"/>
      <c r="M10" s="18" t="s">
        <v>65</v>
      </c>
      <c r="N10" s="32"/>
      <c r="O10" s="32"/>
      <c r="P10" s="32"/>
      <c r="Q10" s="31"/>
      <c r="R10" s="18" t="s">
        <v>66</v>
      </c>
      <c r="S10" s="32"/>
      <c r="T10" s="32"/>
      <c r="U10" s="32"/>
      <c r="V10" s="31"/>
      <c r="W10" s="23" t="s">
        <v>29</v>
      </c>
      <c r="X10" s="13"/>
      <c r="Y10" s="13"/>
      <c r="Z10" s="13"/>
    </row>
    <row r="11" customHeight="1" spans="1:26">
      <c r="A11" s="24"/>
      <c r="B11" s="24"/>
      <c r="C11" s="24"/>
      <c r="D11" s="24"/>
      <c r="E11" s="24"/>
      <c r="F11" s="24"/>
      <c r="G11" s="24"/>
      <c r="H11" s="18" t="s">
        <v>107</v>
      </c>
      <c r="I11" s="32"/>
      <c r="J11" s="31"/>
      <c r="K11" s="23" t="s">
        <v>108</v>
      </c>
      <c r="L11" s="23" t="s">
        <v>109</v>
      </c>
      <c r="M11" s="18" t="s">
        <v>107</v>
      </c>
      <c r="N11" s="32"/>
      <c r="O11" s="31"/>
      <c r="P11" s="23" t="s">
        <v>108</v>
      </c>
      <c r="Q11" s="23" t="s">
        <v>109</v>
      </c>
      <c r="R11" s="18" t="s">
        <v>107</v>
      </c>
      <c r="S11" s="32"/>
      <c r="T11" s="31"/>
      <c r="U11" s="23" t="s">
        <v>108</v>
      </c>
      <c r="V11" s="23" t="s">
        <v>109</v>
      </c>
      <c r="W11" s="24"/>
      <c r="X11" s="15"/>
      <c r="Y11" s="15"/>
      <c r="Z11" s="15"/>
    </row>
    <row r="12" customHeight="1" spans="1:26">
      <c r="A12" s="25"/>
      <c r="B12" s="25"/>
      <c r="C12" s="25"/>
      <c r="D12" s="25"/>
      <c r="E12" s="25"/>
      <c r="F12" s="25"/>
      <c r="G12" s="25"/>
      <c r="H12" s="6" t="s">
        <v>67</v>
      </c>
      <c r="I12" s="6" t="s">
        <v>68</v>
      </c>
      <c r="J12" s="6" t="s">
        <v>110</v>
      </c>
      <c r="K12" s="25"/>
      <c r="L12" s="25"/>
      <c r="M12" s="6" t="s">
        <v>67</v>
      </c>
      <c r="N12" s="6" t="s">
        <v>68</v>
      </c>
      <c r="O12" s="6" t="s">
        <v>110</v>
      </c>
      <c r="P12" s="25"/>
      <c r="Q12" s="25"/>
      <c r="R12" s="6" t="s">
        <v>67</v>
      </c>
      <c r="S12" s="6" t="s">
        <v>68</v>
      </c>
      <c r="T12" s="6" t="s">
        <v>110</v>
      </c>
      <c r="U12" s="25"/>
      <c r="V12" s="25"/>
      <c r="W12" s="25"/>
      <c r="X12" s="15"/>
      <c r="Y12" s="15"/>
      <c r="Z12" s="15"/>
    </row>
    <row r="13" ht="92.4" spans="1:26">
      <c r="A13" s="26" t="str">
        <f t="shared" ref="A13:A30" si="14">"ID-00"&amp;(ROW()-(ROW($A$12)))</f>
        <v>ID-001</v>
      </c>
      <c r="B13" s="27" t="s">
        <v>582</v>
      </c>
      <c r="C13" s="34" t="s">
        <v>191</v>
      </c>
      <c r="D13" s="28" t="s">
        <v>583</v>
      </c>
      <c r="E13" s="28" t="s">
        <v>193</v>
      </c>
      <c r="F13" s="28" t="s">
        <v>584</v>
      </c>
      <c r="G13" s="28" t="s">
        <v>585</v>
      </c>
      <c r="H13" s="8" t="s">
        <v>69</v>
      </c>
      <c r="I13" s="8" t="s">
        <v>69</v>
      </c>
      <c r="J13" s="8"/>
      <c r="K13" s="33" t="s">
        <v>163</v>
      </c>
      <c r="L13" s="8" t="s">
        <v>117</v>
      </c>
      <c r="M13" s="8" t="s">
        <v>69</v>
      </c>
      <c r="N13" s="8" t="s">
        <v>69</v>
      </c>
      <c r="O13" s="8"/>
      <c r="P13" s="33" t="s">
        <v>55</v>
      </c>
      <c r="Q13" s="8" t="s">
        <v>117</v>
      </c>
      <c r="R13" s="8" t="s">
        <v>69</v>
      </c>
      <c r="S13" s="8" t="s">
        <v>69</v>
      </c>
      <c r="T13" s="8"/>
      <c r="U13" s="33" t="s">
        <v>510</v>
      </c>
      <c r="V13" s="8" t="s">
        <v>117</v>
      </c>
      <c r="W13" s="30"/>
      <c r="X13" s="15"/>
      <c r="Y13" s="15"/>
      <c r="Z13" s="15"/>
    </row>
    <row r="14" ht="52.8" spans="1:26">
      <c r="A14" s="26" t="str">
        <f t="shared" si="14"/>
        <v>ID-002</v>
      </c>
      <c r="B14" s="27" t="s">
        <v>582</v>
      </c>
      <c r="C14" s="34" t="s">
        <v>586</v>
      </c>
      <c r="D14" s="28" t="s">
        <v>587</v>
      </c>
      <c r="E14" s="28" t="s">
        <v>588</v>
      </c>
      <c r="F14" s="28" t="s">
        <v>589</v>
      </c>
      <c r="G14" s="28" t="s">
        <v>590</v>
      </c>
      <c r="H14" s="8" t="s">
        <v>70</v>
      </c>
      <c r="I14" s="8" t="s">
        <v>69</v>
      </c>
      <c r="J14" s="8" t="s">
        <v>591</v>
      </c>
      <c r="K14" s="33" t="s">
        <v>163</v>
      </c>
      <c r="L14" s="8" t="s">
        <v>117</v>
      </c>
      <c r="M14" s="8" t="s">
        <v>69</v>
      </c>
      <c r="N14" s="8" t="s">
        <v>70</v>
      </c>
      <c r="O14" s="8" t="s">
        <v>592</v>
      </c>
      <c r="P14" s="8" t="s">
        <v>55</v>
      </c>
      <c r="Q14" s="8" t="s">
        <v>117</v>
      </c>
      <c r="R14" s="8" t="s">
        <v>69</v>
      </c>
      <c r="S14" s="8" t="s">
        <v>69</v>
      </c>
      <c r="T14" s="8"/>
      <c r="U14" s="36">
        <v>45941</v>
      </c>
      <c r="V14" s="8" t="s">
        <v>117</v>
      </c>
      <c r="W14" s="30"/>
      <c r="X14" s="15"/>
      <c r="Y14" s="15"/>
      <c r="Z14" s="15"/>
    </row>
    <row r="15" ht="52.8" spans="1:26">
      <c r="A15" s="26" t="str">
        <f t="shared" si="14"/>
        <v>ID-003</v>
      </c>
      <c r="B15" s="27" t="s">
        <v>582</v>
      </c>
      <c r="C15" s="34" t="s">
        <v>593</v>
      </c>
      <c r="D15" s="28" t="s">
        <v>594</v>
      </c>
      <c r="E15" s="28" t="s">
        <v>595</v>
      </c>
      <c r="F15" s="28" t="s">
        <v>596</v>
      </c>
      <c r="G15" s="28" t="s">
        <v>597</v>
      </c>
      <c r="H15" s="8" t="s">
        <v>70</v>
      </c>
      <c r="I15" s="8" t="s">
        <v>69</v>
      </c>
      <c r="J15" s="8" t="s">
        <v>598</v>
      </c>
      <c r="K15" s="33" t="s">
        <v>163</v>
      </c>
      <c r="L15" s="8" t="s">
        <v>117</v>
      </c>
      <c r="M15" s="8" t="s">
        <v>69</v>
      </c>
      <c r="N15" s="8" t="s">
        <v>70</v>
      </c>
      <c r="O15" s="8" t="s">
        <v>599</v>
      </c>
      <c r="P15" s="8" t="s">
        <v>55</v>
      </c>
      <c r="Q15" s="8" t="s">
        <v>117</v>
      </c>
      <c r="R15" s="8" t="s">
        <v>69</v>
      </c>
      <c r="S15" s="8" t="s">
        <v>69</v>
      </c>
      <c r="T15" s="8"/>
      <c r="U15" s="36">
        <v>45941</v>
      </c>
      <c r="V15" s="8" t="s">
        <v>117</v>
      </c>
      <c r="W15" s="30"/>
      <c r="X15" s="15"/>
      <c r="Y15" s="15"/>
      <c r="Z15" s="15"/>
    </row>
    <row r="16" ht="66" spans="1:26">
      <c r="A16" s="26" t="str">
        <f t="shared" si="14"/>
        <v>ID-004</v>
      </c>
      <c r="B16" s="27" t="s">
        <v>582</v>
      </c>
      <c r="C16" s="27" t="s">
        <v>600</v>
      </c>
      <c r="D16" s="28" t="s">
        <v>601</v>
      </c>
      <c r="E16" s="28" t="s">
        <v>602</v>
      </c>
      <c r="F16" s="28" t="s">
        <v>603</v>
      </c>
      <c r="G16" s="28" t="s">
        <v>604</v>
      </c>
      <c r="H16" s="8" t="s">
        <v>69</v>
      </c>
      <c r="I16" s="8" t="s">
        <v>69</v>
      </c>
      <c r="J16" s="8"/>
      <c r="K16" s="33" t="s">
        <v>163</v>
      </c>
      <c r="L16" s="8" t="s">
        <v>117</v>
      </c>
      <c r="M16" s="8" t="s">
        <v>69</v>
      </c>
      <c r="N16" s="8" t="s">
        <v>69</v>
      </c>
      <c r="O16" s="8"/>
      <c r="P16" s="8" t="s">
        <v>55</v>
      </c>
      <c r="Q16" s="8" t="s">
        <v>117</v>
      </c>
      <c r="R16" s="8" t="s">
        <v>69</v>
      </c>
      <c r="S16" s="8" t="s">
        <v>69</v>
      </c>
      <c r="T16" s="8"/>
      <c r="U16" s="36">
        <v>45941</v>
      </c>
      <c r="V16" s="8" t="s">
        <v>117</v>
      </c>
      <c r="W16" s="30"/>
      <c r="X16" s="15"/>
      <c r="Y16" s="15"/>
      <c r="Z16" s="15"/>
    </row>
    <row r="17" ht="52.8" spans="1:26">
      <c r="A17" s="26" t="str">
        <f t="shared" si="14"/>
        <v>ID-005</v>
      </c>
      <c r="B17" s="27" t="s">
        <v>582</v>
      </c>
      <c r="C17" s="27" t="s">
        <v>605</v>
      </c>
      <c r="D17" s="28" t="s">
        <v>606</v>
      </c>
      <c r="E17" s="28" t="s">
        <v>607</v>
      </c>
      <c r="F17" s="28" t="s">
        <v>608</v>
      </c>
      <c r="G17" s="28" t="s">
        <v>609</v>
      </c>
      <c r="H17" s="8" t="s">
        <v>69</v>
      </c>
      <c r="I17" s="8" t="s">
        <v>69</v>
      </c>
      <c r="J17" s="8"/>
      <c r="K17" s="33" t="s">
        <v>163</v>
      </c>
      <c r="L17" s="8" t="s">
        <v>117</v>
      </c>
      <c r="M17" s="8" t="s">
        <v>69</v>
      </c>
      <c r="N17" s="8" t="s">
        <v>69</v>
      </c>
      <c r="O17" s="8"/>
      <c r="P17" s="8" t="s">
        <v>55</v>
      </c>
      <c r="Q17" s="8" t="s">
        <v>117</v>
      </c>
      <c r="R17" s="8" t="s">
        <v>69</v>
      </c>
      <c r="S17" s="8" t="s">
        <v>69</v>
      </c>
      <c r="T17" s="8"/>
      <c r="U17" s="36">
        <v>45941</v>
      </c>
      <c r="V17" s="8" t="s">
        <v>117</v>
      </c>
      <c r="W17" s="30"/>
      <c r="X17" s="15"/>
      <c r="Y17" s="15"/>
      <c r="Z17" s="15"/>
    </row>
    <row r="18" ht="39.6" spans="1:26">
      <c r="A18" s="26" t="str">
        <f t="shared" si="14"/>
        <v>ID-006</v>
      </c>
      <c r="B18" s="27" t="s">
        <v>582</v>
      </c>
      <c r="C18" s="27" t="s">
        <v>610</v>
      </c>
      <c r="D18" s="28" t="s">
        <v>611</v>
      </c>
      <c r="E18" s="28" t="s">
        <v>612</v>
      </c>
      <c r="F18" s="28" t="s">
        <v>613</v>
      </c>
      <c r="G18" s="28" t="s">
        <v>614</v>
      </c>
      <c r="H18" s="8" t="s">
        <v>69</v>
      </c>
      <c r="I18" s="8" t="s">
        <v>69</v>
      </c>
      <c r="J18" s="8"/>
      <c r="K18" s="33" t="s">
        <v>163</v>
      </c>
      <c r="L18" s="8" t="s">
        <v>117</v>
      </c>
      <c r="M18" s="8" t="s">
        <v>69</v>
      </c>
      <c r="N18" s="8" t="s">
        <v>69</v>
      </c>
      <c r="O18" s="8"/>
      <c r="P18" s="8" t="s">
        <v>55</v>
      </c>
      <c r="Q18" s="8" t="s">
        <v>117</v>
      </c>
      <c r="R18" s="8" t="s">
        <v>69</v>
      </c>
      <c r="S18" s="8" t="s">
        <v>69</v>
      </c>
      <c r="T18" s="8"/>
      <c r="U18" s="36">
        <v>45941</v>
      </c>
      <c r="V18" s="8" t="s">
        <v>117</v>
      </c>
      <c r="W18" s="30"/>
      <c r="X18" s="15"/>
      <c r="Y18" s="15"/>
      <c r="Z18" s="15"/>
    </row>
    <row r="19" ht="39.6" spans="1:26">
      <c r="A19" s="26" t="str">
        <f t="shared" si="14"/>
        <v>ID-007</v>
      </c>
      <c r="B19" s="27" t="s">
        <v>582</v>
      </c>
      <c r="C19" s="35" t="s">
        <v>615</v>
      </c>
      <c r="D19" s="28" t="s">
        <v>616</v>
      </c>
      <c r="E19" s="28" t="s">
        <v>617</v>
      </c>
      <c r="F19" s="28" t="s">
        <v>618</v>
      </c>
      <c r="G19" s="29" t="s">
        <v>619</v>
      </c>
      <c r="H19" s="8" t="s">
        <v>69</v>
      </c>
      <c r="I19" s="8" t="s">
        <v>69</v>
      </c>
      <c r="J19" s="8"/>
      <c r="K19" s="33" t="s">
        <v>163</v>
      </c>
      <c r="L19" s="8" t="s">
        <v>117</v>
      </c>
      <c r="M19" s="8" t="s">
        <v>70</v>
      </c>
      <c r="N19" s="8" t="s">
        <v>69</v>
      </c>
      <c r="O19" s="8" t="s">
        <v>620</v>
      </c>
      <c r="P19" s="8" t="s">
        <v>55</v>
      </c>
      <c r="Q19" s="8" t="s">
        <v>117</v>
      </c>
      <c r="R19" s="8" t="s">
        <v>69</v>
      </c>
      <c r="S19" s="8" t="s">
        <v>69</v>
      </c>
      <c r="T19" s="8"/>
      <c r="U19" s="36">
        <v>45941</v>
      </c>
      <c r="V19" s="8" t="s">
        <v>117</v>
      </c>
      <c r="W19" s="30"/>
      <c r="X19" s="15"/>
      <c r="Y19" s="15"/>
      <c r="Z19" s="15"/>
    </row>
    <row r="20" ht="74.25" customHeight="1" spans="1:26">
      <c r="A20" s="26" t="str">
        <f t="shared" si="14"/>
        <v>ID-008</v>
      </c>
      <c r="B20" s="27" t="s">
        <v>582</v>
      </c>
      <c r="C20" s="34" t="s">
        <v>621</v>
      </c>
      <c r="D20" s="28" t="s">
        <v>622</v>
      </c>
      <c r="E20" s="28" t="s">
        <v>623</v>
      </c>
      <c r="F20" s="28" t="s">
        <v>624</v>
      </c>
      <c r="G20" s="28" t="s">
        <v>625</v>
      </c>
      <c r="H20" s="8" t="s">
        <v>69</v>
      </c>
      <c r="I20" s="8" t="s">
        <v>69</v>
      </c>
      <c r="J20" s="8"/>
      <c r="K20" s="33" t="s">
        <v>163</v>
      </c>
      <c r="L20" s="8" t="s">
        <v>117</v>
      </c>
      <c r="M20" s="8" t="s">
        <v>69</v>
      </c>
      <c r="N20" s="8" t="s">
        <v>69</v>
      </c>
      <c r="O20" s="8"/>
      <c r="P20" s="8" t="s">
        <v>55</v>
      </c>
      <c r="Q20" s="8" t="s">
        <v>117</v>
      </c>
      <c r="R20" s="8" t="s">
        <v>69</v>
      </c>
      <c r="S20" s="8" t="s">
        <v>69</v>
      </c>
      <c r="T20" s="8"/>
      <c r="U20" s="36">
        <v>45941</v>
      </c>
      <c r="V20" s="8" t="s">
        <v>117</v>
      </c>
      <c r="W20" s="30"/>
      <c r="X20" s="15"/>
      <c r="Y20" s="15"/>
      <c r="Z20" s="15"/>
    </row>
    <row r="21" ht="81" customHeight="1" spans="1:26">
      <c r="A21" s="26" t="str">
        <f t="shared" si="14"/>
        <v>ID-009</v>
      </c>
      <c r="B21" s="27" t="s">
        <v>582</v>
      </c>
      <c r="C21" s="34" t="s">
        <v>626</v>
      </c>
      <c r="D21" s="28" t="s">
        <v>627</v>
      </c>
      <c r="E21" s="28" t="s">
        <v>628</v>
      </c>
      <c r="F21" s="28" t="s">
        <v>629</v>
      </c>
      <c r="G21" s="28" t="s">
        <v>630</v>
      </c>
      <c r="H21" s="8" t="s">
        <v>70</v>
      </c>
      <c r="I21" s="8" t="s">
        <v>69</v>
      </c>
      <c r="J21" s="8" t="s">
        <v>631</v>
      </c>
      <c r="K21" s="33" t="s">
        <v>163</v>
      </c>
      <c r="L21" s="8" t="s">
        <v>117</v>
      </c>
      <c r="M21" s="8" t="s">
        <v>69</v>
      </c>
      <c r="N21" s="8" t="s">
        <v>69</v>
      </c>
      <c r="O21" s="8"/>
      <c r="P21" s="8" t="s">
        <v>55</v>
      </c>
      <c r="Q21" s="8" t="s">
        <v>117</v>
      </c>
      <c r="R21" s="8" t="s">
        <v>69</v>
      </c>
      <c r="S21" s="8" t="s">
        <v>69</v>
      </c>
      <c r="T21" s="8"/>
      <c r="U21" s="36">
        <v>45941</v>
      </c>
      <c r="V21" s="8" t="s">
        <v>117</v>
      </c>
      <c r="W21" s="30"/>
      <c r="X21" s="15"/>
      <c r="Y21" s="15"/>
      <c r="Z21" s="15"/>
    </row>
    <row r="22" ht="39.6" spans="1:26">
      <c r="A22" s="26" t="str">
        <f t="shared" si="14"/>
        <v>ID-0010</v>
      </c>
      <c r="B22" s="27" t="s">
        <v>582</v>
      </c>
      <c r="C22" s="34" t="s">
        <v>632</v>
      </c>
      <c r="D22" s="28" t="s">
        <v>633</v>
      </c>
      <c r="E22" s="28" t="s">
        <v>634</v>
      </c>
      <c r="F22" s="28" t="s">
        <v>635</v>
      </c>
      <c r="G22" s="28" t="s">
        <v>636</v>
      </c>
      <c r="H22" s="8" t="s">
        <v>69</v>
      </c>
      <c r="I22" s="8" t="s">
        <v>69</v>
      </c>
      <c r="J22" s="8"/>
      <c r="K22" s="33" t="s">
        <v>163</v>
      </c>
      <c r="L22" s="8" t="s">
        <v>117</v>
      </c>
      <c r="M22" s="8" t="s">
        <v>69</v>
      </c>
      <c r="N22" s="8" t="s">
        <v>69</v>
      </c>
      <c r="O22" s="8"/>
      <c r="P22" s="8" t="s">
        <v>55</v>
      </c>
      <c r="Q22" s="8" t="s">
        <v>117</v>
      </c>
      <c r="R22" s="8" t="s">
        <v>69</v>
      </c>
      <c r="S22" s="8" t="s">
        <v>69</v>
      </c>
      <c r="T22" s="8"/>
      <c r="U22" s="36">
        <v>45941</v>
      </c>
      <c r="V22" s="8" t="s">
        <v>117</v>
      </c>
      <c r="W22" s="30"/>
      <c r="X22" s="15"/>
      <c r="Y22" s="15"/>
      <c r="Z22" s="15"/>
    </row>
    <row r="23" ht="66" spans="1:26">
      <c r="A23" s="26" t="str">
        <f t="shared" si="14"/>
        <v>ID-0011</v>
      </c>
      <c r="B23" s="27" t="s">
        <v>582</v>
      </c>
      <c r="C23" s="34" t="s">
        <v>637</v>
      </c>
      <c r="D23" s="28" t="s">
        <v>638</v>
      </c>
      <c r="E23" s="28" t="s">
        <v>639</v>
      </c>
      <c r="F23" s="28" t="s">
        <v>640</v>
      </c>
      <c r="G23" s="28" t="s">
        <v>641</v>
      </c>
      <c r="H23" s="8" t="s">
        <v>69</v>
      </c>
      <c r="I23" s="8" t="s">
        <v>69</v>
      </c>
      <c r="J23" s="8"/>
      <c r="K23" s="33" t="s">
        <v>508</v>
      </c>
      <c r="L23" s="8" t="s">
        <v>117</v>
      </c>
      <c r="M23" s="8" t="s">
        <v>69</v>
      </c>
      <c r="N23" s="8" t="s">
        <v>69</v>
      </c>
      <c r="O23" s="8"/>
      <c r="P23" s="8" t="s">
        <v>55</v>
      </c>
      <c r="Q23" s="8" t="s">
        <v>117</v>
      </c>
      <c r="R23" s="8" t="s">
        <v>69</v>
      </c>
      <c r="S23" s="8" t="s">
        <v>69</v>
      </c>
      <c r="T23" s="8"/>
      <c r="U23" s="36">
        <v>45941</v>
      </c>
      <c r="V23" s="8" t="s">
        <v>117</v>
      </c>
      <c r="W23" s="30"/>
      <c r="X23" s="15"/>
      <c r="Y23" s="15"/>
      <c r="Z23" s="15"/>
    </row>
    <row r="24" ht="39.6" spans="1:26">
      <c r="A24" s="26" t="str">
        <f t="shared" si="14"/>
        <v>ID-0012</v>
      </c>
      <c r="B24" s="28" t="s">
        <v>582</v>
      </c>
      <c r="C24" s="28" t="s">
        <v>642</v>
      </c>
      <c r="D24" s="28" t="s">
        <v>643</v>
      </c>
      <c r="E24" s="28" t="s">
        <v>644</v>
      </c>
      <c r="F24" s="28" t="s">
        <v>645</v>
      </c>
      <c r="G24" s="28" t="s">
        <v>646</v>
      </c>
      <c r="H24" s="8" t="s">
        <v>69</v>
      </c>
      <c r="I24" s="8" t="s">
        <v>69</v>
      </c>
      <c r="J24" s="8"/>
      <c r="K24" s="33" t="s">
        <v>508</v>
      </c>
      <c r="L24" s="8" t="s">
        <v>117</v>
      </c>
      <c r="M24" s="8" t="s">
        <v>70</v>
      </c>
      <c r="N24" s="8" t="s">
        <v>69</v>
      </c>
      <c r="O24" s="8" t="s">
        <v>647</v>
      </c>
      <c r="P24" s="8" t="s">
        <v>55</v>
      </c>
      <c r="Q24" s="8" t="s">
        <v>117</v>
      </c>
      <c r="R24" s="8" t="s">
        <v>69</v>
      </c>
      <c r="S24" s="8" t="s">
        <v>69</v>
      </c>
      <c r="T24" s="8"/>
      <c r="U24" s="36">
        <v>45941</v>
      </c>
      <c r="V24" s="8" t="s">
        <v>117</v>
      </c>
      <c r="W24" s="30"/>
      <c r="X24" s="15"/>
      <c r="Y24" s="15"/>
      <c r="Z24" s="15"/>
    </row>
    <row r="25" ht="45" customHeight="1" spans="1:26">
      <c r="A25" s="26" t="str">
        <f t="shared" si="14"/>
        <v>ID-0013</v>
      </c>
      <c r="B25" s="28" t="s">
        <v>582</v>
      </c>
      <c r="C25" s="28" t="s">
        <v>648</v>
      </c>
      <c r="D25" s="28" t="s">
        <v>649</v>
      </c>
      <c r="E25" s="28" t="s">
        <v>650</v>
      </c>
      <c r="F25" s="28" t="s">
        <v>651</v>
      </c>
      <c r="G25" s="28" t="s">
        <v>652</v>
      </c>
      <c r="H25" s="8" t="s">
        <v>69</v>
      </c>
      <c r="I25" s="8" t="s">
        <v>69</v>
      </c>
      <c r="J25" s="8"/>
      <c r="K25" s="33" t="s">
        <v>508</v>
      </c>
      <c r="L25" s="8" t="s">
        <v>117</v>
      </c>
      <c r="M25" s="8" t="s">
        <v>69</v>
      </c>
      <c r="N25" s="8" t="s">
        <v>69</v>
      </c>
      <c r="O25" s="8"/>
      <c r="P25" s="8" t="s">
        <v>55</v>
      </c>
      <c r="Q25" s="8" t="s">
        <v>117</v>
      </c>
      <c r="R25" s="8" t="s">
        <v>69</v>
      </c>
      <c r="S25" s="8" t="s">
        <v>69</v>
      </c>
      <c r="T25" s="8"/>
      <c r="U25" s="37">
        <v>45941</v>
      </c>
      <c r="V25" s="8" t="s">
        <v>117</v>
      </c>
      <c r="W25" s="30"/>
      <c r="X25" s="15"/>
      <c r="Y25" s="15"/>
      <c r="Z25" s="15"/>
    </row>
    <row r="26" ht="42.75" customHeight="1" spans="1:26">
      <c r="A26" s="26" t="str">
        <f t="shared" si="14"/>
        <v>ID-0014</v>
      </c>
      <c r="B26" s="28" t="s">
        <v>582</v>
      </c>
      <c r="C26" s="28" t="s">
        <v>653</v>
      </c>
      <c r="D26" s="28" t="s">
        <v>654</v>
      </c>
      <c r="E26" s="28" t="s">
        <v>655</v>
      </c>
      <c r="F26" s="28" t="s">
        <v>656</v>
      </c>
      <c r="G26" s="28" t="s">
        <v>657</v>
      </c>
      <c r="H26" s="8" t="s">
        <v>69</v>
      </c>
      <c r="I26" s="8" t="s">
        <v>69</v>
      </c>
      <c r="J26" s="8"/>
      <c r="K26" s="36">
        <v>45848</v>
      </c>
      <c r="L26" s="8" t="s">
        <v>117</v>
      </c>
      <c r="M26" s="8" t="s">
        <v>69</v>
      </c>
      <c r="N26" s="8" t="s">
        <v>69</v>
      </c>
      <c r="O26" s="8"/>
      <c r="P26" s="8" t="s">
        <v>55</v>
      </c>
      <c r="Q26" s="8" t="s">
        <v>117</v>
      </c>
      <c r="R26" s="8" t="s">
        <v>69</v>
      </c>
      <c r="S26" s="8" t="s">
        <v>69</v>
      </c>
      <c r="T26" s="8"/>
      <c r="U26" s="37">
        <v>45941</v>
      </c>
      <c r="V26" s="8" t="s">
        <v>117</v>
      </c>
      <c r="W26" s="30"/>
      <c r="X26" s="15"/>
      <c r="Y26" s="15"/>
      <c r="Z26" s="15"/>
    </row>
    <row r="27" ht="66.75" customHeight="1" spans="1:26">
      <c r="A27" s="26" t="str">
        <f t="shared" si="14"/>
        <v>ID-0015</v>
      </c>
      <c r="B27" s="28" t="s">
        <v>582</v>
      </c>
      <c r="C27" s="28" t="s">
        <v>411</v>
      </c>
      <c r="D27" s="28" t="s">
        <v>412</v>
      </c>
      <c r="E27" s="28" t="s">
        <v>658</v>
      </c>
      <c r="F27" s="28" t="s">
        <v>659</v>
      </c>
      <c r="G27" s="28" t="s">
        <v>660</v>
      </c>
      <c r="H27" s="8" t="s">
        <v>69</v>
      </c>
      <c r="I27" s="8" t="s">
        <v>69</v>
      </c>
      <c r="J27" s="8"/>
      <c r="K27" s="36">
        <v>45848</v>
      </c>
      <c r="L27" s="8" t="s">
        <v>117</v>
      </c>
      <c r="M27" s="8" t="s">
        <v>69</v>
      </c>
      <c r="N27" s="8" t="s">
        <v>69</v>
      </c>
      <c r="O27" s="8"/>
      <c r="P27" s="8" t="s">
        <v>55</v>
      </c>
      <c r="Q27" s="8" t="s">
        <v>117</v>
      </c>
      <c r="R27" s="8" t="s">
        <v>69</v>
      </c>
      <c r="S27" s="8" t="s">
        <v>69</v>
      </c>
      <c r="T27" s="8"/>
      <c r="U27" s="37">
        <v>45941</v>
      </c>
      <c r="V27" s="8" t="s">
        <v>117</v>
      </c>
      <c r="W27" s="30"/>
      <c r="X27" s="15"/>
      <c r="Y27" s="15"/>
      <c r="Z27" s="15"/>
    </row>
    <row r="28" ht="46.5" customHeight="1" spans="1:26">
      <c r="A28" s="26" t="str">
        <f t="shared" si="14"/>
        <v>ID-0016</v>
      </c>
      <c r="B28" s="28" t="s">
        <v>582</v>
      </c>
      <c r="C28" s="28" t="s">
        <v>661</v>
      </c>
      <c r="D28" s="28" t="s">
        <v>662</v>
      </c>
      <c r="E28" s="28" t="s">
        <v>663</v>
      </c>
      <c r="F28" s="28" t="s">
        <v>664</v>
      </c>
      <c r="G28" s="28" t="s">
        <v>665</v>
      </c>
      <c r="H28" s="8" t="s">
        <v>69</v>
      </c>
      <c r="I28" s="8" t="s">
        <v>69</v>
      </c>
      <c r="J28" s="8"/>
      <c r="K28" s="36">
        <v>45848</v>
      </c>
      <c r="L28" s="8" t="s">
        <v>117</v>
      </c>
      <c r="M28" s="8" t="s">
        <v>69</v>
      </c>
      <c r="N28" s="8" t="s">
        <v>69</v>
      </c>
      <c r="O28" s="8"/>
      <c r="P28" s="8" t="s">
        <v>55</v>
      </c>
      <c r="Q28" s="8" t="s">
        <v>117</v>
      </c>
      <c r="R28" s="8" t="s">
        <v>69</v>
      </c>
      <c r="S28" s="8" t="s">
        <v>69</v>
      </c>
      <c r="T28" s="8"/>
      <c r="U28" s="37">
        <v>45941</v>
      </c>
      <c r="V28" s="8" t="s">
        <v>117</v>
      </c>
      <c r="W28" s="30"/>
      <c r="X28" s="15"/>
      <c r="Y28" s="15"/>
      <c r="Z28" s="15"/>
    </row>
    <row r="29" ht="49.5" customHeight="1" spans="1:26">
      <c r="A29" s="26" t="str">
        <f t="shared" si="14"/>
        <v>ID-0017</v>
      </c>
      <c r="B29" s="28" t="s">
        <v>582</v>
      </c>
      <c r="C29" s="28" t="s">
        <v>666</v>
      </c>
      <c r="D29" s="28" t="s">
        <v>667</v>
      </c>
      <c r="E29" s="28" t="s">
        <v>668</v>
      </c>
      <c r="F29" s="28" t="s">
        <v>669</v>
      </c>
      <c r="G29" s="28" t="s">
        <v>670</v>
      </c>
      <c r="H29" s="8" t="s">
        <v>69</v>
      </c>
      <c r="I29" s="8" t="s">
        <v>69</v>
      </c>
      <c r="J29" s="8"/>
      <c r="K29" s="36">
        <v>45848</v>
      </c>
      <c r="L29" s="8" t="s">
        <v>117</v>
      </c>
      <c r="M29" s="8" t="s">
        <v>69</v>
      </c>
      <c r="N29" s="8" t="s">
        <v>69</v>
      </c>
      <c r="O29" s="8"/>
      <c r="P29" s="8" t="s">
        <v>55</v>
      </c>
      <c r="Q29" s="8" t="s">
        <v>117</v>
      </c>
      <c r="R29" s="8" t="s">
        <v>69</v>
      </c>
      <c r="S29" s="8" t="s">
        <v>69</v>
      </c>
      <c r="T29" s="8"/>
      <c r="U29" s="37">
        <v>45941</v>
      </c>
      <c r="V29" s="8" t="s">
        <v>117</v>
      </c>
      <c r="W29" s="30"/>
      <c r="X29" s="15"/>
      <c r="Y29" s="15"/>
      <c r="Z29" s="15"/>
    </row>
    <row r="30" ht="42.75" customHeight="1" spans="1:26">
      <c r="A30" s="26" t="str">
        <f t="shared" si="14"/>
        <v>ID-0018</v>
      </c>
      <c r="B30" s="28" t="s">
        <v>582</v>
      </c>
      <c r="C30" s="28" t="s">
        <v>671</v>
      </c>
      <c r="D30" s="28" t="s">
        <v>672</v>
      </c>
      <c r="E30" s="28" t="s">
        <v>673</v>
      </c>
      <c r="F30" s="34" t="s">
        <v>674</v>
      </c>
      <c r="G30" s="28" t="s">
        <v>675</v>
      </c>
      <c r="H30" s="8" t="s">
        <v>69</v>
      </c>
      <c r="I30" s="8" t="s">
        <v>69</v>
      </c>
      <c r="J30" s="8"/>
      <c r="K30" s="36">
        <v>45848</v>
      </c>
      <c r="L30" s="8" t="s">
        <v>117</v>
      </c>
      <c r="M30" s="8" t="s">
        <v>69</v>
      </c>
      <c r="N30" s="8" t="s">
        <v>69</v>
      </c>
      <c r="O30" s="8"/>
      <c r="P30" s="8" t="s">
        <v>55</v>
      </c>
      <c r="Q30" s="8" t="s">
        <v>117</v>
      </c>
      <c r="R30" s="8" t="s">
        <v>69</v>
      </c>
      <c r="S30" s="8" t="s">
        <v>69</v>
      </c>
      <c r="T30" s="8"/>
      <c r="U30" s="37">
        <v>45941</v>
      </c>
      <c r="V30" s="8" t="s">
        <v>117</v>
      </c>
      <c r="W30" s="30"/>
      <c r="X30" s="15"/>
      <c r="Y30" s="15"/>
      <c r="Z30" s="15"/>
    </row>
    <row r="31" customHeight="1" spans="1:26">
      <c r="A31" s="28"/>
      <c r="B31" s="28"/>
      <c r="C31" s="28"/>
      <c r="D31" s="28"/>
      <c r="E31" s="28"/>
      <c r="F31" s="30"/>
      <c r="G31" s="30"/>
      <c r="H31" s="8"/>
      <c r="I31" s="8"/>
      <c r="J31" s="8"/>
      <c r="K31" s="8"/>
      <c r="L31" s="8"/>
      <c r="M31" s="8"/>
      <c r="N31" s="8"/>
      <c r="O31" s="8"/>
      <c r="P31" s="8"/>
      <c r="Q31" s="8"/>
      <c r="R31" s="8"/>
      <c r="S31" s="8"/>
      <c r="T31" s="8"/>
      <c r="U31" s="8"/>
      <c r="V31" s="8"/>
      <c r="W31" s="30"/>
      <c r="X31" s="15"/>
      <c r="Y31" s="15"/>
      <c r="Z31" s="15"/>
    </row>
    <row r="32" customHeight="1" spans="1:26">
      <c r="A32" s="28"/>
      <c r="B32" s="28"/>
      <c r="C32" s="28"/>
      <c r="D32" s="28"/>
      <c r="E32" s="28"/>
      <c r="F32" s="30"/>
      <c r="G32" s="30"/>
      <c r="H32" s="8"/>
      <c r="I32" s="8"/>
      <c r="J32" s="8"/>
      <c r="K32" s="8"/>
      <c r="L32" s="8"/>
      <c r="M32" s="8"/>
      <c r="N32" s="8"/>
      <c r="O32" s="8"/>
      <c r="P32" s="8"/>
      <c r="Q32" s="8"/>
      <c r="R32" s="8"/>
      <c r="S32" s="8"/>
      <c r="T32" s="8"/>
      <c r="U32" s="8"/>
      <c r="V32" s="8"/>
      <c r="W32" s="30"/>
      <c r="X32" s="15"/>
      <c r="Y32" s="15"/>
      <c r="Z32" s="15"/>
    </row>
    <row r="33" customHeight="1" spans="1:26">
      <c r="A33" s="26"/>
      <c r="B33" s="28"/>
      <c r="C33" s="28"/>
      <c r="D33" s="28"/>
      <c r="E33" s="28"/>
      <c r="F33" s="30"/>
      <c r="G33" s="30"/>
      <c r="H33" s="8"/>
      <c r="I33" s="8"/>
      <c r="J33" s="8"/>
      <c r="K33" s="8"/>
      <c r="L33" s="8"/>
      <c r="M33" s="8"/>
      <c r="N33" s="8"/>
      <c r="O33" s="8"/>
      <c r="P33" s="8"/>
      <c r="Q33" s="8"/>
      <c r="R33" s="8"/>
      <c r="S33" s="8"/>
      <c r="T33" s="8"/>
      <c r="U33" s="8"/>
      <c r="V33" s="8"/>
      <c r="W33" s="30"/>
      <c r="X33" s="15"/>
      <c r="Y33" s="15"/>
      <c r="Z33" s="15"/>
    </row>
    <row r="34" customHeight="1" spans="1:26">
      <c r="A34" s="26"/>
      <c r="B34" s="28"/>
      <c r="C34" s="28"/>
      <c r="D34" s="28"/>
      <c r="E34" s="28"/>
      <c r="F34" s="30"/>
      <c r="G34" s="30"/>
      <c r="H34" s="8"/>
      <c r="I34" s="8"/>
      <c r="J34" s="8"/>
      <c r="K34" s="8"/>
      <c r="L34" s="8"/>
      <c r="M34" s="8"/>
      <c r="N34" s="8"/>
      <c r="O34" s="8"/>
      <c r="P34" s="8"/>
      <c r="Q34" s="8"/>
      <c r="R34" s="8"/>
      <c r="S34" s="8"/>
      <c r="T34" s="8"/>
      <c r="U34" s="8"/>
      <c r="V34" s="8"/>
      <c r="W34" s="30"/>
      <c r="X34" s="15"/>
      <c r="Y34" s="15"/>
      <c r="Z34" s="15"/>
    </row>
    <row r="35" customHeight="1" spans="1:26">
      <c r="A35" s="26"/>
      <c r="B35" s="28"/>
      <c r="C35" s="28"/>
      <c r="D35" s="28"/>
      <c r="E35" s="28"/>
      <c r="F35" s="30"/>
      <c r="G35" s="30"/>
      <c r="H35" s="8"/>
      <c r="I35" s="8"/>
      <c r="J35" s="8"/>
      <c r="K35" s="8"/>
      <c r="L35" s="8"/>
      <c r="M35" s="8"/>
      <c r="N35" s="8"/>
      <c r="O35" s="8"/>
      <c r="P35" s="8"/>
      <c r="Q35" s="8"/>
      <c r="R35" s="8"/>
      <c r="S35" s="8"/>
      <c r="T35" s="8"/>
      <c r="U35" s="8"/>
      <c r="V35" s="8"/>
      <c r="W35" s="30"/>
      <c r="X35" s="15"/>
      <c r="Y35" s="15"/>
      <c r="Z35" s="15"/>
    </row>
    <row r="36" customHeight="1" spans="1:26">
      <c r="A36" s="26"/>
      <c r="B36" s="30"/>
      <c r="C36" s="30"/>
      <c r="D36" s="30"/>
      <c r="E36" s="30"/>
      <c r="F36" s="30"/>
      <c r="G36" s="30"/>
      <c r="H36" s="8"/>
      <c r="I36" s="8"/>
      <c r="J36" s="8"/>
      <c r="K36" s="8"/>
      <c r="L36" s="8"/>
      <c r="M36" s="8"/>
      <c r="N36" s="8"/>
      <c r="O36" s="8"/>
      <c r="P36" s="8"/>
      <c r="Q36" s="8"/>
      <c r="R36" s="8"/>
      <c r="S36" s="8"/>
      <c r="T36" s="8"/>
      <c r="U36" s="8"/>
      <c r="V36" s="8"/>
      <c r="W36" s="30"/>
      <c r="X36" s="15"/>
      <c r="Y36" s="15"/>
      <c r="Z36" s="15"/>
    </row>
    <row r="37" customHeight="1" spans="1:26">
      <c r="A37" s="26"/>
      <c r="B37" s="30"/>
      <c r="C37" s="30"/>
      <c r="D37" s="30"/>
      <c r="E37" s="30"/>
      <c r="F37" s="30"/>
      <c r="G37" s="30"/>
      <c r="H37" s="8"/>
      <c r="I37" s="8"/>
      <c r="J37" s="8"/>
      <c r="K37" s="8"/>
      <c r="L37" s="8"/>
      <c r="M37" s="8"/>
      <c r="N37" s="8"/>
      <c r="O37" s="8"/>
      <c r="P37" s="8"/>
      <c r="Q37" s="8"/>
      <c r="R37" s="8"/>
      <c r="S37" s="8"/>
      <c r="T37" s="8"/>
      <c r="U37" s="8"/>
      <c r="V37" s="8"/>
      <c r="W37" s="30"/>
      <c r="X37" s="15"/>
      <c r="Y37" s="15"/>
      <c r="Z37" s="15"/>
    </row>
    <row r="38" customHeight="1" spans="1:26">
      <c r="A38" s="17"/>
      <c r="B38" s="15"/>
      <c r="C38" s="15"/>
      <c r="D38" s="15"/>
      <c r="E38" s="15"/>
      <c r="F38" s="15"/>
      <c r="G38" s="15"/>
      <c r="H38" s="16"/>
      <c r="I38" s="16"/>
      <c r="J38" s="16"/>
      <c r="K38" s="16"/>
      <c r="L38" s="16"/>
      <c r="M38" s="16"/>
      <c r="N38" s="16"/>
      <c r="O38" s="16"/>
      <c r="P38" s="16"/>
      <c r="Q38" s="16"/>
      <c r="R38" s="16"/>
      <c r="S38" s="16"/>
      <c r="T38" s="16"/>
      <c r="U38" s="16"/>
      <c r="V38" s="16"/>
      <c r="W38" s="15"/>
      <c r="X38" s="15"/>
      <c r="Y38" s="15"/>
      <c r="Z38" s="15"/>
    </row>
    <row r="39" customHeight="1" spans="1:26">
      <c r="A39" s="17"/>
      <c r="B39" s="15"/>
      <c r="C39" s="15"/>
      <c r="D39" s="15"/>
      <c r="E39" s="15"/>
      <c r="F39" s="15"/>
      <c r="G39" s="15"/>
      <c r="H39" s="16"/>
      <c r="I39" s="16"/>
      <c r="J39" s="16"/>
      <c r="K39" s="16"/>
      <c r="L39" s="16"/>
      <c r="M39" s="16"/>
      <c r="N39" s="16"/>
      <c r="O39" s="16"/>
      <c r="P39" s="16"/>
      <c r="Q39" s="16"/>
      <c r="R39" s="16"/>
      <c r="S39" s="16"/>
      <c r="T39" s="16"/>
      <c r="U39" s="16"/>
      <c r="V39" s="16"/>
      <c r="W39" s="15"/>
      <c r="X39" s="15"/>
      <c r="Y39" s="15"/>
      <c r="Z39" s="15"/>
    </row>
    <row r="40" customHeight="1" spans="1:26">
      <c r="A40" s="17"/>
      <c r="B40" s="15"/>
      <c r="C40" s="15"/>
      <c r="D40" s="15"/>
      <c r="E40" s="15"/>
      <c r="F40" s="15"/>
      <c r="G40" s="15"/>
      <c r="H40" s="16"/>
      <c r="I40" s="16"/>
      <c r="J40" s="16"/>
      <c r="K40" s="16"/>
      <c r="L40" s="16"/>
      <c r="M40" s="16"/>
      <c r="N40" s="16"/>
      <c r="O40" s="16"/>
      <c r="P40" s="16"/>
      <c r="Q40" s="16"/>
      <c r="R40" s="16"/>
      <c r="S40" s="16"/>
      <c r="T40" s="16"/>
      <c r="U40" s="16"/>
      <c r="V40" s="16"/>
      <c r="W40" s="15"/>
      <c r="X40" s="15"/>
      <c r="Y40" s="15"/>
      <c r="Z40" s="15"/>
    </row>
    <row r="41" customHeight="1" spans="1:26">
      <c r="A41" s="17"/>
      <c r="B41" s="15"/>
      <c r="C41" s="15"/>
      <c r="D41" s="15"/>
      <c r="E41" s="15"/>
      <c r="F41" s="15"/>
      <c r="G41" s="15"/>
      <c r="H41" s="16"/>
      <c r="I41" s="16"/>
      <c r="J41" s="16"/>
      <c r="K41" s="16"/>
      <c r="L41" s="16"/>
      <c r="M41" s="16"/>
      <c r="N41" s="16"/>
      <c r="O41" s="16"/>
      <c r="P41" s="16"/>
      <c r="Q41" s="16"/>
      <c r="R41" s="16"/>
      <c r="S41" s="16"/>
      <c r="T41" s="16"/>
      <c r="U41" s="16"/>
      <c r="V41" s="16"/>
      <c r="W41" s="15"/>
      <c r="X41" s="15"/>
      <c r="Y41" s="15"/>
      <c r="Z41" s="15"/>
    </row>
    <row r="42" customHeight="1" spans="1:26">
      <c r="A42" s="17"/>
      <c r="B42" s="15"/>
      <c r="C42" s="15"/>
      <c r="D42" s="15"/>
      <c r="E42" s="15"/>
      <c r="F42" s="15"/>
      <c r="G42" s="15"/>
      <c r="H42" s="16"/>
      <c r="I42" s="16"/>
      <c r="J42" s="16"/>
      <c r="K42" s="16"/>
      <c r="L42" s="16"/>
      <c r="M42" s="16"/>
      <c r="N42" s="16"/>
      <c r="O42" s="16"/>
      <c r="P42" s="16"/>
      <c r="Q42" s="16"/>
      <c r="R42" s="16"/>
      <c r="S42" s="16"/>
      <c r="T42" s="16"/>
      <c r="U42" s="16"/>
      <c r="V42" s="16"/>
      <c r="W42" s="15"/>
      <c r="X42" s="15"/>
      <c r="Y42" s="15"/>
      <c r="Z42" s="15"/>
    </row>
    <row r="43" customHeight="1" spans="1:26">
      <c r="A43" s="17"/>
      <c r="B43" s="15"/>
      <c r="C43" s="15"/>
      <c r="D43" s="15"/>
      <c r="E43" s="15"/>
      <c r="F43" s="15"/>
      <c r="G43" s="15"/>
      <c r="H43" s="16"/>
      <c r="I43" s="16"/>
      <c r="J43" s="16"/>
      <c r="K43" s="16"/>
      <c r="L43" s="16"/>
      <c r="M43" s="16"/>
      <c r="N43" s="16"/>
      <c r="O43" s="16"/>
      <c r="P43" s="16"/>
      <c r="Q43" s="16"/>
      <c r="R43" s="16"/>
      <c r="S43" s="16"/>
      <c r="T43" s="16"/>
      <c r="U43" s="16"/>
      <c r="V43" s="16"/>
      <c r="W43" s="15"/>
      <c r="X43" s="15"/>
      <c r="Y43" s="15"/>
      <c r="Z43" s="15"/>
    </row>
    <row r="44" customHeight="1" spans="1:26">
      <c r="A44" s="17"/>
      <c r="B44" s="15"/>
      <c r="C44" s="15"/>
      <c r="D44" s="15"/>
      <c r="E44" s="15"/>
      <c r="F44" s="15"/>
      <c r="G44" s="15"/>
      <c r="H44" s="16"/>
      <c r="I44" s="16"/>
      <c r="J44" s="16"/>
      <c r="K44" s="16"/>
      <c r="L44" s="16"/>
      <c r="M44" s="16"/>
      <c r="N44" s="16"/>
      <c r="O44" s="16"/>
      <c r="P44" s="16"/>
      <c r="Q44" s="16"/>
      <c r="R44" s="16"/>
      <c r="S44" s="16"/>
      <c r="T44" s="16"/>
      <c r="U44" s="16"/>
      <c r="V44" s="16"/>
      <c r="W44" s="15"/>
      <c r="X44" s="15"/>
      <c r="Y44" s="15"/>
      <c r="Z44" s="15"/>
    </row>
    <row r="45" customHeight="1" spans="1:26">
      <c r="A45" s="17"/>
      <c r="B45" s="15"/>
      <c r="C45" s="15"/>
      <c r="D45" s="15"/>
      <c r="E45" s="15"/>
      <c r="F45" s="15"/>
      <c r="G45" s="15"/>
      <c r="H45" s="16"/>
      <c r="I45" s="16"/>
      <c r="J45" s="16"/>
      <c r="K45" s="16"/>
      <c r="L45" s="16"/>
      <c r="M45" s="16"/>
      <c r="N45" s="16"/>
      <c r="O45" s="16"/>
      <c r="P45" s="16"/>
      <c r="Q45" s="16"/>
      <c r="R45" s="16"/>
      <c r="S45" s="16"/>
      <c r="T45" s="16"/>
      <c r="U45" s="16"/>
      <c r="V45" s="16"/>
      <c r="W45" s="15"/>
      <c r="X45" s="15"/>
      <c r="Y45" s="15"/>
      <c r="Z45" s="15"/>
    </row>
    <row r="46" customHeight="1" spans="1:26">
      <c r="A46" s="17"/>
      <c r="B46" s="15"/>
      <c r="C46" s="15"/>
      <c r="D46" s="15"/>
      <c r="E46" s="15"/>
      <c r="F46" s="15"/>
      <c r="G46" s="15"/>
      <c r="H46" s="16"/>
      <c r="I46" s="16"/>
      <c r="J46" s="16"/>
      <c r="K46" s="16"/>
      <c r="L46" s="16"/>
      <c r="M46" s="16"/>
      <c r="N46" s="16"/>
      <c r="O46" s="16"/>
      <c r="P46" s="16"/>
      <c r="Q46" s="16"/>
      <c r="R46" s="16"/>
      <c r="S46" s="16"/>
      <c r="T46" s="16"/>
      <c r="U46" s="16"/>
      <c r="V46" s="16"/>
      <c r="W46" s="15"/>
      <c r="X46" s="15"/>
      <c r="Y46" s="15"/>
      <c r="Z46" s="15"/>
    </row>
    <row r="47" customHeight="1" spans="1:26">
      <c r="A47" s="17"/>
      <c r="B47" s="15"/>
      <c r="C47" s="15"/>
      <c r="D47" s="15"/>
      <c r="E47" s="15"/>
      <c r="F47" s="15"/>
      <c r="G47" s="15"/>
      <c r="H47" s="16"/>
      <c r="I47" s="16"/>
      <c r="J47" s="16"/>
      <c r="K47" s="16"/>
      <c r="L47" s="16"/>
      <c r="M47" s="16"/>
      <c r="N47" s="16"/>
      <c r="O47" s="16"/>
      <c r="P47" s="16"/>
      <c r="Q47" s="16"/>
      <c r="R47" s="16"/>
      <c r="S47" s="16"/>
      <c r="T47" s="16"/>
      <c r="U47" s="16"/>
      <c r="V47" s="16"/>
      <c r="W47" s="15"/>
      <c r="X47" s="15"/>
      <c r="Y47" s="15"/>
      <c r="Z47" s="15"/>
    </row>
    <row r="48" customHeight="1" spans="1:26">
      <c r="A48" s="17"/>
      <c r="B48" s="15"/>
      <c r="C48" s="15"/>
      <c r="D48" s="15"/>
      <c r="E48" s="15"/>
      <c r="F48" s="15"/>
      <c r="G48" s="15"/>
      <c r="H48" s="16"/>
      <c r="I48" s="16"/>
      <c r="J48" s="16"/>
      <c r="K48" s="16"/>
      <c r="L48" s="16"/>
      <c r="M48" s="16"/>
      <c r="N48" s="16"/>
      <c r="O48" s="16"/>
      <c r="P48" s="16"/>
      <c r="Q48" s="16"/>
      <c r="R48" s="16"/>
      <c r="S48" s="16"/>
      <c r="T48" s="16"/>
      <c r="U48" s="16"/>
      <c r="V48" s="16"/>
      <c r="W48" s="15"/>
      <c r="X48" s="15"/>
      <c r="Y48" s="15"/>
      <c r="Z48" s="15"/>
    </row>
    <row r="49" customHeight="1" spans="1:26">
      <c r="A49" s="17"/>
      <c r="B49" s="15"/>
      <c r="C49" s="15"/>
      <c r="D49" s="15"/>
      <c r="E49" s="15"/>
      <c r="F49" s="15"/>
      <c r="G49" s="15"/>
      <c r="H49" s="16"/>
      <c r="I49" s="16"/>
      <c r="J49" s="16"/>
      <c r="K49" s="16"/>
      <c r="L49" s="16"/>
      <c r="M49" s="16"/>
      <c r="N49" s="16"/>
      <c r="O49" s="16"/>
      <c r="P49" s="16"/>
      <c r="Q49" s="16"/>
      <c r="R49" s="16"/>
      <c r="S49" s="16"/>
      <c r="T49" s="16"/>
      <c r="U49" s="16"/>
      <c r="V49" s="16"/>
      <c r="W49" s="15"/>
      <c r="X49" s="15"/>
      <c r="Y49" s="15"/>
      <c r="Z49" s="15"/>
    </row>
    <row r="50" customHeight="1" spans="1:26">
      <c r="A50" s="17"/>
      <c r="B50" s="15"/>
      <c r="C50" s="15"/>
      <c r="D50" s="15"/>
      <c r="E50" s="15"/>
      <c r="F50" s="15"/>
      <c r="G50" s="15"/>
      <c r="H50" s="16"/>
      <c r="I50" s="16"/>
      <c r="J50" s="16"/>
      <c r="K50" s="16"/>
      <c r="L50" s="16"/>
      <c r="M50" s="16"/>
      <c r="N50" s="16"/>
      <c r="O50" s="16"/>
      <c r="P50" s="16"/>
      <c r="Q50" s="16"/>
      <c r="R50" s="16"/>
      <c r="S50" s="16"/>
      <c r="T50" s="16"/>
      <c r="U50" s="16"/>
      <c r="V50" s="16"/>
      <c r="W50" s="15"/>
      <c r="X50" s="15"/>
      <c r="Y50" s="15"/>
      <c r="Z50" s="15"/>
    </row>
    <row r="51" customHeight="1" spans="1:26">
      <c r="A51" s="17"/>
      <c r="B51" s="15"/>
      <c r="C51" s="15"/>
      <c r="D51" s="15"/>
      <c r="E51" s="15"/>
      <c r="F51" s="15"/>
      <c r="G51" s="15"/>
      <c r="H51" s="16"/>
      <c r="I51" s="16"/>
      <c r="J51" s="16"/>
      <c r="K51" s="16"/>
      <c r="L51" s="16"/>
      <c r="M51" s="16"/>
      <c r="N51" s="16"/>
      <c r="O51" s="16"/>
      <c r="P51" s="16"/>
      <c r="Q51" s="16"/>
      <c r="R51" s="16"/>
      <c r="S51" s="16"/>
      <c r="T51" s="16"/>
      <c r="U51" s="16"/>
      <c r="V51" s="16"/>
      <c r="W51" s="15"/>
      <c r="X51" s="15"/>
      <c r="Y51" s="15"/>
      <c r="Z51" s="15"/>
    </row>
    <row r="52" customHeight="1" spans="1:26">
      <c r="A52" s="17"/>
      <c r="B52" s="15"/>
      <c r="C52" s="15"/>
      <c r="D52" s="15"/>
      <c r="E52" s="15"/>
      <c r="F52" s="15"/>
      <c r="G52" s="15"/>
      <c r="H52" s="16"/>
      <c r="I52" s="16"/>
      <c r="J52" s="16"/>
      <c r="K52" s="16"/>
      <c r="L52" s="16"/>
      <c r="M52" s="16"/>
      <c r="N52" s="16"/>
      <c r="O52" s="16"/>
      <c r="P52" s="16"/>
      <c r="Q52" s="16"/>
      <c r="R52" s="16"/>
      <c r="S52" s="16"/>
      <c r="T52" s="16"/>
      <c r="U52" s="16"/>
      <c r="V52" s="16"/>
      <c r="W52" s="15"/>
      <c r="X52" s="15"/>
      <c r="Y52" s="15"/>
      <c r="Z52" s="15"/>
    </row>
    <row r="53" customHeight="1" spans="1:26">
      <c r="A53" s="17"/>
      <c r="B53" s="15"/>
      <c r="C53" s="15"/>
      <c r="D53" s="15"/>
      <c r="E53" s="15"/>
      <c r="F53" s="15"/>
      <c r="G53" s="15"/>
      <c r="H53" s="16"/>
      <c r="I53" s="16"/>
      <c r="J53" s="16"/>
      <c r="K53" s="16"/>
      <c r="L53" s="16"/>
      <c r="M53" s="16"/>
      <c r="N53" s="16"/>
      <c r="O53" s="16"/>
      <c r="P53" s="16"/>
      <c r="Q53" s="16"/>
      <c r="R53" s="16"/>
      <c r="S53" s="16"/>
      <c r="T53" s="16"/>
      <c r="U53" s="16"/>
      <c r="V53" s="16"/>
      <c r="W53" s="15"/>
      <c r="X53" s="15"/>
      <c r="Y53" s="15"/>
      <c r="Z53" s="15"/>
    </row>
    <row r="54" customHeight="1" spans="1:26">
      <c r="A54" s="17"/>
      <c r="B54" s="15"/>
      <c r="C54" s="15"/>
      <c r="D54" s="15"/>
      <c r="E54" s="15"/>
      <c r="F54" s="15"/>
      <c r="G54" s="15"/>
      <c r="H54" s="16"/>
      <c r="I54" s="16"/>
      <c r="J54" s="16"/>
      <c r="K54" s="16"/>
      <c r="L54" s="16"/>
      <c r="M54" s="16"/>
      <c r="N54" s="16"/>
      <c r="O54" s="16"/>
      <c r="P54" s="16"/>
      <c r="Q54" s="16"/>
      <c r="R54" s="16"/>
      <c r="S54" s="16"/>
      <c r="T54" s="16"/>
      <c r="U54" s="16"/>
      <c r="V54" s="16"/>
      <c r="W54" s="15"/>
      <c r="X54" s="15"/>
      <c r="Y54" s="15"/>
      <c r="Z54" s="15"/>
    </row>
    <row r="55" customHeight="1" spans="1:26">
      <c r="A55" s="17"/>
      <c r="B55" s="15"/>
      <c r="C55" s="15"/>
      <c r="D55" s="15"/>
      <c r="E55" s="15"/>
      <c r="F55" s="15"/>
      <c r="G55" s="15"/>
      <c r="H55" s="16"/>
      <c r="I55" s="16"/>
      <c r="J55" s="16"/>
      <c r="K55" s="16"/>
      <c r="L55" s="16"/>
      <c r="M55" s="16"/>
      <c r="N55" s="16"/>
      <c r="O55" s="16"/>
      <c r="P55" s="16"/>
      <c r="Q55" s="16"/>
      <c r="R55" s="16"/>
      <c r="S55" s="16"/>
      <c r="T55" s="16"/>
      <c r="U55" s="16"/>
      <c r="V55" s="16"/>
      <c r="W55" s="15"/>
      <c r="X55" s="15"/>
      <c r="Y55" s="15"/>
      <c r="Z55" s="15"/>
    </row>
    <row r="56" customHeight="1" spans="1:26">
      <c r="A56" s="17"/>
      <c r="B56" s="15"/>
      <c r="C56" s="15"/>
      <c r="D56" s="15"/>
      <c r="E56" s="15"/>
      <c r="F56" s="15"/>
      <c r="G56" s="15"/>
      <c r="H56" s="16"/>
      <c r="I56" s="16"/>
      <c r="J56" s="16"/>
      <c r="K56" s="16"/>
      <c r="L56" s="16"/>
      <c r="M56" s="16"/>
      <c r="N56" s="16"/>
      <c r="O56" s="16"/>
      <c r="P56" s="16"/>
      <c r="Q56" s="16"/>
      <c r="R56" s="16"/>
      <c r="S56" s="16"/>
      <c r="T56" s="16"/>
      <c r="U56" s="16"/>
      <c r="V56" s="16"/>
      <c r="W56" s="15"/>
      <c r="X56" s="15"/>
      <c r="Y56" s="15"/>
      <c r="Z56" s="15"/>
    </row>
    <row r="57" customHeight="1" spans="1:26">
      <c r="A57" s="17"/>
      <c r="B57" s="15"/>
      <c r="C57" s="15"/>
      <c r="D57" s="15"/>
      <c r="E57" s="15"/>
      <c r="F57" s="15"/>
      <c r="G57" s="15"/>
      <c r="H57" s="16"/>
      <c r="I57" s="16"/>
      <c r="J57" s="16"/>
      <c r="K57" s="16"/>
      <c r="L57" s="16"/>
      <c r="M57" s="16"/>
      <c r="N57" s="16"/>
      <c r="O57" s="16"/>
      <c r="P57" s="16"/>
      <c r="Q57" s="16"/>
      <c r="R57" s="16"/>
      <c r="S57" s="16"/>
      <c r="T57" s="16"/>
      <c r="U57" s="16"/>
      <c r="V57" s="16"/>
      <c r="W57" s="15"/>
      <c r="X57" s="15"/>
      <c r="Y57" s="15"/>
      <c r="Z57" s="15"/>
    </row>
    <row r="58" customHeight="1" spans="1:26">
      <c r="A58" s="17"/>
      <c r="B58" s="15"/>
      <c r="C58" s="15"/>
      <c r="D58" s="15"/>
      <c r="E58" s="15"/>
      <c r="F58" s="15"/>
      <c r="G58" s="15"/>
      <c r="H58" s="16"/>
      <c r="I58" s="16"/>
      <c r="J58" s="16"/>
      <c r="K58" s="16"/>
      <c r="L58" s="16"/>
      <c r="M58" s="16"/>
      <c r="N58" s="16"/>
      <c r="O58" s="16"/>
      <c r="P58" s="16"/>
      <c r="Q58" s="16"/>
      <c r="R58" s="16"/>
      <c r="S58" s="16"/>
      <c r="T58" s="16"/>
      <c r="U58" s="16"/>
      <c r="V58" s="16"/>
      <c r="W58" s="15"/>
      <c r="X58" s="15"/>
      <c r="Y58" s="15"/>
      <c r="Z58" s="15"/>
    </row>
    <row r="59" customHeight="1" spans="1:26">
      <c r="A59" s="17"/>
      <c r="B59" s="15"/>
      <c r="C59" s="15"/>
      <c r="D59" s="15"/>
      <c r="E59" s="15"/>
      <c r="F59" s="15"/>
      <c r="G59" s="15"/>
      <c r="H59" s="16"/>
      <c r="I59" s="16"/>
      <c r="J59" s="16"/>
      <c r="K59" s="16"/>
      <c r="L59" s="16"/>
      <c r="M59" s="16"/>
      <c r="N59" s="16"/>
      <c r="O59" s="16"/>
      <c r="P59" s="16"/>
      <c r="Q59" s="16"/>
      <c r="R59" s="16"/>
      <c r="S59" s="16"/>
      <c r="T59" s="16"/>
      <c r="U59" s="16"/>
      <c r="V59" s="16"/>
      <c r="W59" s="15"/>
      <c r="X59" s="15"/>
      <c r="Y59" s="15"/>
      <c r="Z59" s="15"/>
    </row>
    <row r="60" customHeight="1" spans="1:26">
      <c r="A60" s="17"/>
      <c r="B60" s="15"/>
      <c r="C60" s="15"/>
      <c r="D60" s="15"/>
      <c r="E60" s="15"/>
      <c r="F60" s="15"/>
      <c r="G60" s="15"/>
      <c r="H60" s="16"/>
      <c r="I60" s="16"/>
      <c r="J60" s="16"/>
      <c r="K60" s="16"/>
      <c r="L60" s="16"/>
      <c r="M60" s="16"/>
      <c r="N60" s="16"/>
      <c r="O60" s="16"/>
      <c r="P60" s="16"/>
      <c r="Q60" s="16"/>
      <c r="R60" s="16"/>
      <c r="S60" s="16"/>
      <c r="T60" s="16"/>
      <c r="U60" s="16"/>
      <c r="V60" s="16"/>
      <c r="W60" s="15"/>
      <c r="X60" s="15"/>
      <c r="Y60" s="15"/>
      <c r="Z60" s="15"/>
    </row>
    <row r="61" customHeight="1" spans="1:26">
      <c r="A61" s="17"/>
      <c r="B61" s="15"/>
      <c r="C61" s="15"/>
      <c r="D61" s="15"/>
      <c r="E61" s="15"/>
      <c r="F61" s="15"/>
      <c r="G61" s="15"/>
      <c r="H61" s="16"/>
      <c r="I61" s="16"/>
      <c r="J61" s="16"/>
      <c r="K61" s="16"/>
      <c r="L61" s="16"/>
      <c r="M61" s="16"/>
      <c r="N61" s="16"/>
      <c r="O61" s="16"/>
      <c r="P61" s="16"/>
      <c r="Q61" s="16"/>
      <c r="R61" s="16"/>
      <c r="S61" s="16"/>
      <c r="T61" s="16"/>
      <c r="U61" s="16"/>
      <c r="V61" s="16"/>
      <c r="W61" s="15"/>
      <c r="X61" s="15"/>
      <c r="Y61" s="15"/>
      <c r="Z61" s="15"/>
    </row>
    <row r="62" customHeight="1" spans="1:26">
      <c r="A62" s="17"/>
      <c r="B62" s="15"/>
      <c r="C62" s="15"/>
      <c r="D62" s="15"/>
      <c r="E62" s="15"/>
      <c r="F62" s="15"/>
      <c r="G62" s="15"/>
      <c r="H62" s="16"/>
      <c r="I62" s="16"/>
      <c r="J62" s="16"/>
      <c r="K62" s="16"/>
      <c r="L62" s="16"/>
      <c r="M62" s="16"/>
      <c r="N62" s="16"/>
      <c r="O62" s="16"/>
      <c r="P62" s="16"/>
      <c r="Q62" s="16"/>
      <c r="R62" s="16"/>
      <c r="S62" s="16"/>
      <c r="T62" s="16"/>
      <c r="U62" s="16"/>
      <c r="V62" s="16"/>
      <c r="W62" s="15"/>
      <c r="X62" s="15"/>
      <c r="Y62" s="15"/>
      <c r="Z62" s="15"/>
    </row>
    <row r="63" customHeight="1" spans="1:26">
      <c r="A63" s="17"/>
      <c r="B63" s="15"/>
      <c r="C63" s="15"/>
      <c r="D63" s="15"/>
      <c r="E63" s="15"/>
      <c r="F63" s="15"/>
      <c r="G63" s="15"/>
      <c r="H63" s="16"/>
      <c r="I63" s="16"/>
      <c r="J63" s="16"/>
      <c r="K63" s="16"/>
      <c r="L63" s="16"/>
      <c r="M63" s="16"/>
      <c r="N63" s="16"/>
      <c r="O63" s="16"/>
      <c r="P63" s="16"/>
      <c r="Q63" s="16"/>
      <c r="R63" s="16"/>
      <c r="S63" s="16"/>
      <c r="T63" s="16"/>
      <c r="U63" s="16"/>
      <c r="V63" s="16"/>
      <c r="W63" s="15"/>
      <c r="X63" s="15"/>
      <c r="Y63" s="15"/>
      <c r="Z63" s="15"/>
    </row>
    <row r="64" customHeight="1" spans="1:26">
      <c r="A64" s="17"/>
      <c r="B64" s="15"/>
      <c r="C64" s="15"/>
      <c r="D64" s="15"/>
      <c r="E64" s="15"/>
      <c r="F64" s="15"/>
      <c r="G64" s="15"/>
      <c r="H64" s="16"/>
      <c r="I64" s="16"/>
      <c r="J64" s="16"/>
      <c r="K64" s="16"/>
      <c r="L64" s="16"/>
      <c r="M64" s="16"/>
      <c r="N64" s="16"/>
      <c r="O64" s="16"/>
      <c r="P64" s="16"/>
      <c r="Q64" s="16"/>
      <c r="R64" s="16"/>
      <c r="S64" s="16"/>
      <c r="T64" s="16"/>
      <c r="U64" s="16"/>
      <c r="V64" s="16"/>
      <c r="W64" s="15"/>
      <c r="X64" s="15"/>
      <c r="Y64" s="15"/>
      <c r="Z64" s="15"/>
    </row>
    <row r="65" customHeight="1" spans="1:26">
      <c r="A65" s="17"/>
      <c r="B65" s="15"/>
      <c r="C65" s="15"/>
      <c r="D65" s="15"/>
      <c r="E65" s="15"/>
      <c r="F65" s="15"/>
      <c r="G65" s="15"/>
      <c r="H65" s="16"/>
      <c r="I65" s="16"/>
      <c r="J65" s="16"/>
      <c r="K65" s="16"/>
      <c r="L65" s="16"/>
      <c r="M65" s="16"/>
      <c r="N65" s="16"/>
      <c r="O65" s="16"/>
      <c r="P65" s="16"/>
      <c r="Q65" s="16"/>
      <c r="R65" s="16"/>
      <c r="S65" s="16"/>
      <c r="T65" s="16"/>
      <c r="U65" s="16"/>
      <c r="V65" s="16"/>
      <c r="W65" s="15"/>
      <c r="X65" s="15"/>
      <c r="Y65" s="15"/>
      <c r="Z65" s="15"/>
    </row>
    <row r="66" customHeight="1" spans="1:26">
      <c r="A66" s="17"/>
      <c r="B66" s="15"/>
      <c r="C66" s="15"/>
      <c r="D66" s="15"/>
      <c r="E66" s="15"/>
      <c r="F66" s="15"/>
      <c r="G66" s="15"/>
      <c r="H66" s="16"/>
      <c r="I66" s="16"/>
      <c r="J66" s="16"/>
      <c r="K66" s="16"/>
      <c r="L66" s="16"/>
      <c r="M66" s="16"/>
      <c r="N66" s="16"/>
      <c r="O66" s="16"/>
      <c r="P66" s="16"/>
      <c r="Q66" s="16"/>
      <c r="R66" s="16"/>
      <c r="S66" s="16"/>
      <c r="T66" s="16"/>
      <c r="U66" s="16"/>
      <c r="V66" s="16"/>
      <c r="W66" s="15"/>
      <c r="X66" s="15"/>
      <c r="Y66" s="15"/>
      <c r="Z66" s="15"/>
    </row>
    <row r="67" customHeight="1" spans="1:26">
      <c r="A67" s="17"/>
      <c r="B67" s="15"/>
      <c r="C67" s="15"/>
      <c r="D67" s="15"/>
      <c r="E67" s="15"/>
      <c r="F67" s="15"/>
      <c r="G67" s="15"/>
      <c r="H67" s="16"/>
      <c r="I67" s="16"/>
      <c r="J67" s="16"/>
      <c r="K67" s="16"/>
      <c r="L67" s="16"/>
      <c r="M67" s="16"/>
      <c r="N67" s="16"/>
      <c r="O67" s="16"/>
      <c r="P67" s="16"/>
      <c r="Q67" s="16"/>
      <c r="R67" s="16"/>
      <c r="S67" s="16"/>
      <c r="T67" s="16"/>
      <c r="U67" s="16"/>
      <c r="V67" s="16"/>
      <c r="W67" s="15"/>
      <c r="X67" s="15"/>
      <c r="Y67" s="15"/>
      <c r="Z67" s="15"/>
    </row>
    <row r="68" customHeight="1" spans="1:26">
      <c r="A68" s="17"/>
      <c r="B68" s="15"/>
      <c r="C68" s="15"/>
      <c r="D68" s="15"/>
      <c r="E68" s="15"/>
      <c r="F68" s="15"/>
      <c r="G68" s="15"/>
      <c r="H68" s="16"/>
      <c r="I68" s="16"/>
      <c r="J68" s="16"/>
      <c r="K68" s="16"/>
      <c r="L68" s="16"/>
      <c r="M68" s="16"/>
      <c r="N68" s="16"/>
      <c r="O68" s="16"/>
      <c r="P68" s="16"/>
      <c r="Q68" s="16"/>
      <c r="R68" s="16"/>
      <c r="S68" s="16"/>
      <c r="T68" s="16"/>
      <c r="U68" s="16"/>
      <c r="V68" s="16"/>
      <c r="W68" s="15"/>
      <c r="X68" s="15"/>
      <c r="Y68" s="15"/>
      <c r="Z68" s="15"/>
    </row>
    <row r="69" customHeight="1" spans="1:26">
      <c r="A69" s="17"/>
      <c r="B69" s="15"/>
      <c r="C69" s="15"/>
      <c r="D69" s="15"/>
      <c r="E69" s="15"/>
      <c r="F69" s="15"/>
      <c r="G69" s="15"/>
      <c r="H69" s="16"/>
      <c r="I69" s="16"/>
      <c r="J69" s="16"/>
      <c r="K69" s="16"/>
      <c r="L69" s="16"/>
      <c r="M69" s="16"/>
      <c r="N69" s="16"/>
      <c r="O69" s="16"/>
      <c r="P69" s="16"/>
      <c r="Q69" s="16"/>
      <c r="R69" s="16"/>
      <c r="S69" s="16"/>
      <c r="T69" s="16"/>
      <c r="U69" s="16"/>
      <c r="V69" s="16"/>
      <c r="W69" s="15"/>
      <c r="X69" s="15"/>
      <c r="Y69" s="15"/>
      <c r="Z69" s="15"/>
    </row>
    <row r="70" customHeight="1" spans="1:26">
      <c r="A70" s="17"/>
      <c r="B70" s="15"/>
      <c r="C70" s="15"/>
      <c r="D70" s="15"/>
      <c r="E70" s="15"/>
      <c r="F70" s="15"/>
      <c r="G70" s="15"/>
      <c r="H70" s="16"/>
      <c r="I70" s="16"/>
      <c r="J70" s="16"/>
      <c r="K70" s="16"/>
      <c r="L70" s="16"/>
      <c r="M70" s="16"/>
      <c r="N70" s="16"/>
      <c r="O70" s="16"/>
      <c r="P70" s="16"/>
      <c r="Q70" s="16"/>
      <c r="R70" s="16"/>
      <c r="S70" s="16"/>
      <c r="T70" s="16"/>
      <c r="U70" s="16"/>
      <c r="V70" s="16"/>
      <c r="W70" s="15"/>
      <c r="X70" s="15"/>
      <c r="Y70" s="15"/>
      <c r="Z70" s="15"/>
    </row>
    <row r="71" customHeight="1" spans="1:26">
      <c r="A71" s="17"/>
      <c r="B71" s="15"/>
      <c r="C71" s="15"/>
      <c r="D71" s="15"/>
      <c r="E71" s="15"/>
      <c r="F71" s="15"/>
      <c r="G71" s="15"/>
      <c r="H71" s="16"/>
      <c r="I71" s="16"/>
      <c r="J71" s="16"/>
      <c r="K71" s="16"/>
      <c r="L71" s="16"/>
      <c r="M71" s="16"/>
      <c r="N71" s="16"/>
      <c r="O71" s="16"/>
      <c r="P71" s="16"/>
      <c r="Q71" s="16"/>
      <c r="R71" s="16"/>
      <c r="S71" s="16"/>
      <c r="T71" s="16"/>
      <c r="U71" s="16"/>
      <c r="V71" s="16"/>
      <c r="W71" s="15"/>
      <c r="X71" s="15"/>
      <c r="Y71" s="15"/>
      <c r="Z71" s="15"/>
    </row>
    <row r="72" customHeight="1" spans="1:26">
      <c r="A72" s="17"/>
      <c r="B72" s="15"/>
      <c r="C72" s="15"/>
      <c r="D72" s="15"/>
      <c r="E72" s="15"/>
      <c r="F72" s="15"/>
      <c r="G72" s="15"/>
      <c r="H72" s="16"/>
      <c r="I72" s="16"/>
      <c r="J72" s="16"/>
      <c r="K72" s="16"/>
      <c r="L72" s="16"/>
      <c r="M72" s="16"/>
      <c r="N72" s="16"/>
      <c r="O72" s="16"/>
      <c r="P72" s="16"/>
      <c r="Q72" s="16"/>
      <c r="R72" s="16"/>
      <c r="S72" s="16"/>
      <c r="T72" s="16"/>
      <c r="U72" s="16"/>
      <c r="V72" s="16"/>
      <c r="W72" s="15"/>
      <c r="X72" s="15"/>
      <c r="Y72" s="15"/>
      <c r="Z72" s="15"/>
    </row>
    <row r="73" customHeight="1" spans="1:26">
      <c r="A73" s="17"/>
      <c r="B73" s="15"/>
      <c r="C73" s="15"/>
      <c r="D73" s="15"/>
      <c r="E73" s="15"/>
      <c r="F73" s="15"/>
      <c r="G73" s="15"/>
      <c r="H73" s="16"/>
      <c r="I73" s="16"/>
      <c r="J73" s="16"/>
      <c r="K73" s="16"/>
      <c r="L73" s="16"/>
      <c r="M73" s="16"/>
      <c r="N73" s="16"/>
      <c r="O73" s="16"/>
      <c r="P73" s="16"/>
      <c r="Q73" s="16"/>
      <c r="R73" s="16"/>
      <c r="S73" s="16"/>
      <c r="T73" s="16"/>
      <c r="U73" s="16"/>
      <c r="V73" s="16"/>
      <c r="W73" s="15"/>
      <c r="X73" s="15"/>
      <c r="Y73" s="15"/>
      <c r="Z73" s="15"/>
    </row>
    <row r="74" customHeight="1" spans="1:26">
      <c r="A74" s="17"/>
      <c r="B74" s="15"/>
      <c r="C74" s="15"/>
      <c r="D74" s="15"/>
      <c r="E74" s="15"/>
      <c r="F74" s="15"/>
      <c r="G74" s="15"/>
      <c r="H74" s="16"/>
      <c r="I74" s="16"/>
      <c r="J74" s="16"/>
      <c r="K74" s="16"/>
      <c r="L74" s="16"/>
      <c r="M74" s="16"/>
      <c r="N74" s="16"/>
      <c r="O74" s="16"/>
      <c r="P74" s="16"/>
      <c r="Q74" s="16"/>
      <c r="R74" s="16"/>
      <c r="S74" s="16"/>
      <c r="T74" s="16"/>
      <c r="U74" s="16"/>
      <c r="V74" s="16"/>
      <c r="W74" s="15"/>
      <c r="X74" s="15"/>
      <c r="Y74" s="15"/>
      <c r="Z74" s="15"/>
    </row>
    <row r="75" customHeight="1" spans="1:26">
      <c r="A75" s="17"/>
      <c r="B75" s="15"/>
      <c r="C75" s="15"/>
      <c r="D75" s="15"/>
      <c r="E75" s="15"/>
      <c r="F75" s="15"/>
      <c r="G75" s="15"/>
      <c r="H75" s="16"/>
      <c r="I75" s="16"/>
      <c r="J75" s="16"/>
      <c r="K75" s="16"/>
      <c r="L75" s="16"/>
      <c r="M75" s="16"/>
      <c r="N75" s="16"/>
      <c r="O75" s="16"/>
      <c r="P75" s="16"/>
      <c r="Q75" s="16"/>
      <c r="R75" s="16"/>
      <c r="S75" s="16"/>
      <c r="T75" s="16"/>
      <c r="U75" s="16"/>
      <c r="V75" s="16"/>
      <c r="W75" s="15"/>
      <c r="X75" s="15"/>
      <c r="Y75" s="15"/>
      <c r="Z75" s="15"/>
    </row>
    <row r="76" customHeight="1" spans="1:26">
      <c r="A76" s="17"/>
      <c r="B76" s="15"/>
      <c r="C76" s="15"/>
      <c r="D76" s="15"/>
      <c r="E76" s="15"/>
      <c r="F76" s="15"/>
      <c r="G76" s="15"/>
      <c r="H76" s="16"/>
      <c r="I76" s="16"/>
      <c r="J76" s="16"/>
      <c r="K76" s="16"/>
      <c r="L76" s="16"/>
      <c r="M76" s="16"/>
      <c r="N76" s="16"/>
      <c r="O76" s="16"/>
      <c r="P76" s="16"/>
      <c r="Q76" s="16"/>
      <c r="R76" s="16"/>
      <c r="S76" s="16"/>
      <c r="T76" s="16"/>
      <c r="U76" s="16"/>
      <c r="V76" s="16"/>
      <c r="W76" s="15"/>
      <c r="X76" s="15"/>
      <c r="Y76" s="15"/>
      <c r="Z76" s="15"/>
    </row>
    <row r="77" customHeight="1" spans="1:26">
      <c r="A77" s="17"/>
      <c r="B77" s="15"/>
      <c r="C77" s="15"/>
      <c r="D77" s="15"/>
      <c r="E77" s="15"/>
      <c r="F77" s="15"/>
      <c r="G77" s="15"/>
      <c r="H77" s="16"/>
      <c r="I77" s="16"/>
      <c r="J77" s="16"/>
      <c r="K77" s="16"/>
      <c r="L77" s="16"/>
      <c r="M77" s="16"/>
      <c r="N77" s="16"/>
      <c r="O77" s="16"/>
      <c r="P77" s="16"/>
      <c r="Q77" s="16"/>
      <c r="R77" s="16"/>
      <c r="S77" s="16"/>
      <c r="T77" s="16"/>
      <c r="U77" s="16"/>
      <c r="V77" s="16"/>
      <c r="W77" s="15"/>
      <c r="X77" s="15"/>
      <c r="Y77" s="15"/>
      <c r="Z77" s="15"/>
    </row>
    <row r="78" customHeight="1" spans="1:26">
      <c r="A78" s="17"/>
      <c r="B78" s="15"/>
      <c r="C78" s="15"/>
      <c r="D78" s="15"/>
      <c r="E78" s="15"/>
      <c r="F78" s="15"/>
      <c r="G78" s="15"/>
      <c r="H78" s="16"/>
      <c r="I78" s="16"/>
      <c r="J78" s="16"/>
      <c r="K78" s="16"/>
      <c r="L78" s="16"/>
      <c r="M78" s="16"/>
      <c r="N78" s="16"/>
      <c r="O78" s="16"/>
      <c r="P78" s="16"/>
      <c r="Q78" s="16"/>
      <c r="R78" s="16"/>
      <c r="S78" s="16"/>
      <c r="T78" s="16"/>
      <c r="U78" s="16"/>
      <c r="V78" s="16"/>
      <c r="W78" s="15"/>
      <c r="X78" s="15"/>
      <c r="Y78" s="15"/>
      <c r="Z78" s="15"/>
    </row>
    <row r="79" customHeight="1" spans="1:26">
      <c r="A79" s="17"/>
      <c r="B79" s="15"/>
      <c r="C79" s="15"/>
      <c r="D79" s="15"/>
      <c r="E79" s="15"/>
      <c r="F79" s="15"/>
      <c r="G79" s="15"/>
      <c r="H79" s="16"/>
      <c r="I79" s="16"/>
      <c r="J79" s="16"/>
      <c r="K79" s="16"/>
      <c r="L79" s="16"/>
      <c r="M79" s="16"/>
      <c r="N79" s="16"/>
      <c r="O79" s="16"/>
      <c r="P79" s="16"/>
      <c r="Q79" s="16"/>
      <c r="R79" s="16"/>
      <c r="S79" s="16"/>
      <c r="T79" s="16"/>
      <c r="U79" s="16"/>
      <c r="V79" s="16"/>
      <c r="W79" s="15"/>
      <c r="X79" s="15"/>
      <c r="Y79" s="15"/>
      <c r="Z79" s="15"/>
    </row>
    <row r="80" customHeight="1" spans="1:26">
      <c r="A80" s="17"/>
      <c r="B80" s="15"/>
      <c r="C80" s="15"/>
      <c r="D80" s="15"/>
      <c r="E80" s="15"/>
      <c r="F80" s="15"/>
      <c r="G80" s="15"/>
      <c r="H80" s="16"/>
      <c r="I80" s="16"/>
      <c r="J80" s="16"/>
      <c r="K80" s="16"/>
      <c r="L80" s="16"/>
      <c r="M80" s="16"/>
      <c r="N80" s="16"/>
      <c r="O80" s="16"/>
      <c r="P80" s="16"/>
      <c r="Q80" s="16"/>
      <c r="R80" s="16"/>
      <c r="S80" s="16"/>
      <c r="T80" s="16"/>
      <c r="U80" s="16"/>
      <c r="V80" s="16"/>
      <c r="W80" s="15"/>
      <c r="X80" s="15"/>
      <c r="Y80" s="15"/>
      <c r="Z80" s="15"/>
    </row>
    <row r="81" customHeight="1" spans="1:26">
      <c r="A81" s="17"/>
      <c r="B81" s="15"/>
      <c r="C81" s="15"/>
      <c r="D81" s="15"/>
      <c r="E81" s="15"/>
      <c r="F81" s="15"/>
      <c r="G81" s="15"/>
      <c r="H81" s="16"/>
      <c r="I81" s="16"/>
      <c r="J81" s="16"/>
      <c r="K81" s="16"/>
      <c r="L81" s="16"/>
      <c r="M81" s="16"/>
      <c r="N81" s="16"/>
      <c r="O81" s="16"/>
      <c r="P81" s="16"/>
      <c r="Q81" s="16"/>
      <c r="R81" s="16"/>
      <c r="S81" s="16"/>
      <c r="T81" s="16"/>
      <c r="U81" s="16"/>
      <c r="V81" s="16"/>
      <c r="W81" s="15"/>
      <c r="X81" s="15"/>
      <c r="Y81" s="15"/>
      <c r="Z81" s="15"/>
    </row>
    <row r="82" customHeight="1" spans="1:26">
      <c r="A82" s="17"/>
      <c r="B82" s="15"/>
      <c r="C82" s="15"/>
      <c r="D82" s="15"/>
      <c r="E82" s="15"/>
      <c r="F82" s="15"/>
      <c r="G82" s="15"/>
      <c r="H82" s="16"/>
      <c r="I82" s="16"/>
      <c r="J82" s="16"/>
      <c r="K82" s="16"/>
      <c r="L82" s="16"/>
      <c r="M82" s="16"/>
      <c r="N82" s="16"/>
      <c r="O82" s="16"/>
      <c r="P82" s="16"/>
      <c r="Q82" s="16"/>
      <c r="R82" s="16"/>
      <c r="S82" s="16"/>
      <c r="T82" s="16"/>
      <c r="U82" s="16"/>
      <c r="V82" s="16"/>
      <c r="W82" s="15"/>
      <c r="X82" s="15"/>
      <c r="Y82" s="15"/>
      <c r="Z82" s="15"/>
    </row>
    <row r="83" customHeight="1" spans="1:26">
      <c r="A83" s="17"/>
      <c r="B83" s="15"/>
      <c r="C83" s="15"/>
      <c r="D83" s="15"/>
      <c r="E83" s="15"/>
      <c r="F83" s="15"/>
      <c r="G83" s="15"/>
      <c r="H83" s="16"/>
      <c r="I83" s="16"/>
      <c r="J83" s="16"/>
      <c r="K83" s="16"/>
      <c r="L83" s="16"/>
      <c r="M83" s="16"/>
      <c r="N83" s="16"/>
      <c r="O83" s="16"/>
      <c r="P83" s="16"/>
      <c r="Q83" s="16"/>
      <c r="R83" s="16"/>
      <c r="S83" s="16"/>
      <c r="T83" s="16"/>
      <c r="U83" s="16"/>
      <c r="V83" s="16"/>
      <c r="W83" s="15"/>
      <c r="X83" s="15"/>
      <c r="Y83" s="15"/>
      <c r="Z83" s="15"/>
    </row>
    <row r="84" customHeight="1" spans="1:26">
      <c r="A84" s="17"/>
      <c r="B84" s="15"/>
      <c r="C84" s="15"/>
      <c r="D84" s="15"/>
      <c r="E84" s="15"/>
      <c r="F84" s="15"/>
      <c r="G84" s="15"/>
      <c r="H84" s="16"/>
      <c r="I84" s="16"/>
      <c r="J84" s="16"/>
      <c r="K84" s="16"/>
      <c r="L84" s="16"/>
      <c r="M84" s="16"/>
      <c r="N84" s="16"/>
      <c r="O84" s="16"/>
      <c r="P84" s="16"/>
      <c r="Q84" s="16"/>
      <c r="R84" s="16"/>
      <c r="S84" s="16"/>
      <c r="T84" s="16"/>
      <c r="U84" s="16"/>
      <c r="V84" s="16"/>
      <c r="W84" s="15"/>
      <c r="X84" s="15"/>
      <c r="Y84" s="15"/>
      <c r="Z84" s="15"/>
    </row>
    <row r="85" customHeight="1" spans="1:26">
      <c r="A85" s="17"/>
      <c r="B85" s="15"/>
      <c r="C85" s="15"/>
      <c r="D85" s="15"/>
      <c r="E85" s="15"/>
      <c r="F85" s="15"/>
      <c r="G85" s="15"/>
      <c r="H85" s="16"/>
      <c r="I85" s="16"/>
      <c r="J85" s="16"/>
      <c r="K85" s="16"/>
      <c r="L85" s="16"/>
      <c r="M85" s="16"/>
      <c r="N85" s="16"/>
      <c r="O85" s="16"/>
      <c r="P85" s="16"/>
      <c r="Q85" s="16"/>
      <c r="R85" s="16"/>
      <c r="S85" s="16"/>
      <c r="T85" s="16"/>
      <c r="U85" s="16"/>
      <c r="V85" s="16"/>
      <c r="W85" s="15"/>
      <c r="X85" s="15"/>
      <c r="Y85" s="15"/>
      <c r="Z85" s="15"/>
    </row>
    <row r="86" customHeight="1" spans="1:26">
      <c r="A86" s="17"/>
      <c r="B86" s="15"/>
      <c r="C86" s="15"/>
      <c r="D86" s="15"/>
      <c r="E86" s="15"/>
      <c r="F86" s="15"/>
      <c r="G86" s="15"/>
      <c r="H86" s="16"/>
      <c r="I86" s="16"/>
      <c r="J86" s="16"/>
      <c r="K86" s="16"/>
      <c r="L86" s="16"/>
      <c r="M86" s="16"/>
      <c r="N86" s="16"/>
      <c r="O86" s="16"/>
      <c r="P86" s="16"/>
      <c r="Q86" s="16"/>
      <c r="R86" s="16"/>
      <c r="S86" s="16"/>
      <c r="T86" s="16"/>
      <c r="U86" s="16"/>
      <c r="V86" s="16"/>
      <c r="W86" s="15"/>
      <c r="X86" s="15"/>
      <c r="Y86" s="15"/>
      <c r="Z86" s="15"/>
    </row>
    <row r="87" customHeight="1" spans="1:26">
      <c r="A87" s="17"/>
      <c r="B87" s="15"/>
      <c r="C87" s="15"/>
      <c r="D87" s="15"/>
      <c r="E87" s="15"/>
      <c r="F87" s="15"/>
      <c r="G87" s="15"/>
      <c r="H87" s="16"/>
      <c r="I87" s="16"/>
      <c r="J87" s="16"/>
      <c r="K87" s="16"/>
      <c r="L87" s="16"/>
      <c r="M87" s="16"/>
      <c r="N87" s="16"/>
      <c r="O87" s="16"/>
      <c r="P87" s="16"/>
      <c r="Q87" s="16"/>
      <c r="R87" s="16"/>
      <c r="S87" s="16"/>
      <c r="T87" s="16"/>
      <c r="U87" s="16"/>
      <c r="V87" s="16"/>
      <c r="W87" s="15"/>
      <c r="X87" s="15"/>
      <c r="Y87" s="15"/>
      <c r="Z87" s="15"/>
    </row>
    <row r="88" customHeight="1" spans="1:26">
      <c r="A88" s="17"/>
      <c r="B88" s="15"/>
      <c r="C88" s="15"/>
      <c r="D88" s="15"/>
      <c r="E88" s="15"/>
      <c r="F88" s="15"/>
      <c r="G88" s="15"/>
      <c r="H88" s="16"/>
      <c r="I88" s="16"/>
      <c r="J88" s="16"/>
      <c r="K88" s="16"/>
      <c r="L88" s="16"/>
      <c r="M88" s="16"/>
      <c r="N88" s="16"/>
      <c r="O88" s="16"/>
      <c r="P88" s="16"/>
      <c r="Q88" s="16"/>
      <c r="R88" s="16"/>
      <c r="S88" s="16"/>
      <c r="T88" s="16"/>
      <c r="U88" s="16"/>
      <c r="V88" s="16"/>
      <c r="W88" s="15"/>
      <c r="X88" s="15"/>
      <c r="Y88" s="15"/>
      <c r="Z88" s="15"/>
    </row>
    <row r="89" customHeight="1" spans="1:26">
      <c r="A89" s="17"/>
      <c r="B89" s="15"/>
      <c r="C89" s="15"/>
      <c r="D89" s="15"/>
      <c r="E89" s="15"/>
      <c r="F89" s="15"/>
      <c r="G89" s="15"/>
      <c r="H89" s="16"/>
      <c r="I89" s="16"/>
      <c r="J89" s="16"/>
      <c r="K89" s="16"/>
      <c r="L89" s="16"/>
      <c r="M89" s="16"/>
      <c r="N89" s="16"/>
      <c r="O89" s="16"/>
      <c r="P89" s="16"/>
      <c r="Q89" s="16"/>
      <c r="R89" s="16"/>
      <c r="S89" s="16"/>
      <c r="T89" s="16"/>
      <c r="U89" s="16"/>
      <c r="V89" s="16"/>
      <c r="W89" s="15"/>
      <c r="X89" s="15"/>
      <c r="Y89" s="15"/>
      <c r="Z89" s="15"/>
    </row>
    <row r="90" customHeight="1" spans="1:26">
      <c r="A90" s="17"/>
      <c r="B90" s="15"/>
      <c r="C90" s="15"/>
      <c r="D90" s="15"/>
      <c r="E90" s="15"/>
      <c r="F90" s="15"/>
      <c r="G90" s="15"/>
      <c r="H90" s="16"/>
      <c r="I90" s="16"/>
      <c r="J90" s="16"/>
      <c r="K90" s="16"/>
      <c r="L90" s="16"/>
      <c r="M90" s="16"/>
      <c r="N90" s="16"/>
      <c r="O90" s="16"/>
      <c r="P90" s="16"/>
      <c r="Q90" s="16"/>
      <c r="R90" s="16"/>
      <c r="S90" s="16"/>
      <c r="T90" s="16"/>
      <c r="U90" s="16"/>
      <c r="V90" s="16"/>
      <c r="W90" s="15"/>
      <c r="X90" s="15"/>
      <c r="Y90" s="15"/>
      <c r="Z90" s="15"/>
    </row>
    <row r="91" customHeight="1" spans="1:26">
      <c r="A91" s="17"/>
      <c r="B91" s="15"/>
      <c r="C91" s="15"/>
      <c r="D91" s="15"/>
      <c r="E91" s="15"/>
      <c r="F91" s="15"/>
      <c r="G91" s="15"/>
      <c r="H91" s="16"/>
      <c r="I91" s="16"/>
      <c r="J91" s="16"/>
      <c r="K91" s="16"/>
      <c r="L91" s="16"/>
      <c r="M91" s="16"/>
      <c r="N91" s="16"/>
      <c r="O91" s="16"/>
      <c r="P91" s="16"/>
      <c r="Q91" s="16"/>
      <c r="R91" s="16"/>
      <c r="S91" s="16"/>
      <c r="T91" s="16"/>
      <c r="U91" s="16"/>
      <c r="V91" s="16"/>
      <c r="W91" s="15"/>
      <c r="X91" s="15"/>
      <c r="Y91" s="15"/>
      <c r="Z91" s="15"/>
    </row>
    <row r="92" customHeight="1" spans="1:26">
      <c r="A92" s="17"/>
      <c r="B92" s="15"/>
      <c r="C92" s="15"/>
      <c r="D92" s="15"/>
      <c r="E92" s="15"/>
      <c r="F92" s="15"/>
      <c r="G92" s="15"/>
      <c r="H92" s="16"/>
      <c r="I92" s="16"/>
      <c r="J92" s="16"/>
      <c r="K92" s="16"/>
      <c r="L92" s="16"/>
      <c r="M92" s="16"/>
      <c r="N92" s="16"/>
      <c r="O92" s="16"/>
      <c r="P92" s="16"/>
      <c r="Q92" s="16"/>
      <c r="R92" s="16"/>
      <c r="S92" s="16"/>
      <c r="T92" s="16"/>
      <c r="U92" s="16"/>
      <c r="V92" s="16"/>
      <c r="W92" s="15"/>
      <c r="X92" s="15"/>
      <c r="Y92" s="15"/>
      <c r="Z92" s="15"/>
    </row>
    <row r="93" customHeight="1" spans="1:26">
      <c r="A93" s="17"/>
      <c r="B93" s="15"/>
      <c r="C93" s="15"/>
      <c r="D93" s="15"/>
      <c r="E93" s="15"/>
      <c r="F93" s="15"/>
      <c r="G93" s="15"/>
      <c r="H93" s="16"/>
      <c r="I93" s="16"/>
      <c r="J93" s="16"/>
      <c r="K93" s="16"/>
      <c r="L93" s="16"/>
      <c r="M93" s="16"/>
      <c r="N93" s="16"/>
      <c r="O93" s="16"/>
      <c r="P93" s="16"/>
      <c r="Q93" s="16"/>
      <c r="R93" s="16"/>
      <c r="S93" s="16"/>
      <c r="T93" s="16"/>
      <c r="U93" s="16"/>
      <c r="V93" s="16"/>
      <c r="W93" s="15"/>
      <c r="X93" s="15"/>
      <c r="Y93" s="15"/>
      <c r="Z93" s="15"/>
    </row>
    <row r="94" customHeight="1" spans="1:26">
      <c r="A94" s="17"/>
      <c r="B94" s="15"/>
      <c r="C94" s="15"/>
      <c r="D94" s="15"/>
      <c r="E94" s="15"/>
      <c r="F94" s="15"/>
      <c r="G94" s="15"/>
      <c r="H94" s="16"/>
      <c r="I94" s="16"/>
      <c r="J94" s="16"/>
      <c r="K94" s="16"/>
      <c r="L94" s="16"/>
      <c r="M94" s="16"/>
      <c r="N94" s="16"/>
      <c r="O94" s="16"/>
      <c r="P94" s="16"/>
      <c r="Q94" s="16"/>
      <c r="R94" s="16"/>
      <c r="S94" s="16"/>
      <c r="T94" s="16"/>
      <c r="U94" s="16"/>
      <c r="V94" s="16"/>
      <c r="W94" s="15"/>
      <c r="X94" s="15"/>
      <c r="Y94" s="15"/>
      <c r="Z94" s="15"/>
    </row>
    <row r="95" customHeight="1" spans="1:26">
      <c r="A95" s="17"/>
      <c r="B95" s="15"/>
      <c r="C95" s="15"/>
      <c r="D95" s="15"/>
      <c r="E95" s="15"/>
      <c r="F95" s="15"/>
      <c r="G95" s="15"/>
      <c r="H95" s="16"/>
      <c r="I95" s="16"/>
      <c r="J95" s="16"/>
      <c r="K95" s="16"/>
      <c r="L95" s="16"/>
      <c r="M95" s="16"/>
      <c r="N95" s="16"/>
      <c r="O95" s="16"/>
      <c r="P95" s="16"/>
      <c r="Q95" s="16"/>
      <c r="R95" s="16"/>
      <c r="S95" s="16"/>
      <c r="T95" s="16"/>
      <c r="U95" s="16"/>
      <c r="V95" s="16"/>
      <c r="W95" s="15"/>
      <c r="X95" s="15"/>
      <c r="Y95" s="15"/>
      <c r="Z95" s="15"/>
    </row>
    <row r="96" customHeight="1" spans="1:26">
      <c r="A96" s="17"/>
      <c r="B96" s="15"/>
      <c r="C96" s="15"/>
      <c r="D96" s="15"/>
      <c r="E96" s="15"/>
      <c r="F96" s="15"/>
      <c r="G96" s="15"/>
      <c r="H96" s="16"/>
      <c r="I96" s="16"/>
      <c r="J96" s="16"/>
      <c r="K96" s="16"/>
      <c r="L96" s="16"/>
      <c r="M96" s="16"/>
      <c r="N96" s="16"/>
      <c r="O96" s="16"/>
      <c r="P96" s="16"/>
      <c r="Q96" s="16"/>
      <c r="R96" s="16"/>
      <c r="S96" s="16"/>
      <c r="T96" s="16"/>
      <c r="U96" s="16"/>
      <c r="V96" s="16"/>
      <c r="W96" s="15"/>
      <c r="X96" s="15"/>
      <c r="Y96" s="15"/>
      <c r="Z96" s="15"/>
    </row>
    <row r="97" customHeight="1" spans="1:26">
      <c r="A97" s="17"/>
      <c r="B97" s="15"/>
      <c r="C97" s="15"/>
      <c r="D97" s="15"/>
      <c r="E97" s="15"/>
      <c r="F97" s="15"/>
      <c r="G97" s="15"/>
      <c r="H97" s="16"/>
      <c r="I97" s="16"/>
      <c r="J97" s="16"/>
      <c r="K97" s="16"/>
      <c r="L97" s="16"/>
      <c r="M97" s="16"/>
      <c r="N97" s="16"/>
      <c r="O97" s="16"/>
      <c r="P97" s="16"/>
      <c r="Q97" s="16"/>
      <c r="R97" s="16"/>
      <c r="S97" s="16"/>
      <c r="T97" s="16"/>
      <c r="U97" s="16"/>
      <c r="V97" s="16"/>
      <c r="W97" s="15"/>
      <c r="X97" s="15"/>
      <c r="Y97" s="15"/>
      <c r="Z97" s="15"/>
    </row>
    <row r="98" customHeight="1" spans="1:26">
      <c r="A98" s="17"/>
      <c r="B98" s="15"/>
      <c r="C98" s="15"/>
      <c r="D98" s="15"/>
      <c r="E98" s="15"/>
      <c r="F98" s="15"/>
      <c r="G98" s="15"/>
      <c r="H98" s="16"/>
      <c r="I98" s="16"/>
      <c r="J98" s="16"/>
      <c r="K98" s="16"/>
      <c r="L98" s="16"/>
      <c r="M98" s="16"/>
      <c r="N98" s="16"/>
      <c r="O98" s="16"/>
      <c r="P98" s="16"/>
      <c r="Q98" s="16"/>
      <c r="R98" s="16"/>
      <c r="S98" s="16"/>
      <c r="T98" s="16"/>
      <c r="U98" s="16"/>
      <c r="V98" s="16"/>
      <c r="W98" s="15"/>
      <c r="X98" s="15"/>
      <c r="Y98" s="15"/>
      <c r="Z98" s="15"/>
    </row>
    <row r="99" customHeight="1" spans="1:26">
      <c r="A99" s="17"/>
      <c r="B99" s="15"/>
      <c r="C99" s="15"/>
      <c r="D99" s="15"/>
      <c r="E99" s="15"/>
      <c r="F99" s="15"/>
      <c r="G99" s="15"/>
      <c r="H99" s="16"/>
      <c r="I99" s="16"/>
      <c r="J99" s="16"/>
      <c r="K99" s="16"/>
      <c r="L99" s="16"/>
      <c r="M99" s="16"/>
      <c r="N99" s="16"/>
      <c r="O99" s="16"/>
      <c r="P99" s="16"/>
      <c r="Q99" s="16"/>
      <c r="R99" s="16"/>
      <c r="S99" s="16"/>
      <c r="T99" s="16"/>
      <c r="U99" s="16"/>
      <c r="V99" s="16"/>
      <c r="W99" s="15"/>
      <c r="X99" s="15"/>
      <c r="Y99" s="15"/>
      <c r="Z99" s="15"/>
    </row>
    <row r="100" customHeight="1" spans="1:26">
      <c r="A100" s="17"/>
      <c r="B100" s="15"/>
      <c r="C100" s="15"/>
      <c r="D100" s="15"/>
      <c r="E100" s="15"/>
      <c r="F100" s="15"/>
      <c r="G100" s="15"/>
      <c r="H100" s="16"/>
      <c r="I100" s="16"/>
      <c r="J100" s="16"/>
      <c r="K100" s="16"/>
      <c r="L100" s="16"/>
      <c r="M100" s="16"/>
      <c r="N100" s="16"/>
      <c r="O100" s="16"/>
      <c r="P100" s="16"/>
      <c r="Q100" s="16"/>
      <c r="R100" s="16"/>
      <c r="S100" s="16"/>
      <c r="T100" s="16"/>
      <c r="U100" s="16"/>
      <c r="V100" s="16"/>
      <c r="W100" s="15"/>
      <c r="X100" s="15"/>
      <c r="Y100" s="15"/>
      <c r="Z100" s="15"/>
    </row>
    <row r="101" customHeight="1" spans="1:26">
      <c r="A101" s="17"/>
      <c r="B101" s="15"/>
      <c r="C101" s="15"/>
      <c r="D101" s="15"/>
      <c r="E101" s="15"/>
      <c r="F101" s="15"/>
      <c r="G101" s="15"/>
      <c r="H101" s="16"/>
      <c r="I101" s="16"/>
      <c r="J101" s="16"/>
      <c r="K101" s="16"/>
      <c r="L101" s="16"/>
      <c r="M101" s="16"/>
      <c r="N101" s="16"/>
      <c r="O101" s="16"/>
      <c r="P101" s="16"/>
      <c r="Q101" s="16"/>
      <c r="R101" s="16"/>
      <c r="S101" s="16"/>
      <c r="T101" s="16"/>
      <c r="U101" s="16"/>
      <c r="V101" s="16"/>
      <c r="W101" s="15"/>
      <c r="X101" s="15"/>
      <c r="Y101" s="15"/>
      <c r="Z101" s="15"/>
    </row>
    <row r="102" customHeight="1" spans="1:26">
      <c r="A102" s="17"/>
      <c r="B102" s="15"/>
      <c r="C102" s="15"/>
      <c r="D102" s="15"/>
      <c r="E102" s="15"/>
      <c r="F102" s="15"/>
      <c r="G102" s="15"/>
      <c r="H102" s="16"/>
      <c r="I102" s="16"/>
      <c r="J102" s="16"/>
      <c r="K102" s="16"/>
      <c r="L102" s="16"/>
      <c r="M102" s="16"/>
      <c r="N102" s="16"/>
      <c r="O102" s="16"/>
      <c r="P102" s="16"/>
      <c r="Q102" s="16"/>
      <c r="R102" s="16"/>
      <c r="S102" s="16"/>
      <c r="T102" s="16"/>
      <c r="U102" s="16"/>
      <c r="V102" s="16"/>
      <c r="W102" s="15"/>
      <c r="X102" s="15"/>
      <c r="Y102" s="15"/>
      <c r="Z102" s="15"/>
    </row>
    <row r="103" customHeight="1" spans="1:26">
      <c r="A103" s="17"/>
      <c r="B103" s="15"/>
      <c r="C103" s="15"/>
      <c r="D103" s="15"/>
      <c r="E103" s="15"/>
      <c r="F103" s="15"/>
      <c r="G103" s="15"/>
      <c r="H103" s="16"/>
      <c r="I103" s="16"/>
      <c r="J103" s="16"/>
      <c r="K103" s="16"/>
      <c r="L103" s="16"/>
      <c r="M103" s="16"/>
      <c r="N103" s="16"/>
      <c r="O103" s="16"/>
      <c r="P103" s="16"/>
      <c r="Q103" s="16"/>
      <c r="R103" s="16"/>
      <c r="S103" s="16"/>
      <c r="T103" s="16"/>
      <c r="U103" s="16"/>
      <c r="V103" s="16"/>
      <c r="W103" s="15"/>
      <c r="X103" s="15"/>
      <c r="Y103" s="15"/>
      <c r="Z103" s="15"/>
    </row>
    <row r="104" customHeight="1" spans="1:26">
      <c r="A104" s="17"/>
      <c r="B104" s="15"/>
      <c r="C104" s="15"/>
      <c r="D104" s="15"/>
      <c r="E104" s="15"/>
      <c r="F104" s="15"/>
      <c r="G104" s="15"/>
      <c r="H104" s="16"/>
      <c r="I104" s="16"/>
      <c r="J104" s="16"/>
      <c r="K104" s="16"/>
      <c r="L104" s="16"/>
      <c r="M104" s="16"/>
      <c r="N104" s="16"/>
      <c r="O104" s="16"/>
      <c r="P104" s="16"/>
      <c r="Q104" s="16"/>
      <c r="R104" s="16"/>
      <c r="S104" s="16"/>
      <c r="T104" s="16"/>
      <c r="U104" s="16"/>
      <c r="V104" s="16"/>
      <c r="W104" s="15"/>
      <c r="X104" s="15"/>
      <c r="Y104" s="15"/>
      <c r="Z104" s="15"/>
    </row>
    <row r="105" customHeight="1" spans="1:26">
      <c r="A105" s="17"/>
      <c r="B105" s="15"/>
      <c r="C105" s="15"/>
      <c r="D105" s="15"/>
      <c r="E105" s="15"/>
      <c r="F105" s="15"/>
      <c r="G105" s="15"/>
      <c r="H105" s="16"/>
      <c r="I105" s="16"/>
      <c r="J105" s="16"/>
      <c r="K105" s="16"/>
      <c r="L105" s="16"/>
      <c r="M105" s="16"/>
      <c r="N105" s="16"/>
      <c r="O105" s="16"/>
      <c r="P105" s="16"/>
      <c r="Q105" s="16"/>
      <c r="R105" s="16"/>
      <c r="S105" s="16"/>
      <c r="T105" s="16"/>
      <c r="U105" s="16"/>
      <c r="V105" s="16"/>
      <c r="W105" s="15"/>
      <c r="X105" s="15"/>
      <c r="Y105" s="15"/>
      <c r="Z105" s="15"/>
    </row>
    <row r="106" customHeight="1" spans="1:26">
      <c r="A106" s="17"/>
      <c r="B106" s="15"/>
      <c r="C106" s="15"/>
      <c r="D106" s="15"/>
      <c r="E106" s="15"/>
      <c r="F106" s="15"/>
      <c r="G106" s="15"/>
      <c r="H106" s="16"/>
      <c r="I106" s="16"/>
      <c r="J106" s="16"/>
      <c r="K106" s="16"/>
      <c r="L106" s="16"/>
      <c r="M106" s="16"/>
      <c r="N106" s="16"/>
      <c r="O106" s="16"/>
      <c r="P106" s="16"/>
      <c r="Q106" s="16"/>
      <c r="R106" s="16"/>
      <c r="S106" s="16"/>
      <c r="T106" s="16"/>
      <c r="U106" s="16"/>
      <c r="V106" s="16"/>
      <c r="W106" s="15"/>
      <c r="X106" s="15"/>
      <c r="Y106" s="15"/>
      <c r="Z106" s="15"/>
    </row>
    <row r="107" customHeight="1" spans="1:26">
      <c r="A107" s="17"/>
      <c r="B107" s="15"/>
      <c r="C107" s="15"/>
      <c r="D107" s="15"/>
      <c r="E107" s="15"/>
      <c r="F107" s="15"/>
      <c r="G107" s="15"/>
      <c r="H107" s="16"/>
      <c r="I107" s="16"/>
      <c r="J107" s="16"/>
      <c r="K107" s="16"/>
      <c r="L107" s="16"/>
      <c r="M107" s="16"/>
      <c r="N107" s="16"/>
      <c r="O107" s="16"/>
      <c r="P107" s="16"/>
      <c r="Q107" s="16"/>
      <c r="R107" s="16"/>
      <c r="S107" s="16"/>
      <c r="T107" s="16"/>
      <c r="U107" s="16"/>
      <c r="V107" s="16"/>
      <c r="W107" s="15"/>
      <c r="X107" s="15"/>
      <c r="Y107" s="15"/>
      <c r="Z107" s="15"/>
    </row>
    <row r="108" customHeight="1" spans="1:26">
      <c r="A108" s="17"/>
      <c r="B108" s="15"/>
      <c r="C108" s="15"/>
      <c r="D108" s="15"/>
      <c r="E108" s="15"/>
      <c r="F108" s="15"/>
      <c r="G108" s="15"/>
      <c r="H108" s="16"/>
      <c r="I108" s="16"/>
      <c r="J108" s="16"/>
      <c r="K108" s="16"/>
      <c r="L108" s="16"/>
      <c r="M108" s="16"/>
      <c r="N108" s="16"/>
      <c r="O108" s="16"/>
      <c r="P108" s="16"/>
      <c r="Q108" s="16"/>
      <c r="R108" s="16"/>
      <c r="S108" s="16"/>
      <c r="T108" s="16"/>
      <c r="U108" s="16"/>
      <c r="V108" s="16"/>
      <c r="W108" s="15"/>
      <c r="X108" s="15"/>
      <c r="Y108" s="15"/>
      <c r="Z108" s="15"/>
    </row>
    <row r="109" customHeight="1" spans="1:26">
      <c r="A109" s="17"/>
      <c r="B109" s="15"/>
      <c r="C109" s="15"/>
      <c r="D109" s="15"/>
      <c r="E109" s="15"/>
      <c r="F109" s="15"/>
      <c r="G109" s="15"/>
      <c r="H109" s="16"/>
      <c r="I109" s="16"/>
      <c r="J109" s="16"/>
      <c r="K109" s="16"/>
      <c r="L109" s="16"/>
      <c r="M109" s="16"/>
      <c r="N109" s="16"/>
      <c r="O109" s="16"/>
      <c r="P109" s="16"/>
      <c r="Q109" s="16"/>
      <c r="R109" s="16"/>
      <c r="S109" s="16"/>
      <c r="T109" s="16"/>
      <c r="U109" s="16"/>
      <c r="V109" s="16"/>
      <c r="W109" s="15"/>
      <c r="X109" s="15"/>
      <c r="Y109" s="15"/>
      <c r="Z109" s="15"/>
    </row>
    <row r="110" customHeight="1" spans="1:26">
      <c r="A110" s="17"/>
      <c r="B110" s="15"/>
      <c r="C110" s="15"/>
      <c r="D110" s="15"/>
      <c r="E110" s="15"/>
      <c r="F110" s="15"/>
      <c r="G110" s="15"/>
      <c r="H110" s="16"/>
      <c r="I110" s="16"/>
      <c r="J110" s="16"/>
      <c r="K110" s="16"/>
      <c r="L110" s="16"/>
      <c r="M110" s="16"/>
      <c r="N110" s="16"/>
      <c r="O110" s="16"/>
      <c r="P110" s="16"/>
      <c r="Q110" s="16"/>
      <c r="R110" s="16"/>
      <c r="S110" s="16"/>
      <c r="T110" s="16"/>
      <c r="U110" s="16"/>
      <c r="V110" s="16"/>
      <c r="W110" s="15"/>
      <c r="X110" s="15"/>
      <c r="Y110" s="15"/>
      <c r="Z110" s="15"/>
    </row>
    <row r="111" customHeight="1" spans="1:26">
      <c r="A111" s="17"/>
      <c r="B111" s="15"/>
      <c r="C111" s="15"/>
      <c r="D111" s="15"/>
      <c r="E111" s="15"/>
      <c r="F111" s="15"/>
      <c r="G111" s="15"/>
      <c r="H111" s="16"/>
      <c r="I111" s="16"/>
      <c r="J111" s="16"/>
      <c r="K111" s="16"/>
      <c r="L111" s="16"/>
      <c r="M111" s="16"/>
      <c r="N111" s="16"/>
      <c r="O111" s="16"/>
      <c r="P111" s="16"/>
      <c r="Q111" s="16"/>
      <c r="R111" s="16"/>
      <c r="S111" s="16"/>
      <c r="T111" s="16"/>
      <c r="U111" s="16"/>
      <c r="V111" s="16"/>
      <c r="W111" s="15"/>
      <c r="X111" s="15"/>
      <c r="Y111" s="15"/>
      <c r="Z111" s="15"/>
    </row>
    <row r="112" customHeight="1" spans="1:26">
      <c r="A112" s="17"/>
      <c r="B112" s="15"/>
      <c r="C112" s="15"/>
      <c r="D112" s="15"/>
      <c r="E112" s="15"/>
      <c r="F112" s="15"/>
      <c r="G112" s="15"/>
      <c r="H112" s="16"/>
      <c r="I112" s="16"/>
      <c r="J112" s="16"/>
      <c r="K112" s="16"/>
      <c r="L112" s="16"/>
      <c r="M112" s="16"/>
      <c r="N112" s="16"/>
      <c r="O112" s="16"/>
      <c r="P112" s="16"/>
      <c r="Q112" s="16"/>
      <c r="R112" s="16"/>
      <c r="S112" s="16"/>
      <c r="T112" s="16"/>
      <c r="U112" s="16"/>
      <c r="V112" s="16"/>
      <c r="W112" s="15"/>
      <c r="X112" s="15"/>
      <c r="Y112" s="15"/>
      <c r="Z112" s="15"/>
    </row>
    <row r="113" customHeight="1" spans="1:26">
      <c r="A113" s="17"/>
      <c r="B113" s="15"/>
      <c r="C113" s="15"/>
      <c r="D113" s="15"/>
      <c r="E113" s="15"/>
      <c r="F113" s="15"/>
      <c r="G113" s="15"/>
      <c r="H113" s="16"/>
      <c r="I113" s="16"/>
      <c r="J113" s="16"/>
      <c r="K113" s="16"/>
      <c r="L113" s="16"/>
      <c r="M113" s="16"/>
      <c r="N113" s="16"/>
      <c r="O113" s="16"/>
      <c r="P113" s="16"/>
      <c r="Q113" s="16"/>
      <c r="R113" s="16"/>
      <c r="S113" s="16"/>
      <c r="T113" s="16"/>
      <c r="U113" s="16"/>
      <c r="V113" s="16"/>
      <c r="W113" s="15"/>
      <c r="X113" s="15"/>
      <c r="Y113" s="15"/>
      <c r="Z113" s="15"/>
    </row>
    <row r="114" customHeight="1" spans="1:26">
      <c r="A114" s="17"/>
      <c r="B114" s="15"/>
      <c r="C114" s="15"/>
      <c r="D114" s="15"/>
      <c r="E114" s="15"/>
      <c r="F114" s="15"/>
      <c r="G114" s="15"/>
      <c r="H114" s="16"/>
      <c r="I114" s="16"/>
      <c r="J114" s="16"/>
      <c r="K114" s="16"/>
      <c r="L114" s="16"/>
      <c r="M114" s="16"/>
      <c r="N114" s="16"/>
      <c r="O114" s="16"/>
      <c r="P114" s="16"/>
      <c r="Q114" s="16"/>
      <c r="R114" s="16"/>
      <c r="S114" s="16"/>
      <c r="T114" s="16"/>
      <c r="U114" s="16"/>
      <c r="V114" s="16"/>
      <c r="W114" s="15"/>
      <c r="X114" s="15"/>
      <c r="Y114" s="15"/>
      <c r="Z114" s="15"/>
    </row>
    <row r="115" customHeight="1" spans="1:26">
      <c r="A115" s="17"/>
      <c r="B115" s="15"/>
      <c r="C115" s="15"/>
      <c r="D115" s="15"/>
      <c r="E115" s="15"/>
      <c r="F115" s="15"/>
      <c r="G115" s="15"/>
      <c r="H115" s="16"/>
      <c r="I115" s="16"/>
      <c r="J115" s="16"/>
      <c r="K115" s="16"/>
      <c r="L115" s="16"/>
      <c r="M115" s="16"/>
      <c r="N115" s="16"/>
      <c r="O115" s="16"/>
      <c r="P115" s="16"/>
      <c r="Q115" s="16"/>
      <c r="R115" s="16"/>
      <c r="S115" s="16"/>
      <c r="T115" s="16"/>
      <c r="U115" s="16"/>
      <c r="V115" s="16"/>
      <c r="W115" s="15"/>
      <c r="X115" s="15"/>
      <c r="Y115" s="15"/>
      <c r="Z115" s="15"/>
    </row>
    <row r="116" customHeight="1" spans="1:26">
      <c r="A116" s="17"/>
      <c r="B116" s="15"/>
      <c r="C116" s="15"/>
      <c r="D116" s="15"/>
      <c r="E116" s="15"/>
      <c r="F116" s="15"/>
      <c r="G116" s="15"/>
      <c r="H116" s="16"/>
      <c r="I116" s="16"/>
      <c r="J116" s="16"/>
      <c r="K116" s="16"/>
      <c r="L116" s="16"/>
      <c r="M116" s="16"/>
      <c r="N116" s="16"/>
      <c r="O116" s="16"/>
      <c r="P116" s="16"/>
      <c r="Q116" s="16"/>
      <c r="R116" s="16"/>
      <c r="S116" s="16"/>
      <c r="T116" s="16"/>
      <c r="U116" s="16"/>
      <c r="V116" s="16"/>
      <c r="W116" s="15"/>
      <c r="X116" s="15"/>
      <c r="Y116" s="15"/>
      <c r="Z116" s="15"/>
    </row>
    <row r="117" customHeight="1" spans="1:26">
      <c r="A117" s="17"/>
      <c r="B117" s="15"/>
      <c r="C117" s="15"/>
      <c r="D117" s="15"/>
      <c r="E117" s="15"/>
      <c r="F117" s="15"/>
      <c r="G117" s="15"/>
      <c r="H117" s="16"/>
      <c r="I117" s="16"/>
      <c r="J117" s="16"/>
      <c r="K117" s="16"/>
      <c r="L117" s="16"/>
      <c r="M117" s="16"/>
      <c r="N117" s="16"/>
      <c r="O117" s="16"/>
      <c r="P117" s="16"/>
      <c r="Q117" s="16"/>
      <c r="R117" s="16"/>
      <c r="S117" s="16"/>
      <c r="T117" s="16"/>
      <c r="U117" s="16"/>
      <c r="V117" s="16"/>
      <c r="W117" s="15"/>
      <c r="X117" s="15"/>
      <c r="Y117" s="15"/>
      <c r="Z117" s="15"/>
    </row>
    <row r="118" customHeight="1" spans="1:26">
      <c r="A118" s="17"/>
      <c r="B118" s="15"/>
      <c r="C118" s="15"/>
      <c r="D118" s="15"/>
      <c r="E118" s="15"/>
      <c r="F118" s="15"/>
      <c r="G118" s="15"/>
      <c r="H118" s="16"/>
      <c r="I118" s="16"/>
      <c r="J118" s="16"/>
      <c r="K118" s="16"/>
      <c r="L118" s="16"/>
      <c r="M118" s="16"/>
      <c r="N118" s="16"/>
      <c r="O118" s="16"/>
      <c r="P118" s="16"/>
      <c r="Q118" s="16"/>
      <c r="R118" s="16"/>
      <c r="S118" s="16"/>
      <c r="T118" s="16"/>
      <c r="U118" s="16"/>
      <c r="V118" s="16"/>
      <c r="W118" s="15"/>
      <c r="X118" s="15"/>
      <c r="Y118" s="15"/>
      <c r="Z118" s="15"/>
    </row>
    <row r="119" customHeight="1" spans="1:26">
      <c r="A119" s="17"/>
      <c r="B119" s="15"/>
      <c r="C119" s="15"/>
      <c r="D119" s="15"/>
      <c r="E119" s="15"/>
      <c r="F119" s="15"/>
      <c r="G119" s="15"/>
      <c r="H119" s="16"/>
      <c r="I119" s="16"/>
      <c r="J119" s="16"/>
      <c r="K119" s="16"/>
      <c r="L119" s="16"/>
      <c r="M119" s="16"/>
      <c r="N119" s="16"/>
      <c r="O119" s="16"/>
      <c r="P119" s="16"/>
      <c r="Q119" s="16"/>
      <c r="R119" s="16"/>
      <c r="S119" s="16"/>
      <c r="T119" s="16"/>
      <c r="U119" s="16"/>
      <c r="V119" s="16"/>
      <c r="W119" s="15"/>
      <c r="X119" s="15"/>
      <c r="Y119" s="15"/>
      <c r="Z119" s="15"/>
    </row>
    <row r="120" customHeight="1" spans="1:26">
      <c r="A120" s="17"/>
      <c r="B120" s="15"/>
      <c r="C120" s="15"/>
      <c r="D120" s="15"/>
      <c r="E120" s="15"/>
      <c r="F120" s="15"/>
      <c r="G120" s="15"/>
      <c r="H120" s="16"/>
      <c r="I120" s="16"/>
      <c r="J120" s="16"/>
      <c r="K120" s="16"/>
      <c r="L120" s="16"/>
      <c r="M120" s="16"/>
      <c r="N120" s="16"/>
      <c r="O120" s="16"/>
      <c r="P120" s="16"/>
      <c r="Q120" s="16"/>
      <c r="R120" s="16"/>
      <c r="S120" s="16"/>
      <c r="T120" s="16"/>
      <c r="U120" s="16"/>
      <c r="V120" s="16"/>
      <c r="W120" s="15"/>
      <c r="X120" s="15"/>
      <c r="Y120" s="15"/>
      <c r="Z120" s="15"/>
    </row>
    <row r="121" customHeight="1" spans="1:26">
      <c r="A121" s="17"/>
      <c r="B121" s="15"/>
      <c r="C121" s="15"/>
      <c r="D121" s="15"/>
      <c r="E121" s="15"/>
      <c r="F121" s="15"/>
      <c r="G121" s="15"/>
      <c r="H121" s="16"/>
      <c r="I121" s="16"/>
      <c r="J121" s="16"/>
      <c r="K121" s="16"/>
      <c r="L121" s="16"/>
      <c r="M121" s="16"/>
      <c r="N121" s="16"/>
      <c r="O121" s="16"/>
      <c r="P121" s="16"/>
      <c r="Q121" s="16"/>
      <c r="R121" s="16"/>
      <c r="S121" s="16"/>
      <c r="T121" s="16"/>
      <c r="U121" s="16"/>
      <c r="V121" s="16"/>
      <c r="W121" s="15"/>
      <c r="X121" s="15"/>
      <c r="Y121" s="15"/>
      <c r="Z121" s="15"/>
    </row>
    <row r="122" customHeight="1" spans="1:26">
      <c r="A122" s="17"/>
      <c r="B122" s="15"/>
      <c r="C122" s="15"/>
      <c r="D122" s="15"/>
      <c r="E122" s="15"/>
      <c r="F122" s="15"/>
      <c r="G122" s="15"/>
      <c r="H122" s="16"/>
      <c r="I122" s="16"/>
      <c r="J122" s="16"/>
      <c r="K122" s="16"/>
      <c r="L122" s="16"/>
      <c r="M122" s="16"/>
      <c r="N122" s="16"/>
      <c r="O122" s="16"/>
      <c r="P122" s="16"/>
      <c r="Q122" s="16"/>
      <c r="R122" s="16"/>
      <c r="S122" s="16"/>
      <c r="T122" s="16"/>
      <c r="U122" s="16"/>
      <c r="V122" s="16"/>
      <c r="W122" s="15"/>
      <c r="X122" s="15"/>
      <c r="Y122" s="15"/>
      <c r="Z122" s="15"/>
    </row>
    <row r="123" customHeight="1" spans="1:26">
      <c r="A123" s="17"/>
      <c r="B123" s="15"/>
      <c r="C123" s="15"/>
      <c r="D123" s="15"/>
      <c r="E123" s="15"/>
      <c r="F123" s="15"/>
      <c r="G123" s="15"/>
      <c r="H123" s="16"/>
      <c r="I123" s="16"/>
      <c r="J123" s="16"/>
      <c r="K123" s="16"/>
      <c r="L123" s="16"/>
      <c r="M123" s="16"/>
      <c r="N123" s="16"/>
      <c r="O123" s="16"/>
      <c r="P123" s="16"/>
      <c r="Q123" s="16"/>
      <c r="R123" s="16"/>
      <c r="S123" s="16"/>
      <c r="T123" s="16"/>
      <c r="U123" s="16"/>
      <c r="V123" s="16"/>
      <c r="W123" s="15"/>
      <c r="X123" s="15"/>
      <c r="Y123" s="15"/>
      <c r="Z123" s="15"/>
    </row>
    <row r="124" customHeight="1" spans="1:26">
      <c r="A124" s="17"/>
      <c r="B124" s="15"/>
      <c r="C124" s="15"/>
      <c r="D124" s="15"/>
      <c r="E124" s="15"/>
      <c r="F124" s="15"/>
      <c r="G124" s="15"/>
      <c r="H124" s="16"/>
      <c r="I124" s="16"/>
      <c r="J124" s="16"/>
      <c r="K124" s="16"/>
      <c r="L124" s="16"/>
      <c r="M124" s="16"/>
      <c r="N124" s="16"/>
      <c r="O124" s="16"/>
      <c r="P124" s="16"/>
      <c r="Q124" s="16"/>
      <c r="R124" s="16"/>
      <c r="S124" s="16"/>
      <c r="T124" s="16"/>
      <c r="U124" s="16"/>
      <c r="V124" s="16"/>
      <c r="W124" s="15"/>
      <c r="X124" s="15"/>
      <c r="Y124" s="15"/>
      <c r="Z124" s="15"/>
    </row>
    <row r="125" customHeight="1" spans="1:26">
      <c r="A125" s="17"/>
      <c r="B125" s="15"/>
      <c r="C125" s="15"/>
      <c r="D125" s="15"/>
      <c r="E125" s="15"/>
      <c r="F125" s="15"/>
      <c r="G125" s="15"/>
      <c r="H125" s="16"/>
      <c r="I125" s="16"/>
      <c r="J125" s="16"/>
      <c r="K125" s="16"/>
      <c r="L125" s="16"/>
      <c r="M125" s="16"/>
      <c r="N125" s="16"/>
      <c r="O125" s="16"/>
      <c r="P125" s="16"/>
      <c r="Q125" s="16"/>
      <c r="R125" s="16"/>
      <c r="S125" s="16"/>
      <c r="T125" s="16"/>
      <c r="U125" s="16"/>
      <c r="V125" s="16"/>
      <c r="W125" s="15"/>
      <c r="X125" s="15"/>
      <c r="Y125" s="15"/>
      <c r="Z125" s="15"/>
    </row>
    <row r="126" customHeight="1" spans="1:26">
      <c r="A126" s="17"/>
      <c r="B126" s="15"/>
      <c r="C126" s="15"/>
      <c r="D126" s="15"/>
      <c r="E126" s="15"/>
      <c r="F126" s="15"/>
      <c r="G126" s="15"/>
      <c r="H126" s="16"/>
      <c r="I126" s="16"/>
      <c r="J126" s="16"/>
      <c r="K126" s="16"/>
      <c r="L126" s="16"/>
      <c r="M126" s="16"/>
      <c r="N126" s="16"/>
      <c r="O126" s="16"/>
      <c r="P126" s="16"/>
      <c r="Q126" s="16"/>
      <c r="R126" s="16"/>
      <c r="S126" s="16"/>
      <c r="T126" s="16"/>
      <c r="U126" s="16"/>
      <c r="V126" s="16"/>
      <c r="W126" s="15"/>
      <c r="X126" s="15"/>
      <c r="Y126" s="15"/>
      <c r="Z126" s="15"/>
    </row>
    <row r="127" customHeight="1" spans="1:26">
      <c r="A127" s="17"/>
      <c r="B127" s="15"/>
      <c r="C127" s="15"/>
      <c r="D127" s="15"/>
      <c r="E127" s="15"/>
      <c r="F127" s="15"/>
      <c r="G127" s="15"/>
      <c r="H127" s="16"/>
      <c r="I127" s="16"/>
      <c r="J127" s="16"/>
      <c r="K127" s="16"/>
      <c r="L127" s="16"/>
      <c r="M127" s="16"/>
      <c r="N127" s="16"/>
      <c r="O127" s="16"/>
      <c r="P127" s="16"/>
      <c r="Q127" s="16"/>
      <c r="R127" s="16"/>
      <c r="S127" s="16"/>
      <c r="T127" s="16"/>
      <c r="U127" s="16"/>
      <c r="V127" s="16"/>
      <c r="W127" s="15"/>
      <c r="X127" s="15"/>
      <c r="Y127" s="15"/>
      <c r="Z127" s="15"/>
    </row>
    <row r="128" customHeight="1" spans="1:26">
      <c r="A128" s="17"/>
      <c r="B128" s="15"/>
      <c r="C128" s="15"/>
      <c r="D128" s="15"/>
      <c r="E128" s="15"/>
      <c r="F128" s="15"/>
      <c r="G128" s="15"/>
      <c r="H128" s="16"/>
      <c r="I128" s="16"/>
      <c r="J128" s="16"/>
      <c r="K128" s="16"/>
      <c r="L128" s="16"/>
      <c r="M128" s="16"/>
      <c r="N128" s="16"/>
      <c r="O128" s="16"/>
      <c r="P128" s="16"/>
      <c r="Q128" s="16"/>
      <c r="R128" s="16"/>
      <c r="S128" s="16"/>
      <c r="T128" s="16"/>
      <c r="U128" s="16"/>
      <c r="V128" s="16"/>
      <c r="W128" s="15"/>
      <c r="X128" s="15"/>
      <c r="Y128" s="15"/>
      <c r="Z128" s="15"/>
    </row>
    <row r="129" customHeight="1" spans="1:26">
      <c r="A129" s="17"/>
      <c r="B129" s="15"/>
      <c r="C129" s="15"/>
      <c r="D129" s="15"/>
      <c r="E129" s="15"/>
      <c r="F129" s="15"/>
      <c r="G129" s="15"/>
      <c r="H129" s="16"/>
      <c r="I129" s="16"/>
      <c r="J129" s="16"/>
      <c r="K129" s="16"/>
      <c r="L129" s="16"/>
      <c r="M129" s="16"/>
      <c r="N129" s="16"/>
      <c r="O129" s="16"/>
      <c r="P129" s="16"/>
      <c r="Q129" s="16"/>
      <c r="R129" s="16"/>
      <c r="S129" s="16"/>
      <c r="T129" s="16"/>
      <c r="U129" s="16"/>
      <c r="V129" s="16"/>
      <c r="W129" s="15"/>
      <c r="X129" s="15"/>
      <c r="Y129" s="15"/>
      <c r="Z129" s="15"/>
    </row>
    <row r="130" customHeight="1" spans="1:26">
      <c r="A130" s="17"/>
      <c r="B130" s="15"/>
      <c r="C130" s="15"/>
      <c r="D130" s="15"/>
      <c r="E130" s="15"/>
      <c r="F130" s="15"/>
      <c r="G130" s="15"/>
      <c r="H130" s="16"/>
      <c r="I130" s="16"/>
      <c r="J130" s="16"/>
      <c r="K130" s="16"/>
      <c r="L130" s="16"/>
      <c r="M130" s="16"/>
      <c r="N130" s="16"/>
      <c r="O130" s="16"/>
      <c r="P130" s="16"/>
      <c r="Q130" s="16"/>
      <c r="R130" s="16"/>
      <c r="S130" s="16"/>
      <c r="T130" s="16"/>
      <c r="U130" s="16"/>
      <c r="V130" s="16"/>
      <c r="W130" s="15"/>
      <c r="X130" s="15"/>
      <c r="Y130" s="15"/>
      <c r="Z130" s="15"/>
    </row>
    <row r="131" customHeight="1" spans="1:26">
      <c r="A131" s="17"/>
      <c r="B131" s="15"/>
      <c r="C131" s="15"/>
      <c r="D131" s="15"/>
      <c r="E131" s="15"/>
      <c r="F131" s="15"/>
      <c r="G131" s="15"/>
      <c r="H131" s="16"/>
      <c r="I131" s="16"/>
      <c r="J131" s="16"/>
      <c r="K131" s="16"/>
      <c r="L131" s="16"/>
      <c r="M131" s="16"/>
      <c r="N131" s="16"/>
      <c r="O131" s="16"/>
      <c r="P131" s="16"/>
      <c r="Q131" s="16"/>
      <c r="R131" s="16"/>
      <c r="S131" s="16"/>
      <c r="T131" s="16"/>
      <c r="U131" s="16"/>
      <c r="V131" s="16"/>
      <c r="W131" s="15"/>
      <c r="X131" s="15"/>
      <c r="Y131" s="15"/>
      <c r="Z131" s="15"/>
    </row>
    <row r="132" customHeight="1" spans="1:26">
      <c r="A132" s="17"/>
      <c r="B132" s="15"/>
      <c r="C132" s="15"/>
      <c r="D132" s="15"/>
      <c r="E132" s="15"/>
      <c r="F132" s="15"/>
      <c r="G132" s="15"/>
      <c r="H132" s="16"/>
      <c r="I132" s="16"/>
      <c r="J132" s="16"/>
      <c r="K132" s="16"/>
      <c r="L132" s="16"/>
      <c r="M132" s="16"/>
      <c r="N132" s="16"/>
      <c r="O132" s="16"/>
      <c r="P132" s="16"/>
      <c r="Q132" s="16"/>
      <c r="R132" s="16"/>
      <c r="S132" s="16"/>
      <c r="T132" s="16"/>
      <c r="U132" s="16"/>
      <c r="V132" s="16"/>
      <c r="W132" s="15"/>
      <c r="X132" s="15"/>
      <c r="Y132" s="15"/>
      <c r="Z132" s="15"/>
    </row>
    <row r="133" customHeight="1" spans="1:26">
      <c r="A133" s="17"/>
      <c r="B133" s="15"/>
      <c r="C133" s="15"/>
      <c r="D133" s="15"/>
      <c r="E133" s="15"/>
      <c r="F133" s="15"/>
      <c r="G133" s="15"/>
      <c r="H133" s="16"/>
      <c r="I133" s="16"/>
      <c r="J133" s="16"/>
      <c r="K133" s="16"/>
      <c r="L133" s="16"/>
      <c r="M133" s="16"/>
      <c r="N133" s="16"/>
      <c r="O133" s="16"/>
      <c r="P133" s="16"/>
      <c r="Q133" s="16"/>
      <c r="R133" s="16"/>
      <c r="S133" s="16"/>
      <c r="T133" s="16"/>
      <c r="U133" s="16"/>
      <c r="V133" s="16"/>
      <c r="W133" s="15"/>
      <c r="X133" s="15"/>
      <c r="Y133" s="15"/>
      <c r="Z133" s="15"/>
    </row>
    <row r="134" customHeight="1" spans="1:26">
      <c r="A134" s="17"/>
      <c r="B134" s="15"/>
      <c r="C134" s="15"/>
      <c r="D134" s="15"/>
      <c r="E134" s="15"/>
      <c r="F134" s="15"/>
      <c r="G134" s="15"/>
      <c r="H134" s="16"/>
      <c r="I134" s="16"/>
      <c r="J134" s="16"/>
      <c r="K134" s="16"/>
      <c r="L134" s="16"/>
      <c r="M134" s="16"/>
      <c r="N134" s="16"/>
      <c r="O134" s="16"/>
      <c r="P134" s="16"/>
      <c r="Q134" s="16"/>
      <c r="R134" s="16"/>
      <c r="S134" s="16"/>
      <c r="T134" s="16"/>
      <c r="U134" s="16"/>
      <c r="V134" s="16"/>
      <c r="W134" s="15"/>
      <c r="X134" s="15"/>
      <c r="Y134" s="15"/>
      <c r="Z134" s="15"/>
    </row>
    <row r="135" customHeight="1" spans="1:26">
      <c r="A135" s="17"/>
      <c r="B135" s="15"/>
      <c r="C135" s="15"/>
      <c r="D135" s="15"/>
      <c r="E135" s="15"/>
      <c r="F135" s="15"/>
      <c r="G135" s="15"/>
      <c r="H135" s="16"/>
      <c r="I135" s="16"/>
      <c r="J135" s="16"/>
      <c r="K135" s="16"/>
      <c r="L135" s="16"/>
      <c r="M135" s="16"/>
      <c r="N135" s="16"/>
      <c r="O135" s="16"/>
      <c r="P135" s="16"/>
      <c r="Q135" s="16"/>
      <c r="R135" s="16"/>
      <c r="S135" s="16"/>
      <c r="T135" s="16"/>
      <c r="U135" s="16"/>
      <c r="V135" s="16"/>
      <c r="W135" s="15"/>
      <c r="X135" s="15"/>
      <c r="Y135" s="15"/>
      <c r="Z135" s="15"/>
    </row>
    <row r="136" customHeight="1" spans="1:26">
      <c r="A136" s="17"/>
      <c r="B136" s="15"/>
      <c r="C136" s="15"/>
      <c r="D136" s="15"/>
      <c r="E136" s="15"/>
      <c r="F136" s="15"/>
      <c r="G136" s="15"/>
      <c r="H136" s="16"/>
      <c r="I136" s="16"/>
      <c r="J136" s="16"/>
      <c r="K136" s="16"/>
      <c r="L136" s="16"/>
      <c r="M136" s="16"/>
      <c r="N136" s="16"/>
      <c r="O136" s="16"/>
      <c r="P136" s="16"/>
      <c r="Q136" s="16"/>
      <c r="R136" s="16"/>
      <c r="S136" s="16"/>
      <c r="T136" s="16"/>
      <c r="U136" s="16"/>
      <c r="V136" s="16"/>
      <c r="W136" s="15"/>
      <c r="X136" s="15"/>
      <c r="Y136" s="15"/>
      <c r="Z136" s="15"/>
    </row>
    <row r="137" customHeight="1" spans="1:26">
      <c r="A137" s="17"/>
      <c r="B137" s="15"/>
      <c r="C137" s="15"/>
      <c r="D137" s="15"/>
      <c r="E137" s="15"/>
      <c r="F137" s="15"/>
      <c r="G137" s="15"/>
      <c r="H137" s="16"/>
      <c r="I137" s="16"/>
      <c r="J137" s="16"/>
      <c r="K137" s="16"/>
      <c r="L137" s="16"/>
      <c r="M137" s="16"/>
      <c r="N137" s="16"/>
      <c r="O137" s="16"/>
      <c r="P137" s="16"/>
      <c r="Q137" s="16"/>
      <c r="R137" s="16"/>
      <c r="S137" s="16"/>
      <c r="T137" s="16"/>
      <c r="U137" s="16"/>
      <c r="V137" s="16"/>
      <c r="W137" s="15"/>
      <c r="X137" s="15"/>
      <c r="Y137" s="15"/>
      <c r="Z137" s="15"/>
    </row>
    <row r="138" customHeight="1" spans="1:26">
      <c r="A138" s="17"/>
      <c r="B138" s="15"/>
      <c r="C138" s="15"/>
      <c r="D138" s="15"/>
      <c r="E138" s="15"/>
      <c r="F138" s="15"/>
      <c r="G138" s="15"/>
      <c r="H138" s="16"/>
      <c r="I138" s="16"/>
      <c r="J138" s="16"/>
      <c r="K138" s="16"/>
      <c r="L138" s="16"/>
      <c r="M138" s="16"/>
      <c r="N138" s="16"/>
      <c r="O138" s="16"/>
      <c r="P138" s="16"/>
      <c r="Q138" s="16"/>
      <c r="R138" s="16"/>
      <c r="S138" s="16"/>
      <c r="T138" s="16"/>
      <c r="U138" s="16"/>
      <c r="V138" s="16"/>
      <c r="W138" s="15"/>
      <c r="X138" s="15"/>
      <c r="Y138" s="15"/>
      <c r="Z138" s="15"/>
    </row>
    <row r="139" customHeight="1" spans="1:26">
      <c r="A139" s="17"/>
      <c r="B139" s="15"/>
      <c r="C139" s="15"/>
      <c r="D139" s="15"/>
      <c r="E139" s="15"/>
      <c r="F139" s="15"/>
      <c r="G139" s="15"/>
      <c r="H139" s="16"/>
      <c r="I139" s="16"/>
      <c r="J139" s="16"/>
      <c r="K139" s="16"/>
      <c r="L139" s="16"/>
      <c r="M139" s="16"/>
      <c r="N139" s="16"/>
      <c r="O139" s="16"/>
      <c r="P139" s="16"/>
      <c r="Q139" s="16"/>
      <c r="R139" s="16"/>
      <c r="S139" s="16"/>
      <c r="T139" s="16"/>
      <c r="U139" s="16"/>
      <c r="V139" s="16"/>
      <c r="W139" s="15"/>
      <c r="X139" s="15"/>
      <c r="Y139" s="15"/>
      <c r="Z139" s="15"/>
    </row>
    <row r="140" customHeight="1" spans="1:26">
      <c r="A140" s="17"/>
      <c r="B140" s="15"/>
      <c r="C140" s="15"/>
      <c r="D140" s="15"/>
      <c r="E140" s="15"/>
      <c r="F140" s="15"/>
      <c r="G140" s="15"/>
      <c r="H140" s="16"/>
      <c r="I140" s="16"/>
      <c r="J140" s="16"/>
      <c r="K140" s="16"/>
      <c r="L140" s="16"/>
      <c r="M140" s="16"/>
      <c r="N140" s="16"/>
      <c r="O140" s="16"/>
      <c r="P140" s="16"/>
      <c r="Q140" s="16"/>
      <c r="R140" s="16"/>
      <c r="S140" s="16"/>
      <c r="T140" s="16"/>
      <c r="U140" s="16"/>
      <c r="V140" s="16"/>
      <c r="W140" s="15"/>
      <c r="X140" s="15"/>
      <c r="Y140" s="15"/>
      <c r="Z140" s="15"/>
    </row>
    <row r="141" customHeight="1" spans="1:26">
      <c r="A141" s="17"/>
      <c r="B141" s="15"/>
      <c r="C141" s="15"/>
      <c r="D141" s="15"/>
      <c r="E141" s="15"/>
      <c r="F141" s="15"/>
      <c r="G141" s="15"/>
      <c r="H141" s="16"/>
      <c r="I141" s="16"/>
      <c r="J141" s="16"/>
      <c r="K141" s="16"/>
      <c r="L141" s="16"/>
      <c r="M141" s="16"/>
      <c r="N141" s="16"/>
      <c r="O141" s="16"/>
      <c r="P141" s="16"/>
      <c r="Q141" s="16"/>
      <c r="R141" s="16"/>
      <c r="S141" s="16"/>
      <c r="T141" s="16"/>
      <c r="U141" s="16"/>
      <c r="V141" s="16"/>
      <c r="W141" s="15"/>
      <c r="X141" s="15"/>
      <c r="Y141" s="15"/>
      <c r="Z141" s="15"/>
    </row>
    <row r="142" customHeight="1" spans="1:26">
      <c r="A142" s="17"/>
      <c r="B142" s="15"/>
      <c r="C142" s="15"/>
      <c r="D142" s="15"/>
      <c r="E142" s="15"/>
      <c r="F142" s="15"/>
      <c r="G142" s="15"/>
      <c r="H142" s="16"/>
      <c r="I142" s="16"/>
      <c r="J142" s="16"/>
      <c r="K142" s="16"/>
      <c r="L142" s="16"/>
      <c r="M142" s="16"/>
      <c r="N142" s="16"/>
      <c r="O142" s="16"/>
      <c r="P142" s="16"/>
      <c r="Q142" s="16"/>
      <c r="R142" s="16"/>
      <c r="S142" s="16"/>
      <c r="T142" s="16"/>
      <c r="U142" s="16"/>
      <c r="V142" s="16"/>
      <c r="W142" s="15"/>
      <c r="X142" s="15"/>
      <c r="Y142" s="15"/>
      <c r="Z142" s="15"/>
    </row>
    <row r="143" customHeight="1" spans="1:26">
      <c r="A143" s="17"/>
      <c r="B143" s="15"/>
      <c r="C143" s="15"/>
      <c r="D143" s="15"/>
      <c r="E143" s="15"/>
      <c r="F143" s="15"/>
      <c r="G143" s="15"/>
      <c r="H143" s="16"/>
      <c r="I143" s="16"/>
      <c r="J143" s="16"/>
      <c r="K143" s="16"/>
      <c r="L143" s="16"/>
      <c r="M143" s="16"/>
      <c r="N143" s="16"/>
      <c r="O143" s="16"/>
      <c r="P143" s="16"/>
      <c r="Q143" s="16"/>
      <c r="R143" s="16"/>
      <c r="S143" s="16"/>
      <c r="T143" s="16"/>
      <c r="U143" s="16"/>
      <c r="V143" s="16"/>
      <c r="W143" s="15"/>
      <c r="X143" s="15"/>
      <c r="Y143" s="15"/>
      <c r="Z143" s="15"/>
    </row>
    <row r="144" customHeight="1" spans="1:26">
      <c r="A144" s="17"/>
      <c r="B144" s="15"/>
      <c r="C144" s="15"/>
      <c r="D144" s="15"/>
      <c r="E144" s="15"/>
      <c r="F144" s="15"/>
      <c r="G144" s="15"/>
      <c r="H144" s="16"/>
      <c r="I144" s="16"/>
      <c r="J144" s="16"/>
      <c r="K144" s="16"/>
      <c r="L144" s="16"/>
      <c r="M144" s="16"/>
      <c r="N144" s="16"/>
      <c r="O144" s="16"/>
      <c r="P144" s="16"/>
      <c r="Q144" s="16"/>
      <c r="R144" s="16"/>
      <c r="S144" s="16"/>
      <c r="T144" s="16"/>
      <c r="U144" s="16"/>
      <c r="V144" s="16"/>
      <c r="W144" s="15"/>
      <c r="X144" s="15"/>
      <c r="Y144" s="15"/>
      <c r="Z144" s="15"/>
    </row>
    <row r="145" customHeight="1" spans="1:26">
      <c r="A145" s="17"/>
      <c r="B145" s="15"/>
      <c r="C145" s="15"/>
      <c r="D145" s="15"/>
      <c r="E145" s="15"/>
      <c r="F145" s="15"/>
      <c r="G145" s="15"/>
      <c r="H145" s="16"/>
      <c r="I145" s="16"/>
      <c r="J145" s="16"/>
      <c r="K145" s="16"/>
      <c r="L145" s="16"/>
      <c r="M145" s="16"/>
      <c r="N145" s="16"/>
      <c r="O145" s="16"/>
      <c r="P145" s="16"/>
      <c r="Q145" s="16"/>
      <c r="R145" s="16"/>
      <c r="S145" s="16"/>
      <c r="T145" s="16"/>
      <c r="U145" s="16"/>
      <c r="V145" s="16"/>
      <c r="W145" s="15"/>
      <c r="X145" s="15"/>
      <c r="Y145" s="15"/>
      <c r="Z145" s="15"/>
    </row>
    <row r="146" customHeight="1" spans="1:26">
      <c r="A146" s="17"/>
      <c r="B146" s="15"/>
      <c r="C146" s="15"/>
      <c r="D146" s="15"/>
      <c r="E146" s="15"/>
      <c r="F146" s="15"/>
      <c r="G146" s="15"/>
      <c r="H146" s="16"/>
      <c r="I146" s="16"/>
      <c r="J146" s="16"/>
      <c r="K146" s="16"/>
      <c r="L146" s="16"/>
      <c r="M146" s="16"/>
      <c r="N146" s="16"/>
      <c r="O146" s="16"/>
      <c r="P146" s="16"/>
      <c r="Q146" s="16"/>
      <c r="R146" s="16"/>
      <c r="S146" s="16"/>
      <c r="T146" s="16"/>
      <c r="U146" s="16"/>
      <c r="V146" s="16"/>
      <c r="W146" s="15"/>
      <c r="X146" s="15"/>
      <c r="Y146" s="15"/>
      <c r="Z146" s="15"/>
    </row>
    <row r="147" customHeight="1" spans="1:26">
      <c r="A147" s="17"/>
      <c r="B147" s="15"/>
      <c r="C147" s="15"/>
      <c r="D147" s="15"/>
      <c r="E147" s="15"/>
      <c r="F147" s="15"/>
      <c r="G147" s="15"/>
      <c r="H147" s="16"/>
      <c r="I147" s="16"/>
      <c r="J147" s="16"/>
      <c r="K147" s="16"/>
      <c r="L147" s="16"/>
      <c r="M147" s="16"/>
      <c r="N147" s="16"/>
      <c r="O147" s="16"/>
      <c r="P147" s="16"/>
      <c r="Q147" s="16"/>
      <c r="R147" s="16"/>
      <c r="S147" s="16"/>
      <c r="T147" s="16"/>
      <c r="U147" s="16"/>
      <c r="V147" s="16"/>
      <c r="W147" s="15"/>
      <c r="X147" s="15"/>
      <c r="Y147" s="15"/>
      <c r="Z147" s="15"/>
    </row>
    <row r="148" customHeight="1" spans="1:26">
      <c r="A148" s="17"/>
      <c r="B148" s="15"/>
      <c r="C148" s="15"/>
      <c r="D148" s="15"/>
      <c r="E148" s="15"/>
      <c r="F148" s="15"/>
      <c r="G148" s="15"/>
      <c r="H148" s="16"/>
      <c r="I148" s="16"/>
      <c r="J148" s="16"/>
      <c r="K148" s="16"/>
      <c r="L148" s="16"/>
      <c r="M148" s="16"/>
      <c r="N148" s="16"/>
      <c r="O148" s="16"/>
      <c r="P148" s="16"/>
      <c r="Q148" s="16"/>
      <c r="R148" s="16"/>
      <c r="S148" s="16"/>
      <c r="T148" s="16"/>
      <c r="U148" s="16"/>
      <c r="V148" s="16"/>
      <c r="W148" s="15"/>
      <c r="X148" s="15"/>
      <c r="Y148" s="15"/>
      <c r="Z148" s="15"/>
    </row>
    <row r="149" customHeight="1" spans="1:26">
      <c r="A149" s="17"/>
      <c r="B149" s="15"/>
      <c r="C149" s="15"/>
      <c r="D149" s="15"/>
      <c r="E149" s="15"/>
      <c r="F149" s="15"/>
      <c r="G149" s="15"/>
      <c r="H149" s="16"/>
      <c r="I149" s="16"/>
      <c r="J149" s="16"/>
      <c r="K149" s="16"/>
      <c r="L149" s="16"/>
      <c r="M149" s="16"/>
      <c r="N149" s="16"/>
      <c r="O149" s="16"/>
      <c r="P149" s="16"/>
      <c r="Q149" s="16"/>
      <c r="R149" s="16"/>
      <c r="S149" s="16"/>
      <c r="T149" s="16"/>
      <c r="U149" s="16"/>
      <c r="V149" s="16"/>
      <c r="W149" s="15"/>
      <c r="X149" s="15"/>
      <c r="Y149" s="15"/>
      <c r="Z149" s="15"/>
    </row>
    <row r="150" customHeight="1" spans="1:26">
      <c r="A150" s="17"/>
      <c r="B150" s="15"/>
      <c r="C150" s="15"/>
      <c r="D150" s="15"/>
      <c r="E150" s="15"/>
      <c r="F150" s="15"/>
      <c r="G150" s="15"/>
      <c r="H150" s="16"/>
      <c r="I150" s="16"/>
      <c r="J150" s="16"/>
      <c r="K150" s="16"/>
      <c r="L150" s="16"/>
      <c r="M150" s="16"/>
      <c r="N150" s="16"/>
      <c r="O150" s="16"/>
      <c r="P150" s="16"/>
      <c r="Q150" s="16"/>
      <c r="R150" s="16"/>
      <c r="S150" s="16"/>
      <c r="T150" s="16"/>
      <c r="U150" s="16"/>
      <c r="V150" s="16"/>
      <c r="W150" s="15"/>
      <c r="X150" s="15"/>
      <c r="Y150" s="15"/>
      <c r="Z150" s="15"/>
    </row>
    <row r="151" customHeight="1" spans="1:26">
      <c r="A151" s="17"/>
      <c r="B151" s="15"/>
      <c r="C151" s="15"/>
      <c r="D151" s="15"/>
      <c r="E151" s="15"/>
      <c r="F151" s="15"/>
      <c r="G151" s="15"/>
      <c r="H151" s="16"/>
      <c r="I151" s="16"/>
      <c r="J151" s="16"/>
      <c r="K151" s="16"/>
      <c r="L151" s="16"/>
      <c r="M151" s="16"/>
      <c r="N151" s="16"/>
      <c r="O151" s="16"/>
      <c r="P151" s="16"/>
      <c r="Q151" s="16"/>
      <c r="R151" s="16"/>
      <c r="S151" s="16"/>
      <c r="T151" s="16"/>
      <c r="U151" s="16"/>
      <c r="V151" s="16"/>
      <c r="W151" s="15"/>
      <c r="X151" s="15"/>
      <c r="Y151" s="15"/>
      <c r="Z151" s="15"/>
    </row>
    <row r="152" customHeight="1" spans="1:26">
      <c r="A152" s="17"/>
      <c r="B152" s="15"/>
      <c r="C152" s="15"/>
      <c r="D152" s="15"/>
      <c r="E152" s="15"/>
      <c r="F152" s="15"/>
      <c r="G152" s="15"/>
      <c r="H152" s="16"/>
      <c r="I152" s="16"/>
      <c r="J152" s="16"/>
      <c r="K152" s="16"/>
      <c r="L152" s="16"/>
      <c r="M152" s="16"/>
      <c r="N152" s="16"/>
      <c r="O152" s="16"/>
      <c r="P152" s="16"/>
      <c r="Q152" s="16"/>
      <c r="R152" s="16"/>
      <c r="S152" s="16"/>
      <c r="T152" s="16"/>
      <c r="U152" s="16"/>
      <c r="V152" s="16"/>
      <c r="W152" s="15"/>
      <c r="X152" s="15"/>
      <c r="Y152" s="15"/>
      <c r="Z152" s="15"/>
    </row>
    <row r="153" customHeight="1" spans="1:26">
      <c r="A153" s="17"/>
      <c r="B153" s="15"/>
      <c r="C153" s="15"/>
      <c r="D153" s="15"/>
      <c r="E153" s="15"/>
      <c r="F153" s="15"/>
      <c r="G153" s="15"/>
      <c r="H153" s="16"/>
      <c r="I153" s="16"/>
      <c r="J153" s="16"/>
      <c r="K153" s="16"/>
      <c r="L153" s="16"/>
      <c r="M153" s="16"/>
      <c r="N153" s="16"/>
      <c r="O153" s="16"/>
      <c r="P153" s="16"/>
      <c r="Q153" s="16"/>
      <c r="R153" s="16"/>
      <c r="S153" s="16"/>
      <c r="T153" s="16"/>
      <c r="U153" s="16"/>
      <c r="V153" s="16"/>
      <c r="W153" s="15"/>
      <c r="X153" s="15"/>
      <c r="Y153" s="15"/>
      <c r="Z153" s="15"/>
    </row>
    <row r="154" customHeight="1" spans="1:26">
      <c r="A154" s="17"/>
      <c r="B154" s="15"/>
      <c r="C154" s="15"/>
      <c r="D154" s="15"/>
      <c r="E154" s="15"/>
      <c r="F154" s="15"/>
      <c r="G154" s="15"/>
      <c r="H154" s="16"/>
      <c r="I154" s="16"/>
      <c r="J154" s="16"/>
      <c r="K154" s="16"/>
      <c r="L154" s="16"/>
      <c r="M154" s="16"/>
      <c r="N154" s="16"/>
      <c r="O154" s="16"/>
      <c r="P154" s="16"/>
      <c r="Q154" s="16"/>
      <c r="R154" s="16"/>
      <c r="S154" s="16"/>
      <c r="T154" s="16"/>
      <c r="U154" s="16"/>
      <c r="V154" s="16"/>
      <c r="W154" s="15"/>
      <c r="X154" s="15"/>
      <c r="Y154" s="15"/>
      <c r="Z154" s="15"/>
    </row>
    <row r="155" customHeight="1" spans="1:26">
      <c r="A155" s="17"/>
      <c r="B155" s="15"/>
      <c r="C155" s="15"/>
      <c r="D155" s="15"/>
      <c r="E155" s="15"/>
      <c r="F155" s="15"/>
      <c r="G155" s="15"/>
      <c r="H155" s="16"/>
      <c r="I155" s="16"/>
      <c r="J155" s="16"/>
      <c r="K155" s="16"/>
      <c r="L155" s="16"/>
      <c r="M155" s="16"/>
      <c r="N155" s="16"/>
      <c r="O155" s="16"/>
      <c r="P155" s="16"/>
      <c r="Q155" s="16"/>
      <c r="R155" s="16"/>
      <c r="S155" s="16"/>
      <c r="T155" s="16"/>
      <c r="U155" s="16"/>
      <c r="V155" s="16"/>
      <c r="W155" s="15"/>
      <c r="X155" s="15"/>
      <c r="Y155" s="15"/>
      <c r="Z155" s="15"/>
    </row>
    <row r="156" customHeight="1" spans="1:26">
      <c r="A156" s="17"/>
      <c r="B156" s="15"/>
      <c r="C156" s="15"/>
      <c r="D156" s="15"/>
      <c r="E156" s="15"/>
      <c r="F156" s="15"/>
      <c r="G156" s="15"/>
      <c r="H156" s="16"/>
      <c r="I156" s="16"/>
      <c r="J156" s="16"/>
      <c r="K156" s="16"/>
      <c r="L156" s="16"/>
      <c r="M156" s="16"/>
      <c r="N156" s="16"/>
      <c r="O156" s="16"/>
      <c r="P156" s="16"/>
      <c r="Q156" s="16"/>
      <c r="R156" s="16"/>
      <c r="S156" s="16"/>
      <c r="T156" s="16"/>
      <c r="U156" s="16"/>
      <c r="V156" s="16"/>
      <c r="W156" s="15"/>
      <c r="X156" s="15"/>
      <c r="Y156" s="15"/>
      <c r="Z156" s="15"/>
    </row>
    <row r="157" customHeight="1" spans="1:26">
      <c r="A157" s="17"/>
      <c r="B157" s="15"/>
      <c r="C157" s="15"/>
      <c r="D157" s="15"/>
      <c r="E157" s="15"/>
      <c r="F157" s="15"/>
      <c r="G157" s="15"/>
      <c r="H157" s="16"/>
      <c r="I157" s="16"/>
      <c r="J157" s="16"/>
      <c r="K157" s="16"/>
      <c r="L157" s="16"/>
      <c r="M157" s="16"/>
      <c r="N157" s="16"/>
      <c r="O157" s="16"/>
      <c r="P157" s="16"/>
      <c r="Q157" s="16"/>
      <c r="R157" s="16"/>
      <c r="S157" s="16"/>
      <c r="T157" s="16"/>
      <c r="U157" s="16"/>
      <c r="V157" s="16"/>
      <c r="W157" s="15"/>
      <c r="X157" s="15"/>
      <c r="Y157" s="15"/>
      <c r="Z157" s="15"/>
    </row>
    <row r="158" customHeight="1" spans="1:26">
      <c r="A158" s="17"/>
      <c r="B158" s="15"/>
      <c r="C158" s="15"/>
      <c r="D158" s="15"/>
      <c r="E158" s="15"/>
      <c r="F158" s="15"/>
      <c r="G158" s="15"/>
      <c r="H158" s="16"/>
      <c r="I158" s="16"/>
      <c r="J158" s="16"/>
      <c r="K158" s="16"/>
      <c r="L158" s="16"/>
      <c r="M158" s="16"/>
      <c r="N158" s="16"/>
      <c r="O158" s="16"/>
      <c r="P158" s="16"/>
      <c r="Q158" s="16"/>
      <c r="R158" s="16"/>
      <c r="S158" s="16"/>
      <c r="T158" s="16"/>
      <c r="U158" s="16"/>
      <c r="V158" s="16"/>
      <c r="W158" s="15"/>
      <c r="X158" s="15"/>
      <c r="Y158" s="15"/>
      <c r="Z158" s="15"/>
    </row>
    <row r="159" customHeight="1" spans="1:26">
      <c r="A159" s="17"/>
      <c r="B159" s="15"/>
      <c r="C159" s="15"/>
      <c r="D159" s="15"/>
      <c r="E159" s="15"/>
      <c r="F159" s="15"/>
      <c r="G159" s="15"/>
      <c r="H159" s="16"/>
      <c r="I159" s="16"/>
      <c r="J159" s="16"/>
      <c r="K159" s="16"/>
      <c r="L159" s="16"/>
      <c r="M159" s="16"/>
      <c r="N159" s="16"/>
      <c r="O159" s="16"/>
      <c r="P159" s="16"/>
      <c r="Q159" s="16"/>
      <c r="R159" s="16"/>
      <c r="S159" s="16"/>
      <c r="T159" s="16"/>
      <c r="U159" s="16"/>
      <c r="V159" s="16"/>
      <c r="W159" s="15"/>
      <c r="X159" s="15"/>
      <c r="Y159" s="15"/>
      <c r="Z159" s="15"/>
    </row>
    <row r="160" customHeight="1" spans="1:26">
      <c r="A160" s="17"/>
      <c r="B160" s="15"/>
      <c r="C160" s="15"/>
      <c r="D160" s="15"/>
      <c r="E160" s="15"/>
      <c r="F160" s="15"/>
      <c r="G160" s="15"/>
      <c r="H160" s="16"/>
      <c r="I160" s="16"/>
      <c r="J160" s="16"/>
      <c r="K160" s="16"/>
      <c r="L160" s="16"/>
      <c r="M160" s="16"/>
      <c r="N160" s="16"/>
      <c r="O160" s="16"/>
      <c r="P160" s="16"/>
      <c r="Q160" s="16"/>
      <c r="R160" s="16"/>
      <c r="S160" s="16"/>
      <c r="T160" s="16"/>
      <c r="U160" s="16"/>
      <c r="V160" s="16"/>
      <c r="W160" s="15"/>
      <c r="X160" s="15"/>
      <c r="Y160" s="15"/>
      <c r="Z160" s="15"/>
    </row>
    <row r="161" customHeight="1" spans="1:26">
      <c r="A161" s="17"/>
      <c r="B161" s="15"/>
      <c r="C161" s="15"/>
      <c r="D161" s="15"/>
      <c r="E161" s="15"/>
      <c r="F161" s="15"/>
      <c r="G161" s="15"/>
      <c r="H161" s="16"/>
      <c r="I161" s="16"/>
      <c r="J161" s="16"/>
      <c r="K161" s="16"/>
      <c r="L161" s="16"/>
      <c r="M161" s="16"/>
      <c r="N161" s="16"/>
      <c r="O161" s="16"/>
      <c r="P161" s="16"/>
      <c r="Q161" s="16"/>
      <c r="R161" s="16"/>
      <c r="S161" s="16"/>
      <c r="T161" s="16"/>
      <c r="U161" s="16"/>
      <c r="V161" s="16"/>
      <c r="W161" s="15"/>
      <c r="X161" s="15"/>
      <c r="Y161" s="15"/>
      <c r="Z161" s="15"/>
    </row>
    <row r="162" customHeight="1" spans="1:26">
      <c r="A162" s="17"/>
      <c r="B162" s="15"/>
      <c r="C162" s="15"/>
      <c r="D162" s="15"/>
      <c r="E162" s="15"/>
      <c r="F162" s="15"/>
      <c r="G162" s="15"/>
      <c r="H162" s="16"/>
      <c r="I162" s="16"/>
      <c r="J162" s="16"/>
      <c r="K162" s="16"/>
      <c r="L162" s="16"/>
      <c r="M162" s="16"/>
      <c r="N162" s="16"/>
      <c r="O162" s="16"/>
      <c r="P162" s="16"/>
      <c r="Q162" s="16"/>
      <c r="R162" s="16"/>
      <c r="S162" s="16"/>
      <c r="T162" s="16"/>
      <c r="U162" s="16"/>
      <c r="V162" s="16"/>
      <c r="W162" s="15"/>
      <c r="X162" s="15"/>
      <c r="Y162" s="15"/>
      <c r="Z162" s="15"/>
    </row>
    <row r="163" customHeight="1" spans="1:26">
      <c r="A163" s="17"/>
      <c r="B163" s="15"/>
      <c r="C163" s="15"/>
      <c r="D163" s="15"/>
      <c r="E163" s="15"/>
      <c r="F163" s="15"/>
      <c r="G163" s="15"/>
      <c r="H163" s="16"/>
      <c r="I163" s="16"/>
      <c r="J163" s="16"/>
      <c r="K163" s="16"/>
      <c r="L163" s="16"/>
      <c r="M163" s="16"/>
      <c r="N163" s="16"/>
      <c r="O163" s="16"/>
      <c r="P163" s="16"/>
      <c r="Q163" s="16"/>
      <c r="R163" s="16"/>
      <c r="S163" s="16"/>
      <c r="T163" s="16"/>
      <c r="U163" s="16"/>
      <c r="V163" s="16"/>
      <c r="W163" s="15"/>
      <c r="X163" s="15"/>
      <c r="Y163" s="15"/>
      <c r="Z163" s="15"/>
    </row>
    <row r="164" customHeight="1" spans="1:26">
      <c r="A164" s="17"/>
      <c r="B164" s="15"/>
      <c r="C164" s="15"/>
      <c r="D164" s="15"/>
      <c r="E164" s="15"/>
      <c r="F164" s="15"/>
      <c r="G164" s="15"/>
      <c r="H164" s="16"/>
      <c r="I164" s="16"/>
      <c r="J164" s="16"/>
      <c r="K164" s="16"/>
      <c r="L164" s="16"/>
      <c r="M164" s="16"/>
      <c r="N164" s="16"/>
      <c r="O164" s="16"/>
      <c r="P164" s="16"/>
      <c r="Q164" s="16"/>
      <c r="R164" s="16"/>
      <c r="S164" s="16"/>
      <c r="T164" s="16"/>
      <c r="U164" s="16"/>
      <c r="V164" s="16"/>
      <c r="W164" s="15"/>
      <c r="X164" s="15"/>
      <c r="Y164" s="15"/>
      <c r="Z164" s="15"/>
    </row>
    <row r="165" customHeight="1" spans="1:26">
      <c r="A165" s="17"/>
      <c r="B165" s="15"/>
      <c r="C165" s="15"/>
      <c r="D165" s="15"/>
      <c r="E165" s="15"/>
      <c r="F165" s="15"/>
      <c r="G165" s="15"/>
      <c r="H165" s="16"/>
      <c r="I165" s="16"/>
      <c r="J165" s="16"/>
      <c r="K165" s="16"/>
      <c r="L165" s="16"/>
      <c r="M165" s="16"/>
      <c r="N165" s="16"/>
      <c r="O165" s="16"/>
      <c r="P165" s="16"/>
      <c r="Q165" s="16"/>
      <c r="R165" s="16"/>
      <c r="S165" s="16"/>
      <c r="T165" s="16"/>
      <c r="U165" s="16"/>
      <c r="V165" s="16"/>
      <c r="W165" s="15"/>
      <c r="X165" s="15"/>
      <c r="Y165" s="15"/>
      <c r="Z165" s="15"/>
    </row>
    <row r="166" customHeight="1" spans="1:26">
      <c r="A166" s="17"/>
      <c r="B166" s="15"/>
      <c r="C166" s="15"/>
      <c r="D166" s="15"/>
      <c r="E166" s="15"/>
      <c r="F166" s="15"/>
      <c r="G166" s="15"/>
      <c r="H166" s="16"/>
      <c r="I166" s="16"/>
      <c r="J166" s="16"/>
      <c r="K166" s="16"/>
      <c r="L166" s="16"/>
      <c r="M166" s="16"/>
      <c r="N166" s="16"/>
      <c r="O166" s="16"/>
      <c r="P166" s="16"/>
      <c r="Q166" s="16"/>
      <c r="R166" s="16"/>
      <c r="S166" s="16"/>
      <c r="T166" s="16"/>
      <c r="U166" s="16"/>
      <c r="V166" s="16"/>
      <c r="W166" s="15"/>
      <c r="X166" s="15"/>
      <c r="Y166" s="15"/>
      <c r="Z166" s="15"/>
    </row>
    <row r="167" customHeight="1" spans="1:26">
      <c r="A167" s="17"/>
      <c r="B167" s="15"/>
      <c r="C167" s="15"/>
      <c r="D167" s="15"/>
      <c r="E167" s="15"/>
      <c r="F167" s="15"/>
      <c r="G167" s="15"/>
      <c r="H167" s="16"/>
      <c r="I167" s="16"/>
      <c r="J167" s="16"/>
      <c r="K167" s="16"/>
      <c r="L167" s="16"/>
      <c r="M167" s="16"/>
      <c r="N167" s="16"/>
      <c r="O167" s="16"/>
      <c r="P167" s="16"/>
      <c r="Q167" s="16"/>
      <c r="R167" s="16"/>
      <c r="S167" s="16"/>
      <c r="T167" s="16"/>
      <c r="U167" s="16"/>
      <c r="V167" s="16"/>
      <c r="W167" s="15"/>
      <c r="X167" s="15"/>
      <c r="Y167" s="15"/>
      <c r="Z167" s="15"/>
    </row>
    <row r="168" customHeight="1" spans="1:26">
      <c r="A168" s="17"/>
      <c r="B168" s="15"/>
      <c r="C168" s="15"/>
      <c r="D168" s="15"/>
      <c r="E168" s="15"/>
      <c r="F168" s="15"/>
      <c r="G168" s="15"/>
      <c r="H168" s="16"/>
      <c r="I168" s="16"/>
      <c r="J168" s="16"/>
      <c r="K168" s="16"/>
      <c r="L168" s="16"/>
      <c r="M168" s="16"/>
      <c r="N168" s="16"/>
      <c r="O168" s="16"/>
      <c r="P168" s="16"/>
      <c r="Q168" s="16"/>
      <c r="R168" s="16"/>
      <c r="S168" s="16"/>
      <c r="T168" s="16"/>
      <c r="U168" s="16"/>
      <c r="V168" s="16"/>
      <c r="W168" s="15"/>
      <c r="X168" s="15"/>
      <c r="Y168" s="15"/>
      <c r="Z168" s="15"/>
    </row>
    <row r="169" customHeight="1" spans="1:26">
      <c r="A169" s="17"/>
      <c r="B169" s="15"/>
      <c r="C169" s="15"/>
      <c r="D169" s="15"/>
      <c r="E169" s="15"/>
      <c r="F169" s="15"/>
      <c r="G169" s="15"/>
      <c r="H169" s="16"/>
      <c r="I169" s="16"/>
      <c r="J169" s="16"/>
      <c r="K169" s="16"/>
      <c r="L169" s="16"/>
      <c r="M169" s="16"/>
      <c r="N169" s="16"/>
      <c r="O169" s="16"/>
      <c r="P169" s="16"/>
      <c r="Q169" s="16"/>
      <c r="R169" s="16"/>
      <c r="S169" s="16"/>
      <c r="T169" s="16"/>
      <c r="U169" s="16"/>
      <c r="V169" s="16"/>
      <c r="W169" s="15"/>
      <c r="X169" s="15"/>
      <c r="Y169" s="15"/>
      <c r="Z169" s="15"/>
    </row>
    <row r="170" customHeight="1" spans="1:26">
      <c r="A170" s="17"/>
      <c r="B170" s="15"/>
      <c r="C170" s="15"/>
      <c r="D170" s="15"/>
      <c r="E170" s="15"/>
      <c r="F170" s="15"/>
      <c r="G170" s="15"/>
      <c r="H170" s="16"/>
      <c r="I170" s="16"/>
      <c r="J170" s="16"/>
      <c r="K170" s="16"/>
      <c r="L170" s="16"/>
      <c r="M170" s="16"/>
      <c r="N170" s="16"/>
      <c r="O170" s="16"/>
      <c r="P170" s="16"/>
      <c r="Q170" s="16"/>
      <c r="R170" s="16"/>
      <c r="S170" s="16"/>
      <c r="T170" s="16"/>
      <c r="U170" s="16"/>
      <c r="V170" s="16"/>
      <c r="W170" s="15"/>
      <c r="X170" s="15"/>
      <c r="Y170" s="15"/>
      <c r="Z170" s="15"/>
    </row>
    <row r="171" customHeight="1" spans="1:26">
      <c r="A171" s="17"/>
      <c r="B171" s="15"/>
      <c r="C171" s="15"/>
      <c r="D171" s="15"/>
      <c r="E171" s="15"/>
      <c r="F171" s="15"/>
      <c r="G171" s="15"/>
      <c r="H171" s="16"/>
      <c r="I171" s="16"/>
      <c r="J171" s="16"/>
      <c r="K171" s="16"/>
      <c r="L171" s="16"/>
      <c r="M171" s="16"/>
      <c r="N171" s="16"/>
      <c r="O171" s="16"/>
      <c r="P171" s="16"/>
      <c r="Q171" s="16"/>
      <c r="R171" s="16"/>
      <c r="S171" s="16"/>
      <c r="T171" s="16"/>
      <c r="U171" s="16"/>
      <c r="V171" s="16"/>
      <c r="W171" s="15"/>
      <c r="X171" s="15"/>
      <c r="Y171" s="15"/>
      <c r="Z171" s="15"/>
    </row>
    <row r="172" customHeight="1" spans="1:26">
      <c r="A172" s="17"/>
      <c r="B172" s="15"/>
      <c r="C172" s="15"/>
      <c r="D172" s="15"/>
      <c r="E172" s="15"/>
      <c r="F172" s="15"/>
      <c r="G172" s="15"/>
      <c r="H172" s="16"/>
      <c r="I172" s="16"/>
      <c r="J172" s="16"/>
      <c r="K172" s="16"/>
      <c r="L172" s="16"/>
      <c r="M172" s="16"/>
      <c r="N172" s="16"/>
      <c r="O172" s="16"/>
      <c r="P172" s="16"/>
      <c r="Q172" s="16"/>
      <c r="R172" s="16"/>
      <c r="S172" s="16"/>
      <c r="T172" s="16"/>
      <c r="U172" s="16"/>
      <c r="V172" s="16"/>
      <c r="W172" s="15"/>
      <c r="X172" s="15"/>
      <c r="Y172" s="15"/>
      <c r="Z172" s="15"/>
    </row>
    <row r="173" customHeight="1" spans="1:26">
      <c r="A173" s="17"/>
      <c r="B173" s="15"/>
      <c r="C173" s="15"/>
      <c r="D173" s="15"/>
      <c r="E173" s="15"/>
      <c r="F173" s="15"/>
      <c r="G173" s="15"/>
      <c r="H173" s="16"/>
      <c r="I173" s="16"/>
      <c r="J173" s="16"/>
      <c r="K173" s="16"/>
      <c r="L173" s="16"/>
      <c r="M173" s="16"/>
      <c r="N173" s="16"/>
      <c r="O173" s="16"/>
      <c r="P173" s="16"/>
      <c r="Q173" s="16"/>
      <c r="R173" s="16"/>
      <c r="S173" s="16"/>
      <c r="T173" s="16"/>
      <c r="U173" s="16"/>
      <c r="V173" s="16"/>
      <c r="W173" s="15"/>
      <c r="X173" s="15"/>
      <c r="Y173" s="15"/>
      <c r="Z173" s="15"/>
    </row>
    <row r="174" customHeight="1" spans="1:26">
      <c r="A174" s="17"/>
      <c r="B174" s="15"/>
      <c r="C174" s="15"/>
      <c r="D174" s="15"/>
      <c r="E174" s="15"/>
      <c r="F174" s="15"/>
      <c r="G174" s="15"/>
      <c r="H174" s="16"/>
      <c r="I174" s="16"/>
      <c r="J174" s="16"/>
      <c r="K174" s="16"/>
      <c r="L174" s="16"/>
      <c r="M174" s="16"/>
      <c r="N174" s="16"/>
      <c r="O174" s="16"/>
      <c r="P174" s="16"/>
      <c r="Q174" s="16"/>
      <c r="R174" s="16"/>
      <c r="S174" s="16"/>
      <c r="T174" s="16"/>
      <c r="U174" s="16"/>
      <c r="V174" s="16"/>
      <c r="W174" s="15"/>
      <c r="X174" s="15"/>
      <c r="Y174" s="15"/>
      <c r="Z174" s="15"/>
    </row>
    <row r="175" customHeight="1" spans="1:26">
      <c r="A175" s="17"/>
      <c r="B175" s="15"/>
      <c r="C175" s="15"/>
      <c r="D175" s="15"/>
      <c r="E175" s="15"/>
      <c r="F175" s="15"/>
      <c r="G175" s="15"/>
      <c r="H175" s="16"/>
      <c r="I175" s="16"/>
      <c r="J175" s="16"/>
      <c r="K175" s="16"/>
      <c r="L175" s="16"/>
      <c r="M175" s="16"/>
      <c r="N175" s="16"/>
      <c r="O175" s="16"/>
      <c r="P175" s="16"/>
      <c r="Q175" s="16"/>
      <c r="R175" s="16"/>
      <c r="S175" s="16"/>
      <c r="T175" s="16"/>
      <c r="U175" s="16"/>
      <c r="V175" s="16"/>
      <c r="W175" s="15"/>
      <c r="X175" s="15"/>
      <c r="Y175" s="15"/>
      <c r="Z175" s="15"/>
    </row>
    <row r="176" customHeight="1" spans="1:26">
      <c r="A176" s="17"/>
      <c r="B176" s="15"/>
      <c r="C176" s="15"/>
      <c r="D176" s="15"/>
      <c r="E176" s="15"/>
      <c r="F176" s="15"/>
      <c r="G176" s="15"/>
      <c r="H176" s="16"/>
      <c r="I176" s="16"/>
      <c r="J176" s="16"/>
      <c r="K176" s="16"/>
      <c r="L176" s="16"/>
      <c r="M176" s="16"/>
      <c r="N176" s="16"/>
      <c r="O176" s="16"/>
      <c r="P176" s="16"/>
      <c r="Q176" s="16"/>
      <c r="R176" s="16"/>
      <c r="S176" s="16"/>
      <c r="T176" s="16"/>
      <c r="U176" s="16"/>
      <c r="V176" s="16"/>
      <c r="W176" s="15"/>
      <c r="X176" s="15"/>
      <c r="Y176" s="15"/>
      <c r="Z176" s="15"/>
    </row>
    <row r="177" customHeight="1" spans="1:26">
      <c r="A177" s="17"/>
      <c r="B177" s="15"/>
      <c r="C177" s="15"/>
      <c r="D177" s="15"/>
      <c r="E177" s="15"/>
      <c r="F177" s="15"/>
      <c r="G177" s="15"/>
      <c r="H177" s="16"/>
      <c r="I177" s="16"/>
      <c r="J177" s="16"/>
      <c r="K177" s="16"/>
      <c r="L177" s="16"/>
      <c r="M177" s="16"/>
      <c r="N177" s="16"/>
      <c r="O177" s="16"/>
      <c r="P177" s="16"/>
      <c r="Q177" s="16"/>
      <c r="R177" s="16"/>
      <c r="S177" s="16"/>
      <c r="T177" s="16"/>
      <c r="U177" s="16"/>
      <c r="V177" s="16"/>
      <c r="W177" s="15"/>
      <c r="X177" s="15"/>
      <c r="Y177" s="15"/>
      <c r="Z177" s="15"/>
    </row>
    <row r="178" customHeight="1" spans="1:26">
      <c r="A178" s="17"/>
      <c r="B178" s="15"/>
      <c r="C178" s="15"/>
      <c r="D178" s="15"/>
      <c r="E178" s="15"/>
      <c r="F178" s="15"/>
      <c r="G178" s="15"/>
      <c r="H178" s="16"/>
      <c r="I178" s="16"/>
      <c r="J178" s="16"/>
      <c r="K178" s="16"/>
      <c r="L178" s="16"/>
      <c r="M178" s="16"/>
      <c r="N178" s="16"/>
      <c r="O178" s="16"/>
      <c r="P178" s="16"/>
      <c r="Q178" s="16"/>
      <c r="R178" s="16"/>
      <c r="S178" s="16"/>
      <c r="T178" s="16"/>
      <c r="U178" s="16"/>
      <c r="V178" s="16"/>
      <c r="W178" s="15"/>
      <c r="X178" s="15"/>
      <c r="Y178" s="15"/>
      <c r="Z178" s="15"/>
    </row>
    <row r="179" customHeight="1" spans="1:26">
      <c r="A179" s="17"/>
      <c r="B179" s="15"/>
      <c r="C179" s="15"/>
      <c r="D179" s="15"/>
      <c r="E179" s="15"/>
      <c r="F179" s="15"/>
      <c r="G179" s="15"/>
      <c r="H179" s="16"/>
      <c r="I179" s="16"/>
      <c r="J179" s="16"/>
      <c r="K179" s="16"/>
      <c r="L179" s="16"/>
      <c r="M179" s="16"/>
      <c r="N179" s="16"/>
      <c r="O179" s="16"/>
      <c r="P179" s="16"/>
      <c r="Q179" s="16"/>
      <c r="R179" s="16"/>
      <c r="S179" s="16"/>
      <c r="T179" s="16"/>
      <c r="U179" s="16"/>
      <c r="V179" s="16"/>
      <c r="W179" s="15"/>
      <c r="X179" s="15"/>
      <c r="Y179" s="15"/>
      <c r="Z179" s="15"/>
    </row>
    <row r="180" customHeight="1" spans="1:26">
      <c r="A180" s="17"/>
      <c r="B180" s="15"/>
      <c r="C180" s="15"/>
      <c r="D180" s="15"/>
      <c r="E180" s="15"/>
      <c r="F180" s="15"/>
      <c r="G180" s="15"/>
      <c r="H180" s="16"/>
      <c r="I180" s="16"/>
      <c r="J180" s="16"/>
      <c r="K180" s="16"/>
      <c r="L180" s="16"/>
      <c r="M180" s="16"/>
      <c r="N180" s="16"/>
      <c r="O180" s="16"/>
      <c r="P180" s="16"/>
      <c r="Q180" s="16"/>
      <c r="R180" s="16"/>
      <c r="S180" s="16"/>
      <c r="T180" s="16"/>
      <c r="U180" s="16"/>
      <c r="V180" s="16"/>
      <c r="W180" s="15"/>
      <c r="X180" s="15"/>
      <c r="Y180" s="15"/>
      <c r="Z180" s="15"/>
    </row>
    <row r="181" customHeight="1" spans="1:26">
      <c r="A181" s="17"/>
      <c r="B181" s="15"/>
      <c r="C181" s="15"/>
      <c r="D181" s="15"/>
      <c r="E181" s="15"/>
      <c r="F181" s="15"/>
      <c r="G181" s="15"/>
      <c r="H181" s="16"/>
      <c r="I181" s="16"/>
      <c r="J181" s="16"/>
      <c r="K181" s="16"/>
      <c r="L181" s="16"/>
      <c r="M181" s="16"/>
      <c r="N181" s="16"/>
      <c r="O181" s="16"/>
      <c r="P181" s="16"/>
      <c r="Q181" s="16"/>
      <c r="R181" s="16"/>
      <c r="S181" s="16"/>
      <c r="T181" s="16"/>
      <c r="U181" s="16"/>
      <c r="V181" s="16"/>
      <c r="W181" s="15"/>
      <c r="X181" s="15"/>
      <c r="Y181" s="15"/>
      <c r="Z181" s="15"/>
    </row>
    <row r="182" customHeight="1" spans="1:26">
      <c r="A182" s="17"/>
      <c r="B182" s="15"/>
      <c r="C182" s="15"/>
      <c r="D182" s="15"/>
      <c r="E182" s="15"/>
      <c r="F182" s="15"/>
      <c r="G182" s="15"/>
      <c r="H182" s="16"/>
      <c r="I182" s="16"/>
      <c r="J182" s="16"/>
      <c r="K182" s="16"/>
      <c r="L182" s="16"/>
      <c r="M182" s="16"/>
      <c r="N182" s="16"/>
      <c r="O182" s="16"/>
      <c r="P182" s="16"/>
      <c r="Q182" s="16"/>
      <c r="R182" s="16"/>
      <c r="S182" s="16"/>
      <c r="T182" s="16"/>
      <c r="U182" s="16"/>
      <c r="V182" s="16"/>
      <c r="W182" s="15"/>
      <c r="X182" s="15"/>
      <c r="Y182" s="15"/>
      <c r="Z182" s="15"/>
    </row>
    <row r="183" customHeight="1" spans="1:26">
      <c r="A183" s="17"/>
      <c r="B183" s="15"/>
      <c r="C183" s="15"/>
      <c r="D183" s="15"/>
      <c r="E183" s="15"/>
      <c r="F183" s="15"/>
      <c r="G183" s="15"/>
      <c r="H183" s="16"/>
      <c r="I183" s="16"/>
      <c r="J183" s="16"/>
      <c r="K183" s="16"/>
      <c r="L183" s="16"/>
      <c r="M183" s="16"/>
      <c r="N183" s="16"/>
      <c r="O183" s="16"/>
      <c r="P183" s="16"/>
      <c r="Q183" s="16"/>
      <c r="R183" s="16"/>
      <c r="S183" s="16"/>
      <c r="T183" s="16"/>
      <c r="U183" s="16"/>
      <c r="V183" s="16"/>
      <c r="W183" s="15"/>
      <c r="X183" s="15"/>
      <c r="Y183" s="15"/>
      <c r="Z183" s="15"/>
    </row>
    <row r="184" customHeight="1" spans="1:26">
      <c r="A184" s="17"/>
      <c r="B184" s="15"/>
      <c r="C184" s="15"/>
      <c r="D184" s="15"/>
      <c r="E184" s="15"/>
      <c r="F184" s="15"/>
      <c r="G184" s="15"/>
      <c r="H184" s="16"/>
      <c r="I184" s="16"/>
      <c r="J184" s="16"/>
      <c r="K184" s="16"/>
      <c r="L184" s="16"/>
      <c r="M184" s="16"/>
      <c r="N184" s="16"/>
      <c r="O184" s="16"/>
      <c r="P184" s="16"/>
      <c r="Q184" s="16"/>
      <c r="R184" s="16"/>
      <c r="S184" s="16"/>
      <c r="T184" s="16"/>
      <c r="U184" s="16"/>
      <c r="V184" s="16"/>
      <c r="W184" s="15"/>
      <c r="X184" s="15"/>
      <c r="Y184" s="15"/>
      <c r="Z184" s="15"/>
    </row>
    <row r="185" customHeight="1" spans="1:26">
      <c r="A185" s="17"/>
      <c r="B185" s="15"/>
      <c r="C185" s="15"/>
      <c r="D185" s="15"/>
      <c r="E185" s="15"/>
      <c r="F185" s="15"/>
      <c r="G185" s="15"/>
      <c r="H185" s="16"/>
      <c r="I185" s="16"/>
      <c r="J185" s="16"/>
      <c r="K185" s="16"/>
      <c r="L185" s="16"/>
      <c r="M185" s="16"/>
      <c r="N185" s="16"/>
      <c r="O185" s="16"/>
      <c r="P185" s="16"/>
      <c r="Q185" s="16"/>
      <c r="R185" s="16"/>
      <c r="S185" s="16"/>
      <c r="T185" s="16"/>
      <c r="U185" s="16"/>
      <c r="V185" s="16"/>
      <c r="W185" s="15"/>
      <c r="X185" s="15"/>
      <c r="Y185" s="15"/>
      <c r="Z185" s="15"/>
    </row>
    <row r="186" customHeight="1" spans="1:26">
      <c r="A186" s="17"/>
      <c r="B186" s="15"/>
      <c r="C186" s="15"/>
      <c r="D186" s="15"/>
      <c r="E186" s="15"/>
      <c r="F186" s="15"/>
      <c r="G186" s="15"/>
      <c r="H186" s="16"/>
      <c r="I186" s="16"/>
      <c r="J186" s="16"/>
      <c r="K186" s="16"/>
      <c r="L186" s="16"/>
      <c r="M186" s="16"/>
      <c r="N186" s="16"/>
      <c r="O186" s="16"/>
      <c r="P186" s="16"/>
      <c r="Q186" s="16"/>
      <c r="R186" s="16"/>
      <c r="S186" s="16"/>
      <c r="T186" s="16"/>
      <c r="U186" s="16"/>
      <c r="V186" s="16"/>
      <c r="W186" s="15"/>
      <c r="X186" s="15"/>
      <c r="Y186" s="15"/>
      <c r="Z186" s="15"/>
    </row>
    <row r="187" customHeight="1" spans="1:26">
      <c r="A187" s="17"/>
      <c r="B187" s="15"/>
      <c r="C187" s="15"/>
      <c r="D187" s="15"/>
      <c r="E187" s="15"/>
      <c r="F187" s="15"/>
      <c r="G187" s="15"/>
      <c r="H187" s="16"/>
      <c r="I187" s="16"/>
      <c r="J187" s="16"/>
      <c r="K187" s="16"/>
      <c r="L187" s="16"/>
      <c r="M187" s="16"/>
      <c r="N187" s="16"/>
      <c r="O187" s="16"/>
      <c r="P187" s="16"/>
      <c r="Q187" s="16"/>
      <c r="R187" s="16"/>
      <c r="S187" s="16"/>
      <c r="T187" s="16"/>
      <c r="U187" s="16"/>
      <c r="V187" s="16"/>
      <c r="W187" s="15"/>
      <c r="X187" s="15"/>
      <c r="Y187" s="15"/>
      <c r="Z187" s="15"/>
    </row>
    <row r="188" customHeight="1" spans="1:26">
      <c r="A188" s="17"/>
      <c r="B188" s="15"/>
      <c r="C188" s="15"/>
      <c r="D188" s="15"/>
      <c r="E188" s="15"/>
      <c r="F188" s="15"/>
      <c r="G188" s="15"/>
      <c r="H188" s="16"/>
      <c r="I188" s="16"/>
      <c r="J188" s="16"/>
      <c r="K188" s="16"/>
      <c r="L188" s="16"/>
      <c r="M188" s="16"/>
      <c r="N188" s="16"/>
      <c r="O188" s="16"/>
      <c r="P188" s="16"/>
      <c r="Q188" s="16"/>
      <c r="R188" s="16"/>
      <c r="S188" s="16"/>
      <c r="T188" s="16"/>
      <c r="U188" s="16"/>
      <c r="V188" s="16"/>
      <c r="W188" s="15"/>
      <c r="X188" s="15"/>
      <c r="Y188" s="15"/>
      <c r="Z188" s="15"/>
    </row>
    <row r="189" customHeight="1" spans="1:26">
      <c r="A189" s="17"/>
      <c r="B189" s="15"/>
      <c r="C189" s="15"/>
      <c r="D189" s="15"/>
      <c r="E189" s="15"/>
      <c r="F189" s="15"/>
      <c r="G189" s="15"/>
      <c r="H189" s="16"/>
      <c r="I189" s="16"/>
      <c r="J189" s="16"/>
      <c r="K189" s="16"/>
      <c r="L189" s="16"/>
      <c r="M189" s="16"/>
      <c r="N189" s="16"/>
      <c r="O189" s="16"/>
      <c r="P189" s="16"/>
      <c r="Q189" s="16"/>
      <c r="R189" s="16"/>
      <c r="S189" s="16"/>
      <c r="T189" s="16"/>
      <c r="U189" s="16"/>
      <c r="V189" s="16"/>
      <c r="W189" s="15"/>
      <c r="X189" s="15"/>
      <c r="Y189" s="15"/>
      <c r="Z189" s="15"/>
    </row>
    <row r="190" customHeight="1" spans="1:26">
      <c r="A190" s="17"/>
      <c r="B190" s="15"/>
      <c r="C190" s="15"/>
      <c r="D190" s="15"/>
      <c r="E190" s="15"/>
      <c r="F190" s="15"/>
      <c r="G190" s="15"/>
      <c r="H190" s="16"/>
      <c r="I190" s="16"/>
      <c r="J190" s="16"/>
      <c r="K190" s="16"/>
      <c r="L190" s="16"/>
      <c r="M190" s="16"/>
      <c r="N190" s="16"/>
      <c r="O190" s="16"/>
      <c r="P190" s="16"/>
      <c r="Q190" s="16"/>
      <c r="R190" s="16"/>
      <c r="S190" s="16"/>
      <c r="T190" s="16"/>
      <c r="U190" s="16"/>
      <c r="V190" s="16"/>
      <c r="W190" s="15"/>
      <c r="X190" s="15"/>
      <c r="Y190" s="15"/>
      <c r="Z190" s="15"/>
    </row>
    <row r="191" customHeight="1" spans="1:26">
      <c r="A191" s="17"/>
      <c r="B191" s="15"/>
      <c r="C191" s="15"/>
      <c r="D191" s="15"/>
      <c r="E191" s="15"/>
      <c r="F191" s="15"/>
      <c r="G191" s="15"/>
      <c r="H191" s="16"/>
      <c r="I191" s="16"/>
      <c r="J191" s="16"/>
      <c r="K191" s="16"/>
      <c r="L191" s="16"/>
      <c r="M191" s="16"/>
      <c r="N191" s="16"/>
      <c r="O191" s="16"/>
      <c r="P191" s="16"/>
      <c r="Q191" s="16"/>
      <c r="R191" s="16"/>
      <c r="S191" s="16"/>
      <c r="T191" s="16"/>
      <c r="U191" s="16"/>
      <c r="V191" s="16"/>
      <c r="W191" s="15"/>
      <c r="X191" s="15"/>
      <c r="Y191" s="15"/>
      <c r="Z191" s="15"/>
    </row>
    <row r="192" customHeight="1" spans="1:26">
      <c r="A192" s="17"/>
      <c r="B192" s="15"/>
      <c r="C192" s="15"/>
      <c r="D192" s="15"/>
      <c r="E192" s="15"/>
      <c r="F192" s="15"/>
      <c r="G192" s="15"/>
      <c r="H192" s="16"/>
      <c r="I192" s="16"/>
      <c r="J192" s="16"/>
      <c r="K192" s="16"/>
      <c r="L192" s="16"/>
      <c r="M192" s="16"/>
      <c r="N192" s="16"/>
      <c r="O192" s="16"/>
      <c r="P192" s="16"/>
      <c r="Q192" s="16"/>
      <c r="R192" s="16"/>
      <c r="S192" s="16"/>
      <c r="T192" s="16"/>
      <c r="U192" s="16"/>
      <c r="V192" s="16"/>
      <c r="W192" s="15"/>
      <c r="X192" s="15"/>
      <c r="Y192" s="15"/>
      <c r="Z192" s="15"/>
    </row>
    <row r="193" customHeight="1" spans="1:26">
      <c r="A193" s="17"/>
      <c r="B193" s="15"/>
      <c r="C193" s="15"/>
      <c r="D193" s="15"/>
      <c r="E193" s="15"/>
      <c r="F193" s="15"/>
      <c r="G193" s="15"/>
      <c r="H193" s="16"/>
      <c r="I193" s="16"/>
      <c r="J193" s="16"/>
      <c r="K193" s="16"/>
      <c r="L193" s="16"/>
      <c r="M193" s="16"/>
      <c r="N193" s="16"/>
      <c r="O193" s="16"/>
      <c r="P193" s="16"/>
      <c r="Q193" s="16"/>
      <c r="R193" s="16"/>
      <c r="S193" s="16"/>
      <c r="T193" s="16"/>
      <c r="U193" s="16"/>
      <c r="V193" s="16"/>
      <c r="W193" s="15"/>
      <c r="X193" s="15"/>
      <c r="Y193" s="15"/>
      <c r="Z193" s="15"/>
    </row>
    <row r="194" customHeight="1" spans="1:26">
      <c r="A194" s="17"/>
      <c r="B194" s="15"/>
      <c r="C194" s="15"/>
      <c r="D194" s="15"/>
      <c r="E194" s="15"/>
      <c r="F194" s="15"/>
      <c r="G194" s="15"/>
      <c r="H194" s="16"/>
      <c r="I194" s="16"/>
      <c r="J194" s="16"/>
      <c r="K194" s="16"/>
      <c r="L194" s="16"/>
      <c r="M194" s="16"/>
      <c r="N194" s="16"/>
      <c r="O194" s="16"/>
      <c r="P194" s="16"/>
      <c r="Q194" s="16"/>
      <c r="R194" s="16"/>
      <c r="S194" s="16"/>
      <c r="T194" s="16"/>
      <c r="U194" s="16"/>
      <c r="V194" s="16"/>
      <c r="W194" s="15"/>
      <c r="X194" s="15"/>
      <c r="Y194" s="15"/>
      <c r="Z194" s="15"/>
    </row>
    <row r="195" customHeight="1" spans="1:26">
      <c r="A195" s="17"/>
      <c r="B195" s="15"/>
      <c r="C195" s="15"/>
      <c r="D195" s="15"/>
      <c r="E195" s="15"/>
      <c r="F195" s="15"/>
      <c r="G195" s="15"/>
      <c r="H195" s="16"/>
      <c r="I195" s="16"/>
      <c r="J195" s="16"/>
      <c r="K195" s="16"/>
      <c r="L195" s="16"/>
      <c r="M195" s="16"/>
      <c r="N195" s="16"/>
      <c r="O195" s="16"/>
      <c r="P195" s="16"/>
      <c r="Q195" s="16"/>
      <c r="R195" s="16"/>
      <c r="S195" s="16"/>
      <c r="T195" s="16"/>
      <c r="U195" s="16"/>
      <c r="V195" s="16"/>
      <c r="W195" s="15"/>
      <c r="X195" s="15"/>
      <c r="Y195" s="15"/>
      <c r="Z195" s="15"/>
    </row>
    <row r="196" customHeight="1" spans="1:26">
      <c r="A196" s="17"/>
      <c r="B196" s="15"/>
      <c r="C196" s="15"/>
      <c r="D196" s="15"/>
      <c r="E196" s="15"/>
      <c r="F196" s="15"/>
      <c r="G196" s="15"/>
      <c r="H196" s="16"/>
      <c r="I196" s="16"/>
      <c r="J196" s="16"/>
      <c r="K196" s="16"/>
      <c r="L196" s="16"/>
      <c r="M196" s="16"/>
      <c r="N196" s="16"/>
      <c r="O196" s="16"/>
      <c r="P196" s="16"/>
      <c r="Q196" s="16"/>
      <c r="R196" s="16"/>
      <c r="S196" s="16"/>
      <c r="T196" s="16"/>
      <c r="U196" s="16"/>
      <c r="V196" s="16"/>
      <c r="W196" s="15"/>
      <c r="X196" s="15"/>
      <c r="Y196" s="15"/>
      <c r="Z196" s="15"/>
    </row>
    <row r="197" customHeight="1" spans="1:26">
      <c r="A197" s="17"/>
      <c r="B197" s="15"/>
      <c r="C197" s="15"/>
      <c r="D197" s="15"/>
      <c r="E197" s="15"/>
      <c r="F197" s="15"/>
      <c r="G197" s="15"/>
      <c r="H197" s="16"/>
      <c r="I197" s="16"/>
      <c r="J197" s="16"/>
      <c r="K197" s="16"/>
      <c r="L197" s="16"/>
      <c r="M197" s="16"/>
      <c r="N197" s="16"/>
      <c r="O197" s="16"/>
      <c r="P197" s="16"/>
      <c r="Q197" s="16"/>
      <c r="R197" s="16"/>
      <c r="S197" s="16"/>
      <c r="T197" s="16"/>
      <c r="U197" s="16"/>
      <c r="V197" s="16"/>
      <c r="W197" s="15"/>
      <c r="X197" s="15"/>
      <c r="Y197" s="15"/>
      <c r="Z197" s="15"/>
    </row>
    <row r="198" customHeight="1" spans="1:26">
      <c r="A198" s="17"/>
      <c r="B198" s="15"/>
      <c r="C198" s="15"/>
      <c r="D198" s="15"/>
      <c r="E198" s="15"/>
      <c r="F198" s="15"/>
      <c r="G198" s="15"/>
      <c r="H198" s="16"/>
      <c r="I198" s="16"/>
      <c r="J198" s="16"/>
      <c r="K198" s="16"/>
      <c r="L198" s="16"/>
      <c r="M198" s="16"/>
      <c r="N198" s="16"/>
      <c r="O198" s="16"/>
      <c r="P198" s="16"/>
      <c r="Q198" s="16"/>
      <c r="R198" s="16"/>
      <c r="S198" s="16"/>
      <c r="T198" s="16"/>
      <c r="U198" s="16"/>
      <c r="V198" s="16"/>
      <c r="W198" s="15"/>
      <c r="X198" s="15"/>
      <c r="Y198" s="15"/>
      <c r="Z198" s="15"/>
    </row>
    <row r="199" customHeight="1" spans="1:26">
      <c r="A199" s="17"/>
      <c r="B199" s="15"/>
      <c r="C199" s="15"/>
      <c r="D199" s="15"/>
      <c r="E199" s="15"/>
      <c r="F199" s="15"/>
      <c r="G199" s="15"/>
      <c r="H199" s="16"/>
      <c r="I199" s="16"/>
      <c r="J199" s="16"/>
      <c r="K199" s="16"/>
      <c r="L199" s="16"/>
      <c r="M199" s="16"/>
      <c r="N199" s="16"/>
      <c r="O199" s="16"/>
      <c r="P199" s="16"/>
      <c r="Q199" s="16"/>
      <c r="R199" s="16"/>
      <c r="S199" s="16"/>
      <c r="T199" s="16"/>
      <c r="U199" s="16"/>
      <c r="V199" s="16"/>
      <c r="W199" s="15"/>
      <c r="X199" s="15"/>
      <c r="Y199" s="15"/>
      <c r="Z199" s="15"/>
    </row>
    <row r="200" customHeight="1" spans="1:26">
      <c r="A200" s="17"/>
      <c r="B200" s="15"/>
      <c r="C200" s="15"/>
      <c r="D200" s="15"/>
      <c r="E200" s="15"/>
      <c r="F200" s="15"/>
      <c r="G200" s="15"/>
      <c r="H200" s="16"/>
      <c r="I200" s="16"/>
      <c r="J200" s="16"/>
      <c r="K200" s="16"/>
      <c r="L200" s="16"/>
      <c r="M200" s="16"/>
      <c r="N200" s="16"/>
      <c r="O200" s="16"/>
      <c r="P200" s="16"/>
      <c r="Q200" s="16"/>
      <c r="R200" s="16"/>
      <c r="S200" s="16"/>
      <c r="T200" s="16"/>
      <c r="U200" s="16"/>
      <c r="V200" s="16"/>
      <c r="W200" s="15"/>
      <c r="X200" s="15"/>
      <c r="Y200" s="15"/>
      <c r="Z200" s="15"/>
    </row>
    <row r="201" customHeight="1" spans="1:26">
      <c r="A201" s="17"/>
      <c r="B201" s="15"/>
      <c r="C201" s="15"/>
      <c r="D201" s="15"/>
      <c r="E201" s="15"/>
      <c r="F201" s="15"/>
      <c r="G201" s="15"/>
      <c r="H201" s="16"/>
      <c r="I201" s="16"/>
      <c r="J201" s="16"/>
      <c r="K201" s="16"/>
      <c r="L201" s="16"/>
      <c r="M201" s="16"/>
      <c r="N201" s="16"/>
      <c r="O201" s="16"/>
      <c r="P201" s="16"/>
      <c r="Q201" s="16"/>
      <c r="R201" s="16"/>
      <c r="S201" s="16"/>
      <c r="T201" s="16"/>
      <c r="U201" s="16"/>
      <c r="V201" s="16"/>
      <c r="W201" s="15"/>
      <c r="X201" s="15"/>
      <c r="Y201" s="15"/>
      <c r="Z201" s="15"/>
    </row>
    <row r="202" customHeight="1" spans="1:26">
      <c r="A202" s="17"/>
      <c r="B202" s="15"/>
      <c r="C202" s="15"/>
      <c r="D202" s="15"/>
      <c r="E202" s="15"/>
      <c r="F202" s="15"/>
      <c r="G202" s="15"/>
      <c r="H202" s="16"/>
      <c r="I202" s="16"/>
      <c r="J202" s="16"/>
      <c r="K202" s="16"/>
      <c r="L202" s="16"/>
      <c r="M202" s="16"/>
      <c r="N202" s="16"/>
      <c r="O202" s="16"/>
      <c r="P202" s="16"/>
      <c r="Q202" s="16"/>
      <c r="R202" s="16"/>
      <c r="S202" s="16"/>
      <c r="T202" s="16"/>
      <c r="U202" s="16"/>
      <c r="V202" s="16"/>
      <c r="W202" s="15"/>
      <c r="X202" s="15"/>
      <c r="Y202" s="15"/>
      <c r="Z202" s="15"/>
    </row>
    <row r="203" customHeight="1" spans="1:26">
      <c r="A203" s="17"/>
      <c r="B203" s="15"/>
      <c r="C203" s="15"/>
      <c r="D203" s="15"/>
      <c r="E203" s="15"/>
      <c r="F203" s="15"/>
      <c r="G203" s="15"/>
      <c r="H203" s="16"/>
      <c r="I203" s="16"/>
      <c r="J203" s="16"/>
      <c r="K203" s="16"/>
      <c r="L203" s="16"/>
      <c r="M203" s="16"/>
      <c r="N203" s="16"/>
      <c r="O203" s="16"/>
      <c r="P203" s="16"/>
      <c r="Q203" s="16"/>
      <c r="R203" s="16"/>
      <c r="S203" s="16"/>
      <c r="T203" s="16"/>
      <c r="U203" s="16"/>
      <c r="V203" s="16"/>
      <c r="W203" s="15"/>
      <c r="X203" s="15"/>
      <c r="Y203" s="15"/>
      <c r="Z203" s="15"/>
    </row>
    <row r="204" customHeight="1" spans="1:26">
      <c r="A204" s="17"/>
      <c r="B204" s="15"/>
      <c r="C204" s="15"/>
      <c r="D204" s="15"/>
      <c r="E204" s="15"/>
      <c r="F204" s="15"/>
      <c r="G204" s="15"/>
      <c r="H204" s="16"/>
      <c r="I204" s="16"/>
      <c r="J204" s="16"/>
      <c r="K204" s="16"/>
      <c r="L204" s="16"/>
      <c r="M204" s="16"/>
      <c r="N204" s="16"/>
      <c r="O204" s="16"/>
      <c r="P204" s="16"/>
      <c r="Q204" s="16"/>
      <c r="R204" s="16"/>
      <c r="S204" s="16"/>
      <c r="T204" s="16"/>
      <c r="U204" s="16"/>
      <c r="V204" s="16"/>
      <c r="W204" s="15"/>
      <c r="X204" s="15"/>
      <c r="Y204" s="15"/>
      <c r="Z204" s="15"/>
    </row>
    <row r="205" customHeight="1" spans="1:26">
      <c r="A205" s="17"/>
      <c r="B205" s="15"/>
      <c r="C205" s="15"/>
      <c r="D205" s="15"/>
      <c r="E205" s="15"/>
      <c r="F205" s="15"/>
      <c r="G205" s="15"/>
      <c r="H205" s="16"/>
      <c r="I205" s="16"/>
      <c r="J205" s="16"/>
      <c r="K205" s="16"/>
      <c r="L205" s="16"/>
      <c r="M205" s="16"/>
      <c r="N205" s="16"/>
      <c r="O205" s="16"/>
      <c r="P205" s="16"/>
      <c r="Q205" s="16"/>
      <c r="R205" s="16"/>
      <c r="S205" s="16"/>
      <c r="T205" s="16"/>
      <c r="U205" s="16"/>
      <c r="V205" s="16"/>
      <c r="W205" s="15"/>
      <c r="X205" s="15"/>
      <c r="Y205" s="15"/>
      <c r="Z205" s="15"/>
    </row>
    <row r="206" customHeight="1" spans="1:26">
      <c r="A206" s="17"/>
      <c r="B206" s="15"/>
      <c r="C206" s="15"/>
      <c r="D206" s="15"/>
      <c r="E206" s="15"/>
      <c r="F206" s="15"/>
      <c r="G206" s="15"/>
      <c r="H206" s="16"/>
      <c r="I206" s="16"/>
      <c r="J206" s="16"/>
      <c r="K206" s="16"/>
      <c r="L206" s="16"/>
      <c r="M206" s="16"/>
      <c r="N206" s="16"/>
      <c r="O206" s="16"/>
      <c r="P206" s="16"/>
      <c r="Q206" s="16"/>
      <c r="R206" s="16"/>
      <c r="S206" s="16"/>
      <c r="T206" s="16"/>
      <c r="U206" s="16"/>
      <c r="V206" s="16"/>
      <c r="W206" s="15"/>
      <c r="X206" s="15"/>
      <c r="Y206" s="15"/>
      <c r="Z206" s="15"/>
    </row>
    <row r="207" customHeight="1" spans="1:26">
      <c r="A207" s="17"/>
      <c r="B207" s="15"/>
      <c r="C207" s="15"/>
      <c r="D207" s="15"/>
      <c r="E207" s="15"/>
      <c r="F207" s="15"/>
      <c r="G207" s="15"/>
      <c r="H207" s="16"/>
      <c r="I207" s="16"/>
      <c r="J207" s="16"/>
      <c r="K207" s="16"/>
      <c r="L207" s="16"/>
      <c r="M207" s="16"/>
      <c r="N207" s="16"/>
      <c r="O207" s="16"/>
      <c r="P207" s="16"/>
      <c r="Q207" s="16"/>
      <c r="R207" s="16"/>
      <c r="S207" s="16"/>
      <c r="T207" s="16"/>
      <c r="U207" s="16"/>
      <c r="V207" s="16"/>
      <c r="W207" s="15"/>
      <c r="X207" s="15"/>
      <c r="Y207" s="15"/>
      <c r="Z207" s="15"/>
    </row>
    <row r="208" customHeight="1" spans="1:26">
      <c r="A208" s="17"/>
      <c r="B208" s="15"/>
      <c r="C208" s="15"/>
      <c r="D208" s="15"/>
      <c r="E208" s="15"/>
      <c r="F208" s="15"/>
      <c r="G208" s="15"/>
      <c r="H208" s="16"/>
      <c r="I208" s="16"/>
      <c r="J208" s="16"/>
      <c r="K208" s="16"/>
      <c r="L208" s="16"/>
      <c r="M208" s="16"/>
      <c r="N208" s="16"/>
      <c r="O208" s="16"/>
      <c r="P208" s="16"/>
      <c r="Q208" s="16"/>
      <c r="R208" s="16"/>
      <c r="S208" s="16"/>
      <c r="T208" s="16"/>
      <c r="U208" s="16"/>
      <c r="V208" s="16"/>
      <c r="W208" s="15"/>
      <c r="X208" s="15"/>
      <c r="Y208" s="15"/>
      <c r="Z208" s="15"/>
    </row>
    <row r="209" customHeight="1" spans="1:26">
      <c r="A209" s="17"/>
      <c r="B209" s="15"/>
      <c r="C209" s="15"/>
      <c r="D209" s="15"/>
      <c r="E209" s="15"/>
      <c r="F209" s="15"/>
      <c r="G209" s="15"/>
      <c r="H209" s="16"/>
      <c r="I209" s="16"/>
      <c r="J209" s="16"/>
      <c r="K209" s="16"/>
      <c r="L209" s="16"/>
      <c r="M209" s="16"/>
      <c r="N209" s="16"/>
      <c r="O209" s="16"/>
      <c r="P209" s="16"/>
      <c r="Q209" s="16"/>
      <c r="R209" s="16"/>
      <c r="S209" s="16"/>
      <c r="T209" s="16"/>
      <c r="U209" s="16"/>
      <c r="V209" s="16"/>
      <c r="W209" s="15"/>
      <c r="X209" s="15"/>
      <c r="Y209" s="15"/>
      <c r="Z209" s="15"/>
    </row>
    <row r="210" customHeight="1" spans="1:26">
      <c r="A210" s="17"/>
      <c r="B210" s="15"/>
      <c r="C210" s="15"/>
      <c r="D210" s="15"/>
      <c r="E210" s="15"/>
      <c r="F210" s="15"/>
      <c r="G210" s="15"/>
      <c r="H210" s="16"/>
      <c r="I210" s="16"/>
      <c r="J210" s="16"/>
      <c r="K210" s="16"/>
      <c r="L210" s="16"/>
      <c r="M210" s="16"/>
      <c r="N210" s="16"/>
      <c r="O210" s="16"/>
      <c r="P210" s="16"/>
      <c r="Q210" s="16"/>
      <c r="R210" s="16"/>
      <c r="S210" s="16"/>
      <c r="T210" s="16"/>
      <c r="U210" s="16"/>
      <c r="V210" s="16"/>
      <c r="W210" s="15"/>
      <c r="X210" s="15"/>
      <c r="Y210" s="15"/>
      <c r="Z210" s="15"/>
    </row>
    <row r="211" customHeight="1" spans="1:26">
      <c r="A211" s="17"/>
      <c r="B211" s="15"/>
      <c r="C211" s="15"/>
      <c r="D211" s="15"/>
      <c r="E211" s="15"/>
      <c r="F211" s="15"/>
      <c r="G211" s="15"/>
      <c r="H211" s="16"/>
      <c r="I211" s="16"/>
      <c r="J211" s="16"/>
      <c r="K211" s="16"/>
      <c r="L211" s="16"/>
      <c r="M211" s="16"/>
      <c r="N211" s="16"/>
      <c r="O211" s="16"/>
      <c r="P211" s="16"/>
      <c r="Q211" s="16"/>
      <c r="R211" s="16"/>
      <c r="S211" s="16"/>
      <c r="T211" s="16"/>
      <c r="U211" s="16"/>
      <c r="V211" s="16"/>
      <c r="W211" s="15"/>
      <c r="X211" s="15"/>
      <c r="Y211" s="15"/>
      <c r="Z211" s="15"/>
    </row>
    <row r="212" customHeight="1" spans="1:26">
      <c r="A212" s="17"/>
      <c r="B212" s="15"/>
      <c r="C212" s="15"/>
      <c r="D212" s="15"/>
      <c r="E212" s="15"/>
      <c r="F212" s="15"/>
      <c r="G212" s="15"/>
      <c r="H212" s="16"/>
      <c r="I212" s="16"/>
      <c r="J212" s="16"/>
      <c r="K212" s="16"/>
      <c r="L212" s="16"/>
      <c r="M212" s="16"/>
      <c r="N212" s="16"/>
      <c r="O212" s="16"/>
      <c r="P212" s="16"/>
      <c r="Q212" s="16"/>
      <c r="R212" s="16"/>
      <c r="S212" s="16"/>
      <c r="T212" s="16"/>
      <c r="U212" s="16"/>
      <c r="V212" s="16"/>
      <c r="W212" s="15"/>
      <c r="X212" s="15"/>
      <c r="Y212" s="15"/>
      <c r="Z212" s="15"/>
    </row>
    <row r="213" customHeight="1" spans="1:26">
      <c r="A213" s="17"/>
      <c r="B213" s="15"/>
      <c r="C213" s="15"/>
      <c r="D213" s="15"/>
      <c r="E213" s="15"/>
      <c r="F213" s="15"/>
      <c r="G213" s="15"/>
      <c r="H213" s="16"/>
      <c r="I213" s="16"/>
      <c r="J213" s="16"/>
      <c r="K213" s="16"/>
      <c r="L213" s="16"/>
      <c r="M213" s="16"/>
      <c r="N213" s="16"/>
      <c r="O213" s="16"/>
      <c r="P213" s="16"/>
      <c r="Q213" s="16"/>
      <c r="R213" s="16"/>
      <c r="S213" s="16"/>
      <c r="T213" s="16"/>
      <c r="U213" s="16"/>
      <c r="V213" s="16"/>
      <c r="W213" s="15"/>
      <c r="X213" s="15"/>
      <c r="Y213" s="15"/>
      <c r="Z213" s="15"/>
    </row>
    <row r="214" customHeight="1" spans="1:26">
      <c r="A214" s="17"/>
      <c r="B214" s="15"/>
      <c r="C214" s="15"/>
      <c r="D214" s="15"/>
      <c r="E214" s="15"/>
      <c r="F214" s="15"/>
      <c r="G214" s="15"/>
      <c r="H214" s="16"/>
      <c r="I214" s="16"/>
      <c r="J214" s="16"/>
      <c r="K214" s="16"/>
      <c r="L214" s="16"/>
      <c r="M214" s="16"/>
      <c r="N214" s="16"/>
      <c r="O214" s="16"/>
      <c r="P214" s="16"/>
      <c r="Q214" s="16"/>
      <c r="R214" s="16"/>
      <c r="S214" s="16"/>
      <c r="T214" s="16"/>
      <c r="U214" s="16"/>
      <c r="V214" s="16"/>
      <c r="W214" s="15"/>
      <c r="X214" s="15"/>
      <c r="Y214" s="15"/>
      <c r="Z214" s="15"/>
    </row>
    <row r="215" customHeight="1" spans="1:26">
      <c r="A215" s="17"/>
      <c r="B215" s="15"/>
      <c r="C215" s="15"/>
      <c r="D215" s="15"/>
      <c r="E215" s="15"/>
      <c r="F215" s="15"/>
      <c r="G215" s="15"/>
      <c r="H215" s="16"/>
      <c r="I215" s="16"/>
      <c r="J215" s="16"/>
      <c r="K215" s="16"/>
      <c r="L215" s="16"/>
      <c r="M215" s="16"/>
      <c r="N215" s="16"/>
      <c r="O215" s="16"/>
      <c r="P215" s="16"/>
      <c r="Q215" s="16"/>
      <c r="R215" s="16"/>
      <c r="S215" s="16"/>
      <c r="T215" s="16"/>
      <c r="U215" s="16"/>
      <c r="V215" s="16"/>
      <c r="W215" s="15"/>
      <c r="X215" s="15"/>
      <c r="Y215" s="15"/>
      <c r="Z215" s="15"/>
    </row>
    <row r="216" customHeight="1" spans="1:26">
      <c r="A216" s="17"/>
      <c r="B216" s="15"/>
      <c r="C216" s="15"/>
      <c r="D216" s="15"/>
      <c r="E216" s="15"/>
      <c r="F216" s="15"/>
      <c r="G216" s="15"/>
      <c r="H216" s="16"/>
      <c r="I216" s="16"/>
      <c r="J216" s="16"/>
      <c r="K216" s="16"/>
      <c r="L216" s="16"/>
      <c r="M216" s="16"/>
      <c r="N216" s="16"/>
      <c r="O216" s="16"/>
      <c r="P216" s="16"/>
      <c r="Q216" s="16"/>
      <c r="R216" s="16"/>
      <c r="S216" s="16"/>
      <c r="T216" s="16"/>
      <c r="U216" s="16"/>
      <c r="V216" s="16"/>
      <c r="W216" s="15"/>
      <c r="X216" s="15"/>
      <c r="Y216" s="15"/>
      <c r="Z216" s="15"/>
    </row>
    <row r="217" customHeight="1" spans="1:26">
      <c r="A217" s="17"/>
      <c r="B217" s="15"/>
      <c r="C217" s="15"/>
      <c r="D217" s="15"/>
      <c r="E217" s="15"/>
      <c r="F217" s="15"/>
      <c r="G217" s="15"/>
      <c r="H217" s="16"/>
      <c r="I217" s="16"/>
      <c r="J217" s="16"/>
      <c r="K217" s="16"/>
      <c r="L217" s="16"/>
      <c r="M217" s="16"/>
      <c r="N217" s="16"/>
      <c r="O217" s="16"/>
      <c r="P217" s="16"/>
      <c r="Q217" s="16"/>
      <c r="R217" s="16"/>
      <c r="S217" s="16"/>
      <c r="T217" s="16"/>
      <c r="U217" s="16"/>
      <c r="V217" s="16"/>
      <c r="W217" s="15"/>
      <c r="X217" s="15"/>
      <c r="Y217" s="15"/>
      <c r="Z217" s="15"/>
    </row>
    <row r="218" customHeight="1" spans="1:26">
      <c r="A218" s="17"/>
      <c r="B218" s="15"/>
      <c r="C218" s="15"/>
      <c r="D218" s="15"/>
      <c r="E218" s="15"/>
      <c r="F218" s="15"/>
      <c r="G218" s="15"/>
      <c r="H218" s="16"/>
      <c r="I218" s="16"/>
      <c r="J218" s="16"/>
      <c r="K218" s="16"/>
      <c r="L218" s="16"/>
      <c r="M218" s="16"/>
      <c r="N218" s="16"/>
      <c r="O218" s="16"/>
      <c r="P218" s="16"/>
      <c r="Q218" s="16"/>
      <c r="R218" s="16"/>
      <c r="S218" s="16"/>
      <c r="T218" s="16"/>
      <c r="U218" s="16"/>
      <c r="V218" s="16"/>
      <c r="W218" s="15"/>
      <c r="X218" s="15"/>
      <c r="Y218" s="15"/>
      <c r="Z218" s="15"/>
    </row>
    <row r="219" customHeight="1" spans="1:26">
      <c r="A219" s="17"/>
      <c r="B219" s="15"/>
      <c r="C219" s="15"/>
      <c r="D219" s="15"/>
      <c r="E219" s="15"/>
      <c r="F219" s="15"/>
      <c r="G219" s="15"/>
      <c r="H219" s="16"/>
      <c r="I219" s="16"/>
      <c r="J219" s="16"/>
      <c r="K219" s="16"/>
      <c r="L219" s="16"/>
      <c r="M219" s="16"/>
      <c r="N219" s="16"/>
      <c r="O219" s="16"/>
      <c r="P219" s="16"/>
      <c r="Q219" s="16"/>
      <c r="R219" s="16"/>
      <c r="S219" s="16"/>
      <c r="T219" s="16"/>
      <c r="U219" s="16"/>
      <c r="V219" s="16"/>
      <c r="W219" s="15"/>
      <c r="X219" s="15"/>
      <c r="Y219" s="15"/>
      <c r="Z219" s="15"/>
    </row>
    <row r="220" customHeight="1" spans="1:26">
      <c r="A220" s="17"/>
      <c r="B220" s="15"/>
      <c r="C220" s="15"/>
      <c r="D220" s="15"/>
      <c r="E220" s="15"/>
      <c r="F220" s="15"/>
      <c r="G220" s="15"/>
      <c r="H220" s="16"/>
      <c r="I220" s="16"/>
      <c r="J220" s="16"/>
      <c r="K220" s="16"/>
      <c r="L220" s="16"/>
      <c r="M220" s="16"/>
      <c r="N220" s="16"/>
      <c r="O220" s="16"/>
      <c r="P220" s="16"/>
      <c r="Q220" s="16"/>
      <c r="R220" s="16"/>
      <c r="S220" s="16"/>
      <c r="T220" s="16"/>
      <c r="U220" s="16"/>
      <c r="V220" s="16"/>
      <c r="W220" s="15"/>
      <c r="X220" s="15"/>
      <c r="Y220" s="15"/>
      <c r="Z220" s="15"/>
    </row>
    <row r="221" customHeight="1" spans="1:26">
      <c r="A221" s="17"/>
      <c r="B221" s="15"/>
      <c r="C221" s="15"/>
      <c r="D221" s="15"/>
      <c r="E221" s="15"/>
      <c r="F221" s="15"/>
      <c r="G221" s="15"/>
      <c r="H221" s="16"/>
      <c r="I221" s="16"/>
      <c r="J221" s="16"/>
      <c r="K221" s="16"/>
      <c r="L221" s="16"/>
      <c r="M221" s="16"/>
      <c r="N221" s="16"/>
      <c r="O221" s="16"/>
      <c r="P221" s="16"/>
      <c r="Q221" s="16"/>
      <c r="R221" s="16"/>
      <c r="S221" s="16"/>
      <c r="T221" s="16"/>
      <c r="U221" s="16"/>
      <c r="V221" s="16"/>
      <c r="W221" s="15"/>
      <c r="X221" s="15"/>
      <c r="Y221" s="15"/>
      <c r="Z221" s="15"/>
    </row>
    <row r="222" customHeight="1" spans="1:26">
      <c r="A222" s="17"/>
      <c r="B222" s="15"/>
      <c r="C222" s="15"/>
      <c r="D222" s="15"/>
      <c r="E222" s="15"/>
      <c r="F222" s="15"/>
      <c r="G222" s="15"/>
      <c r="H222" s="16"/>
      <c r="I222" s="16"/>
      <c r="J222" s="16"/>
      <c r="K222" s="16"/>
      <c r="L222" s="16"/>
      <c r="M222" s="16"/>
      <c r="N222" s="16"/>
      <c r="O222" s="16"/>
      <c r="P222" s="16"/>
      <c r="Q222" s="16"/>
      <c r="R222" s="16"/>
      <c r="S222" s="16"/>
      <c r="T222" s="16"/>
      <c r="U222" s="16"/>
      <c r="V222" s="16"/>
      <c r="W222" s="15"/>
      <c r="X222" s="15"/>
      <c r="Y222" s="15"/>
      <c r="Z222" s="15"/>
    </row>
    <row r="223" customHeight="1" spans="1:26">
      <c r="A223" s="17"/>
      <c r="B223" s="15"/>
      <c r="C223" s="15"/>
      <c r="D223" s="15"/>
      <c r="E223" s="15"/>
      <c r="F223" s="15"/>
      <c r="G223" s="15"/>
      <c r="H223" s="16"/>
      <c r="I223" s="16"/>
      <c r="J223" s="16"/>
      <c r="K223" s="16"/>
      <c r="L223" s="16"/>
      <c r="M223" s="16"/>
      <c r="N223" s="16"/>
      <c r="O223" s="16"/>
      <c r="P223" s="16"/>
      <c r="Q223" s="16"/>
      <c r="R223" s="16"/>
      <c r="S223" s="16"/>
      <c r="T223" s="16"/>
      <c r="U223" s="16"/>
      <c r="V223" s="16"/>
      <c r="W223" s="15"/>
      <c r="X223" s="15"/>
      <c r="Y223" s="15"/>
      <c r="Z223" s="15"/>
    </row>
    <row r="224" customHeight="1" spans="1:26">
      <c r="A224" s="17"/>
      <c r="B224" s="15"/>
      <c r="C224" s="15"/>
      <c r="D224" s="15"/>
      <c r="E224" s="15"/>
      <c r="F224" s="15"/>
      <c r="G224" s="15"/>
      <c r="H224" s="16"/>
      <c r="I224" s="16"/>
      <c r="J224" s="16"/>
      <c r="K224" s="16"/>
      <c r="L224" s="16"/>
      <c r="M224" s="16"/>
      <c r="N224" s="16"/>
      <c r="O224" s="16"/>
      <c r="P224" s="16"/>
      <c r="Q224" s="16"/>
      <c r="R224" s="16"/>
      <c r="S224" s="16"/>
      <c r="T224" s="16"/>
      <c r="U224" s="16"/>
      <c r="V224" s="16"/>
      <c r="W224" s="15"/>
      <c r="X224" s="15"/>
      <c r="Y224" s="15"/>
      <c r="Z224" s="15"/>
    </row>
    <row r="225" customHeight="1" spans="1:26">
      <c r="A225" s="17"/>
      <c r="B225" s="15"/>
      <c r="C225" s="15"/>
      <c r="D225" s="15"/>
      <c r="E225" s="15"/>
      <c r="F225" s="15"/>
      <c r="G225" s="15"/>
      <c r="H225" s="16"/>
      <c r="I225" s="16"/>
      <c r="J225" s="16"/>
      <c r="K225" s="16"/>
      <c r="L225" s="16"/>
      <c r="M225" s="16"/>
      <c r="N225" s="16"/>
      <c r="O225" s="16"/>
      <c r="P225" s="16"/>
      <c r="Q225" s="16"/>
      <c r="R225" s="16"/>
      <c r="S225" s="16"/>
      <c r="T225" s="16"/>
      <c r="U225" s="16"/>
      <c r="V225" s="16"/>
      <c r="W225" s="15"/>
      <c r="X225" s="15"/>
      <c r="Y225" s="15"/>
      <c r="Z225" s="15"/>
    </row>
    <row r="226" customHeight="1" spans="1:26">
      <c r="A226" s="17"/>
      <c r="B226" s="15"/>
      <c r="C226" s="15"/>
      <c r="D226" s="15"/>
      <c r="E226" s="15"/>
      <c r="F226" s="15"/>
      <c r="G226" s="15"/>
      <c r="H226" s="16"/>
      <c r="I226" s="16"/>
      <c r="J226" s="16"/>
      <c r="K226" s="16"/>
      <c r="L226" s="16"/>
      <c r="M226" s="16"/>
      <c r="N226" s="16"/>
      <c r="O226" s="16"/>
      <c r="P226" s="16"/>
      <c r="Q226" s="16"/>
      <c r="R226" s="16"/>
      <c r="S226" s="16"/>
      <c r="T226" s="16"/>
      <c r="U226" s="16"/>
      <c r="V226" s="16"/>
      <c r="W226" s="15"/>
      <c r="X226" s="15"/>
      <c r="Y226" s="15"/>
      <c r="Z226" s="15"/>
    </row>
    <row r="227" customHeight="1" spans="1:26">
      <c r="A227" s="17"/>
      <c r="B227" s="15"/>
      <c r="C227" s="15"/>
      <c r="D227" s="15"/>
      <c r="E227" s="15"/>
      <c r="F227" s="15"/>
      <c r="G227" s="15"/>
      <c r="H227" s="16"/>
      <c r="I227" s="16"/>
      <c r="J227" s="16"/>
      <c r="K227" s="16"/>
      <c r="L227" s="16"/>
      <c r="M227" s="16"/>
      <c r="N227" s="16"/>
      <c r="O227" s="16"/>
      <c r="P227" s="16"/>
      <c r="Q227" s="16"/>
      <c r="R227" s="16"/>
      <c r="S227" s="16"/>
      <c r="T227" s="16"/>
      <c r="U227" s="16"/>
      <c r="V227" s="16"/>
      <c r="W227" s="15"/>
      <c r="X227" s="15"/>
      <c r="Y227" s="15"/>
      <c r="Z227" s="15"/>
    </row>
    <row r="228" customHeight="1" spans="1:26">
      <c r="A228" s="17"/>
      <c r="B228" s="15"/>
      <c r="C228" s="15"/>
      <c r="D228" s="15"/>
      <c r="E228" s="15"/>
      <c r="F228" s="15"/>
      <c r="G228" s="15"/>
      <c r="H228" s="16"/>
      <c r="I228" s="16"/>
      <c r="J228" s="16"/>
      <c r="K228" s="16"/>
      <c r="L228" s="16"/>
      <c r="M228" s="16"/>
      <c r="N228" s="16"/>
      <c r="O228" s="16"/>
      <c r="P228" s="16"/>
      <c r="Q228" s="16"/>
      <c r="R228" s="16"/>
      <c r="S228" s="16"/>
      <c r="T228" s="16"/>
      <c r="U228" s="16"/>
      <c r="V228" s="16"/>
      <c r="W228" s="15"/>
      <c r="X228" s="15"/>
      <c r="Y228" s="15"/>
      <c r="Z228" s="15"/>
    </row>
    <row r="229" customHeight="1" spans="1:26">
      <c r="A229" s="17"/>
      <c r="B229" s="15"/>
      <c r="C229" s="15"/>
      <c r="D229" s="15"/>
      <c r="E229" s="15"/>
      <c r="F229" s="15"/>
      <c r="G229" s="15"/>
      <c r="H229" s="16"/>
      <c r="I229" s="16"/>
      <c r="J229" s="16"/>
      <c r="K229" s="16"/>
      <c r="L229" s="16"/>
      <c r="M229" s="16"/>
      <c r="N229" s="16"/>
      <c r="O229" s="16"/>
      <c r="P229" s="16"/>
      <c r="Q229" s="16"/>
      <c r="R229" s="16"/>
      <c r="S229" s="16"/>
      <c r="T229" s="16"/>
      <c r="U229" s="16"/>
      <c r="V229" s="16"/>
      <c r="W229" s="15"/>
      <c r="X229" s="15"/>
      <c r="Y229" s="15"/>
      <c r="Z229" s="15"/>
    </row>
    <row r="230" customHeight="1" spans="1:26">
      <c r="A230" s="17"/>
      <c r="B230" s="15"/>
      <c r="C230" s="15"/>
      <c r="D230" s="15"/>
      <c r="E230" s="15"/>
      <c r="F230" s="15"/>
      <c r="G230" s="15"/>
      <c r="H230" s="16"/>
      <c r="I230" s="16"/>
      <c r="J230" s="16"/>
      <c r="K230" s="16"/>
      <c r="L230" s="16"/>
      <c r="M230" s="16"/>
      <c r="N230" s="16"/>
      <c r="O230" s="16"/>
      <c r="P230" s="16"/>
      <c r="Q230" s="16"/>
      <c r="R230" s="16"/>
      <c r="S230" s="16"/>
      <c r="T230" s="16"/>
      <c r="U230" s="16"/>
      <c r="V230" s="16"/>
      <c r="W230" s="15"/>
      <c r="X230" s="15"/>
      <c r="Y230" s="15"/>
      <c r="Z230" s="15"/>
    </row>
    <row r="231" customHeight="1" spans="1:26">
      <c r="A231" s="17"/>
      <c r="B231" s="15"/>
      <c r="C231" s="15"/>
      <c r="D231" s="15"/>
      <c r="E231" s="15"/>
      <c r="F231" s="15"/>
      <c r="G231" s="15"/>
      <c r="H231" s="16"/>
      <c r="I231" s="16"/>
      <c r="J231" s="16"/>
      <c r="K231" s="16"/>
      <c r="L231" s="16"/>
      <c r="M231" s="16"/>
      <c r="N231" s="16"/>
      <c r="O231" s="16"/>
      <c r="P231" s="16"/>
      <c r="Q231" s="16"/>
      <c r="R231" s="16"/>
      <c r="S231" s="16"/>
      <c r="T231" s="16"/>
      <c r="U231" s="16"/>
      <c r="V231" s="16"/>
      <c r="W231" s="15"/>
      <c r="X231" s="15"/>
      <c r="Y231" s="15"/>
      <c r="Z231" s="15"/>
    </row>
    <row r="232" customHeight="1" spans="1:26">
      <c r="A232" s="17"/>
      <c r="B232" s="15"/>
      <c r="C232" s="15"/>
      <c r="D232" s="15"/>
      <c r="E232" s="15"/>
      <c r="F232" s="15"/>
      <c r="G232" s="15"/>
      <c r="H232" s="16"/>
      <c r="I232" s="16"/>
      <c r="J232" s="16"/>
      <c r="K232" s="16"/>
      <c r="L232" s="16"/>
      <c r="M232" s="16"/>
      <c r="N232" s="16"/>
      <c r="O232" s="16"/>
      <c r="P232" s="16"/>
      <c r="Q232" s="16"/>
      <c r="R232" s="16"/>
      <c r="S232" s="16"/>
      <c r="T232" s="16"/>
      <c r="U232" s="16"/>
      <c r="V232" s="16"/>
      <c r="W232" s="15"/>
      <c r="X232" s="15"/>
      <c r="Y232" s="15"/>
      <c r="Z232" s="15"/>
    </row>
    <row r="233" customHeight="1" spans="1:26">
      <c r="A233" s="17"/>
      <c r="B233" s="15"/>
      <c r="C233" s="15"/>
      <c r="D233" s="15"/>
      <c r="E233" s="15"/>
      <c r="F233" s="15"/>
      <c r="G233" s="15"/>
      <c r="H233" s="16"/>
      <c r="I233" s="16"/>
      <c r="J233" s="16"/>
      <c r="K233" s="16"/>
      <c r="L233" s="16"/>
      <c r="M233" s="16"/>
      <c r="N233" s="16"/>
      <c r="O233" s="16"/>
      <c r="P233" s="16"/>
      <c r="Q233" s="16"/>
      <c r="R233" s="16"/>
      <c r="S233" s="16"/>
      <c r="T233" s="16"/>
      <c r="U233" s="16"/>
      <c r="V233" s="16"/>
      <c r="W233" s="15"/>
      <c r="X233" s="15"/>
      <c r="Y233" s="15"/>
      <c r="Z233" s="15"/>
    </row>
    <row r="234" customHeight="1" spans="1:26">
      <c r="A234" s="17"/>
      <c r="B234" s="15"/>
      <c r="C234" s="15"/>
      <c r="D234" s="15"/>
      <c r="E234" s="15"/>
      <c r="F234" s="15"/>
      <c r="G234" s="15"/>
      <c r="H234" s="16"/>
      <c r="I234" s="16"/>
      <c r="J234" s="16"/>
      <c r="K234" s="16"/>
      <c r="L234" s="16"/>
      <c r="M234" s="16"/>
      <c r="N234" s="16"/>
      <c r="O234" s="16"/>
      <c r="P234" s="16"/>
      <c r="Q234" s="16"/>
      <c r="R234" s="16"/>
      <c r="S234" s="16"/>
      <c r="T234" s="16"/>
      <c r="U234" s="16"/>
      <c r="V234" s="16"/>
      <c r="W234" s="15"/>
      <c r="X234" s="15"/>
      <c r="Y234" s="15"/>
      <c r="Z234" s="15"/>
    </row>
    <row r="235" customHeight="1" spans="1:26">
      <c r="A235" s="17"/>
      <c r="B235" s="15"/>
      <c r="C235" s="15"/>
      <c r="D235" s="15"/>
      <c r="E235" s="15"/>
      <c r="F235" s="15"/>
      <c r="G235" s="15"/>
      <c r="H235" s="16"/>
      <c r="I235" s="16"/>
      <c r="J235" s="16"/>
      <c r="K235" s="16"/>
      <c r="L235" s="16"/>
      <c r="M235" s="16"/>
      <c r="N235" s="16"/>
      <c r="O235" s="16"/>
      <c r="P235" s="16"/>
      <c r="Q235" s="16"/>
      <c r="R235" s="16"/>
      <c r="S235" s="16"/>
      <c r="T235" s="16"/>
      <c r="U235" s="16"/>
      <c r="V235" s="16"/>
      <c r="W235" s="15"/>
      <c r="X235" s="15"/>
      <c r="Y235" s="15"/>
      <c r="Z235" s="15"/>
    </row>
    <row r="236" customHeight="1" spans="1:26">
      <c r="A236" s="17"/>
      <c r="B236" s="15"/>
      <c r="C236" s="15"/>
      <c r="D236" s="15"/>
      <c r="E236" s="15"/>
      <c r="F236" s="15"/>
      <c r="G236" s="15"/>
      <c r="H236" s="16"/>
      <c r="I236" s="16"/>
      <c r="J236" s="16"/>
      <c r="K236" s="16"/>
      <c r="L236" s="16"/>
      <c r="M236" s="16"/>
      <c r="N236" s="16"/>
      <c r="O236" s="16"/>
      <c r="P236" s="16"/>
      <c r="Q236" s="16"/>
      <c r="R236" s="16"/>
      <c r="S236" s="16"/>
      <c r="T236" s="16"/>
      <c r="U236" s="16"/>
      <c r="V236" s="16"/>
      <c r="W236" s="15"/>
      <c r="X236" s="15"/>
      <c r="Y236" s="15"/>
      <c r="Z236" s="15"/>
    </row>
    <row r="237" customHeight="1" spans="1:26">
      <c r="A237" s="17"/>
      <c r="B237" s="15"/>
      <c r="C237" s="15"/>
      <c r="D237" s="15"/>
      <c r="E237" s="15"/>
      <c r="F237" s="15"/>
      <c r="G237" s="15"/>
      <c r="H237" s="16"/>
      <c r="I237" s="16"/>
      <c r="J237" s="16"/>
      <c r="K237" s="16"/>
      <c r="L237" s="16"/>
      <c r="M237" s="16"/>
      <c r="N237" s="16"/>
      <c r="O237" s="16"/>
      <c r="P237" s="16"/>
      <c r="Q237" s="16"/>
      <c r="R237" s="16"/>
      <c r="S237" s="16"/>
      <c r="T237" s="16"/>
      <c r="U237" s="16"/>
      <c r="V237" s="16"/>
      <c r="W237" s="15"/>
      <c r="X237" s="15"/>
      <c r="Y237" s="15"/>
      <c r="Z237" s="15"/>
    </row>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row r="1001" ht="13.2"/>
  </sheetData>
  <mergeCells count="24">
    <mergeCell ref="H2:I2"/>
    <mergeCell ref="J2:K2"/>
    <mergeCell ref="L2:M2"/>
    <mergeCell ref="H10:L10"/>
    <mergeCell ref="M10:Q10"/>
    <mergeCell ref="R10:V10"/>
    <mergeCell ref="H11:J11"/>
    <mergeCell ref="M11:O11"/>
    <mergeCell ref="R11:T11"/>
    <mergeCell ref="A10:A12"/>
    <mergeCell ref="B10:B12"/>
    <mergeCell ref="C10:C12"/>
    <mergeCell ref="D10:D12"/>
    <mergeCell ref="E10:E12"/>
    <mergeCell ref="F10:F12"/>
    <mergeCell ref="G10:G12"/>
    <mergeCell ref="K11:K12"/>
    <mergeCell ref="L11:L12"/>
    <mergeCell ref="N2:N3"/>
    <mergeCell ref="P11:P12"/>
    <mergeCell ref="Q11:Q12"/>
    <mergeCell ref="U11:U12"/>
    <mergeCell ref="V11:V12"/>
    <mergeCell ref="W10:W12"/>
  </mergeCells>
  <dataValidations count="1">
    <dataValidation type="list" allowBlank="1" showErrorMessage="1" sqref="H13:I37 R13:S37 M13:N37">
      <formula1>"Passed,Failed,Blocked,Not Run"</formula1>
    </dataValidation>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1"/>
  <sheetViews>
    <sheetView showGridLines="0" workbookViewId="0">
      <selection activeCell="A1" sqref="A1"/>
    </sheetView>
  </sheetViews>
  <sheetFormatPr defaultColWidth="12.6296296296296" defaultRowHeight="15.75" customHeight="1"/>
  <cols>
    <col min="1" max="1" width="12.6296296296296" customWidth="1"/>
    <col min="2" max="2" width="15.6296296296296" customWidth="1"/>
    <col min="3" max="3" width="18.75" customWidth="1"/>
    <col min="4" max="4" width="25.1296296296296" customWidth="1"/>
    <col min="5" max="5" width="28.3796296296296" customWidth="1"/>
    <col min="6" max="7" width="37.6296296296296" customWidth="1"/>
    <col min="8" max="9" width="18.5" customWidth="1"/>
    <col min="10" max="10" width="19.5" customWidth="1"/>
    <col min="11" max="11" width="23.75" customWidth="1"/>
    <col min="12" max="12" width="14.75" customWidth="1"/>
    <col min="13" max="14" width="18.5" customWidth="1"/>
    <col min="15" max="15" width="19.5" customWidth="1"/>
    <col min="16" max="16" width="27.75" customWidth="1"/>
    <col min="17" max="17" width="15.3796296296296" customWidth="1"/>
    <col min="18" max="19" width="18.5" customWidth="1"/>
    <col min="20" max="20" width="19.5" customWidth="1"/>
    <col min="21" max="21" width="26.3796296296296" customWidth="1"/>
    <col min="22" max="22" width="15" customWidth="1"/>
    <col min="23" max="23" width="27" customWidth="1"/>
    <col min="24" max="26" width="11.8796296296296" customWidth="1"/>
  </cols>
  <sheetData>
    <row r="1" customHeight="1" spans="1:26">
      <c r="A1" s="14" t="s">
        <v>86</v>
      </c>
      <c r="B1" s="15"/>
      <c r="C1" s="15"/>
      <c r="D1" s="15"/>
      <c r="E1" s="15"/>
      <c r="F1" s="15"/>
      <c r="G1" s="15"/>
      <c r="H1" s="16"/>
      <c r="I1" s="16"/>
      <c r="J1" s="16"/>
      <c r="K1" s="16"/>
      <c r="L1" s="16"/>
      <c r="M1" s="16"/>
      <c r="N1" s="16"/>
      <c r="O1" s="16"/>
      <c r="P1" s="16"/>
      <c r="Q1" s="16"/>
      <c r="R1" s="16"/>
      <c r="S1" s="16"/>
      <c r="T1" s="16"/>
      <c r="U1" s="16"/>
      <c r="V1" s="16"/>
      <c r="W1" s="15"/>
      <c r="X1" s="15"/>
      <c r="Y1" s="15"/>
      <c r="Z1" s="15"/>
    </row>
    <row r="2" customHeight="1" spans="1:26">
      <c r="A2" s="17"/>
      <c r="B2" s="15"/>
      <c r="C2" s="15"/>
      <c r="D2" s="15"/>
      <c r="E2" s="15"/>
      <c r="F2" s="15"/>
      <c r="G2" s="15"/>
      <c r="H2" s="18" t="s">
        <v>64</v>
      </c>
      <c r="I2" s="31"/>
      <c r="J2" s="18" t="s">
        <v>65</v>
      </c>
      <c r="K2" s="31"/>
      <c r="L2" s="18" t="s">
        <v>66</v>
      </c>
      <c r="M2" s="31"/>
      <c r="N2" s="23" t="s">
        <v>87</v>
      </c>
      <c r="O2" s="16"/>
      <c r="P2" s="16"/>
      <c r="Q2" s="16"/>
      <c r="R2" s="16"/>
      <c r="S2" s="16"/>
      <c r="T2" s="16"/>
      <c r="U2" s="16"/>
      <c r="V2" s="16"/>
      <c r="W2" s="15"/>
      <c r="X2" s="15"/>
      <c r="Y2" s="15"/>
      <c r="Z2" s="15"/>
    </row>
    <row r="3" customHeight="1" spans="1:26">
      <c r="A3" s="6" t="s">
        <v>26</v>
      </c>
      <c r="B3" s="6" t="s">
        <v>88</v>
      </c>
      <c r="C3" s="15"/>
      <c r="D3" s="6" t="s">
        <v>89</v>
      </c>
      <c r="E3" s="6" t="s">
        <v>90</v>
      </c>
      <c r="F3" s="15"/>
      <c r="G3" s="19"/>
      <c r="H3" s="6" t="s">
        <v>67</v>
      </c>
      <c r="I3" s="6" t="s">
        <v>68</v>
      </c>
      <c r="J3" s="6" t="s">
        <v>67</v>
      </c>
      <c r="K3" s="6" t="s">
        <v>68</v>
      </c>
      <c r="L3" s="6" t="s">
        <v>67</v>
      </c>
      <c r="M3" s="6" t="s">
        <v>68</v>
      </c>
      <c r="N3" s="25"/>
      <c r="O3" s="16"/>
      <c r="P3" s="16"/>
      <c r="Q3" s="16"/>
      <c r="R3" s="16"/>
      <c r="S3" s="16"/>
      <c r="T3" s="16"/>
      <c r="U3" s="16"/>
      <c r="V3" s="16"/>
      <c r="W3" s="15"/>
      <c r="X3" s="15"/>
      <c r="Y3" s="15"/>
      <c r="Z3" s="15"/>
    </row>
    <row r="4" customHeight="1" spans="1:26">
      <c r="A4" s="20" t="s">
        <v>13</v>
      </c>
      <c r="B4" s="21" t="s">
        <v>420</v>
      </c>
      <c r="C4" s="15"/>
      <c r="D4" s="20" t="s">
        <v>676</v>
      </c>
      <c r="E4" s="21" t="s">
        <v>677</v>
      </c>
      <c r="F4" s="15"/>
      <c r="G4" s="6" t="s">
        <v>96</v>
      </c>
      <c r="H4" s="22">
        <f t="shared" ref="H4:I4" si="0">COUNTIF(H13:H216,"PASSED")</f>
        <v>20</v>
      </c>
      <c r="I4" s="22">
        <f t="shared" si="0"/>
        <v>20</v>
      </c>
      <c r="J4" s="22">
        <f t="shared" ref="J4:K4" si="1">COUNTIF(M13:M216,"PASSED")</f>
        <v>20</v>
      </c>
      <c r="K4" s="22">
        <f t="shared" si="1"/>
        <v>20</v>
      </c>
      <c r="L4" s="22">
        <f t="shared" ref="L4:M4" si="2">COUNTIF(R13:R216,"PASSED")</f>
        <v>20</v>
      </c>
      <c r="M4" s="22">
        <f t="shared" si="2"/>
        <v>20</v>
      </c>
      <c r="N4" s="22">
        <f t="shared" ref="N4:N8" si="3">SUM(H4:M4)</f>
        <v>120</v>
      </c>
      <c r="O4" s="16"/>
      <c r="P4" s="16"/>
      <c r="Q4" s="16"/>
      <c r="R4" s="16"/>
      <c r="S4" s="16"/>
      <c r="T4" s="16"/>
      <c r="U4" s="16"/>
      <c r="V4" s="16"/>
      <c r="W4" s="15"/>
      <c r="X4" s="15"/>
      <c r="Y4" s="15"/>
      <c r="Z4" s="15"/>
    </row>
    <row r="5" customHeight="1" spans="1:26">
      <c r="A5" s="20"/>
      <c r="B5" s="20"/>
      <c r="C5" s="15"/>
      <c r="D5" s="20" t="s">
        <v>678</v>
      </c>
      <c r="E5" s="21" t="s">
        <v>679</v>
      </c>
      <c r="F5" s="15"/>
      <c r="G5" s="6" t="s">
        <v>97</v>
      </c>
      <c r="H5" s="22">
        <f t="shared" ref="H5:I5" si="4">COUNTIF(H13:H226,"FAILED")</f>
        <v>0</v>
      </c>
      <c r="I5" s="22">
        <f t="shared" si="4"/>
        <v>0</v>
      </c>
      <c r="J5" s="22">
        <f t="shared" ref="J5:K5" si="5">COUNTIF(M14:M217,"FAILED")</f>
        <v>0</v>
      </c>
      <c r="K5" s="22">
        <f t="shared" si="5"/>
        <v>0</v>
      </c>
      <c r="L5" s="22">
        <f t="shared" ref="L5:M5" si="6">COUNTIF(R14:R217,"FAILED")</f>
        <v>0</v>
      </c>
      <c r="M5" s="22">
        <f t="shared" si="6"/>
        <v>0</v>
      </c>
      <c r="N5" s="22">
        <f t="shared" si="3"/>
        <v>0</v>
      </c>
      <c r="O5" s="16"/>
      <c r="P5" s="16"/>
      <c r="Q5" s="16"/>
      <c r="R5" s="16"/>
      <c r="S5" s="16"/>
      <c r="T5" s="16"/>
      <c r="U5" s="16"/>
      <c r="V5" s="16"/>
      <c r="W5" s="15"/>
      <c r="X5" s="15"/>
      <c r="Y5" s="15"/>
      <c r="Z5" s="15"/>
    </row>
    <row r="6" customHeight="1" spans="1:26">
      <c r="A6" s="20"/>
      <c r="B6" s="20"/>
      <c r="C6" s="15"/>
      <c r="D6" s="20" t="s">
        <v>680</v>
      </c>
      <c r="E6" s="21" t="s">
        <v>681</v>
      </c>
      <c r="F6" s="15"/>
      <c r="G6" s="6" t="s">
        <v>98</v>
      </c>
      <c r="H6" s="22">
        <f t="shared" ref="H6:I6" si="7">COUNTIF(H13:H236,"BLOCKED")</f>
        <v>0</v>
      </c>
      <c r="I6" s="22">
        <f t="shared" si="7"/>
        <v>0</v>
      </c>
      <c r="J6" s="22">
        <f t="shared" ref="J6:K6" si="8">COUNTIF(M15:M218,"BLOCKED")</f>
        <v>0</v>
      </c>
      <c r="K6" s="22">
        <f t="shared" si="8"/>
        <v>0</v>
      </c>
      <c r="L6" s="22">
        <f t="shared" ref="L6:M6" si="9">COUNTIF(R15:R218,"BLOCKED")</f>
        <v>0</v>
      </c>
      <c r="M6" s="22">
        <f t="shared" si="9"/>
        <v>0</v>
      </c>
      <c r="N6" s="22">
        <f t="shared" si="3"/>
        <v>0</v>
      </c>
      <c r="O6" s="16"/>
      <c r="P6" s="16"/>
      <c r="Q6" s="16"/>
      <c r="R6" s="16"/>
      <c r="S6" s="16"/>
      <c r="T6" s="16"/>
      <c r="U6" s="16"/>
      <c r="V6" s="16"/>
      <c r="W6" s="15"/>
      <c r="X6" s="15"/>
      <c r="Y6" s="15"/>
      <c r="Z6" s="15"/>
    </row>
    <row r="7" customHeight="1" spans="1:26">
      <c r="A7" s="20"/>
      <c r="B7" s="20"/>
      <c r="C7" s="15"/>
      <c r="D7" s="20" t="s">
        <v>682</v>
      </c>
      <c r="E7" s="21" t="s">
        <v>683</v>
      </c>
      <c r="F7" s="15"/>
      <c r="G7" s="6" t="s">
        <v>99</v>
      </c>
      <c r="H7" s="22">
        <f t="shared" ref="H7:I7" si="10">COUNTIF(H13:H246,"NOT RUN")</f>
        <v>0</v>
      </c>
      <c r="I7" s="22">
        <f t="shared" si="10"/>
        <v>0</v>
      </c>
      <c r="J7" s="22">
        <f t="shared" ref="J7:K7" si="11">COUNTIF(M16:M219,"NOT RUN")</f>
        <v>0</v>
      </c>
      <c r="K7" s="22">
        <f t="shared" si="11"/>
        <v>0</v>
      </c>
      <c r="L7" s="22">
        <f t="shared" ref="L7:M7" si="12">COUNTIF(R16:R219,"NOT RUN")</f>
        <v>0</v>
      </c>
      <c r="M7" s="22">
        <f t="shared" si="12"/>
        <v>0</v>
      </c>
      <c r="N7" s="22">
        <f t="shared" si="3"/>
        <v>0</v>
      </c>
      <c r="O7" s="16"/>
      <c r="P7" s="16"/>
      <c r="Q7" s="16"/>
      <c r="R7" s="16"/>
      <c r="S7" s="16"/>
      <c r="T7" s="16"/>
      <c r="U7" s="16"/>
      <c r="V7" s="16"/>
      <c r="W7" s="15"/>
      <c r="X7" s="15"/>
      <c r="Y7" s="15"/>
      <c r="Z7" s="15"/>
    </row>
    <row r="8" customHeight="1" spans="1:26">
      <c r="A8" s="20"/>
      <c r="B8" s="20"/>
      <c r="C8" s="15"/>
      <c r="D8" s="20"/>
      <c r="E8" s="20"/>
      <c r="F8" s="15"/>
      <c r="G8" s="6" t="s">
        <v>100</v>
      </c>
      <c r="H8" s="22">
        <f t="shared" ref="H8:M8" si="13">COUNTA($G13:$G228)</f>
        <v>20</v>
      </c>
      <c r="I8" s="22">
        <f t="shared" si="13"/>
        <v>20</v>
      </c>
      <c r="J8" s="22">
        <f t="shared" si="13"/>
        <v>20</v>
      </c>
      <c r="K8" s="22">
        <f t="shared" si="13"/>
        <v>20</v>
      </c>
      <c r="L8" s="22">
        <f t="shared" si="13"/>
        <v>20</v>
      </c>
      <c r="M8" s="22">
        <f t="shared" si="13"/>
        <v>20</v>
      </c>
      <c r="N8" s="22">
        <f t="shared" si="3"/>
        <v>120</v>
      </c>
      <c r="O8" s="16"/>
      <c r="P8" s="16"/>
      <c r="Q8" s="16"/>
      <c r="R8" s="16"/>
      <c r="S8" s="16"/>
      <c r="T8" s="16"/>
      <c r="U8" s="16"/>
      <c r="V8" s="16"/>
      <c r="W8" s="15"/>
      <c r="X8" s="15"/>
      <c r="Y8" s="15"/>
      <c r="Z8" s="15"/>
    </row>
    <row r="9" customHeight="1" spans="1:26">
      <c r="A9" s="17"/>
      <c r="B9" s="15"/>
      <c r="C9" s="15"/>
      <c r="D9" s="15"/>
      <c r="E9" s="15"/>
      <c r="F9" s="15"/>
      <c r="G9" s="15"/>
      <c r="H9" s="16"/>
      <c r="I9" s="16"/>
      <c r="J9" s="16"/>
      <c r="K9" s="16"/>
      <c r="L9" s="16"/>
      <c r="M9" s="16"/>
      <c r="N9" s="16"/>
      <c r="O9" s="16"/>
      <c r="P9" s="16"/>
      <c r="Q9" s="16"/>
      <c r="R9" s="16"/>
      <c r="S9" s="16"/>
      <c r="T9" s="16"/>
      <c r="U9" s="16"/>
      <c r="V9" s="16"/>
      <c r="W9" s="15"/>
      <c r="X9" s="15"/>
      <c r="Y9" s="15"/>
      <c r="Z9" s="15"/>
    </row>
    <row r="10" customHeight="1" spans="1:26">
      <c r="A10" s="23" t="s">
        <v>22</v>
      </c>
      <c r="B10" s="23" t="s">
        <v>101</v>
      </c>
      <c r="C10" s="23" t="s">
        <v>102</v>
      </c>
      <c r="D10" s="23" t="s">
        <v>103</v>
      </c>
      <c r="E10" s="23" t="s">
        <v>104</v>
      </c>
      <c r="F10" s="23" t="s">
        <v>105</v>
      </c>
      <c r="G10" s="23" t="s">
        <v>106</v>
      </c>
      <c r="H10" s="18" t="s">
        <v>64</v>
      </c>
      <c r="I10" s="32"/>
      <c r="J10" s="32"/>
      <c r="K10" s="32"/>
      <c r="L10" s="31"/>
      <c r="M10" s="18" t="s">
        <v>65</v>
      </c>
      <c r="N10" s="32"/>
      <c r="O10" s="32"/>
      <c r="P10" s="32"/>
      <c r="Q10" s="31"/>
      <c r="R10" s="18" t="s">
        <v>66</v>
      </c>
      <c r="S10" s="32"/>
      <c r="T10" s="32"/>
      <c r="U10" s="32"/>
      <c r="V10" s="31"/>
      <c r="W10" s="23" t="s">
        <v>29</v>
      </c>
      <c r="X10" s="13"/>
      <c r="Y10" s="13"/>
      <c r="Z10" s="13"/>
    </row>
    <row r="11" customHeight="1" spans="1:26">
      <c r="A11" s="24"/>
      <c r="B11" s="24"/>
      <c r="C11" s="24"/>
      <c r="D11" s="24"/>
      <c r="E11" s="24"/>
      <c r="F11" s="24"/>
      <c r="G11" s="24"/>
      <c r="H11" s="18" t="s">
        <v>107</v>
      </c>
      <c r="I11" s="32"/>
      <c r="J11" s="31"/>
      <c r="K11" s="23" t="s">
        <v>108</v>
      </c>
      <c r="L11" s="23" t="s">
        <v>109</v>
      </c>
      <c r="M11" s="18" t="s">
        <v>107</v>
      </c>
      <c r="N11" s="32"/>
      <c r="O11" s="31"/>
      <c r="P11" s="23" t="s">
        <v>108</v>
      </c>
      <c r="Q11" s="23" t="s">
        <v>109</v>
      </c>
      <c r="R11" s="18" t="s">
        <v>107</v>
      </c>
      <c r="S11" s="32"/>
      <c r="T11" s="31"/>
      <c r="U11" s="23" t="s">
        <v>108</v>
      </c>
      <c r="V11" s="23" t="s">
        <v>109</v>
      </c>
      <c r="W11" s="24"/>
      <c r="X11" s="15"/>
      <c r="Y11" s="15"/>
      <c r="Z11" s="15"/>
    </row>
    <row r="12" customHeight="1" spans="1:26">
      <c r="A12" s="25"/>
      <c r="B12" s="25"/>
      <c r="C12" s="25"/>
      <c r="D12" s="25"/>
      <c r="E12" s="25"/>
      <c r="F12" s="25"/>
      <c r="G12" s="25"/>
      <c r="H12" s="6" t="s">
        <v>67</v>
      </c>
      <c r="I12" s="6" t="s">
        <v>68</v>
      </c>
      <c r="J12" s="6" t="s">
        <v>110</v>
      </c>
      <c r="K12" s="25"/>
      <c r="L12" s="25"/>
      <c r="M12" s="6" t="s">
        <v>67</v>
      </c>
      <c r="N12" s="6" t="s">
        <v>68</v>
      </c>
      <c r="O12" s="6" t="s">
        <v>110</v>
      </c>
      <c r="P12" s="25"/>
      <c r="Q12" s="25"/>
      <c r="R12" s="6" t="s">
        <v>67</v>
      </c>
      <c r="S12" s="6" t="s">
        <v>68</v>
      </c>
      <c r="T12" s="6" t="s">
        <v>110</v>
      </c>
      <c r="U12" s="25"/>
      <c r="V12" s="25"/>
      <c r="W12" s="25"/>
      <c r="X12" s="15"/>
      <c r="Y12" s="15"/>
      <c r="Z12" s="15"/>
    </row>
    <row r="13" ht="56.25" customHeight="1" spans="1:26">
      <c r="A13" s="26" t="str">
        <f t="shared" ref="A13:A32" si="14">"ID-00"&amp;(ROW()-(ROW($A$12)))</f>
        <v>ID-001</v>
      </c>
      <c r="B13" s="27" t="s">
        <v>684</v>
      </c>
      <c r="C13" s="28" t="s">
        <v>685</v>
      </c>
      <c r="D13" s="28" t="s">
        <v>686</v>
      </c>
      <c r="E13" s="28" t="s">
        <v>687</v>
      </c>
      <c r="F13" s="28" t="s">
        <v>688</v>
      </c>
      <c r="G13" s="28" t="s">
        <v>689</v>
      </c>
      <c r="H13" s="8" t="s">
        <v>69</v>
      </c>
      <c r="I13" s="8" t="s">
        <v>69</v>
      </c>
      <c r="J13" s="8"/>
      <c r="K13" s="33" t="s">
        <v>197</v>
      </c>
      <c r="L13" s="8" t="s">
        <v>117</v>
      </c>
      <c r="M13" s="8" t="s">
        <v>69</v>
      </c>
      <c r="N13" s="8" t="s">
        <v>69</v>
      </c>
      <c r="O13" s="8"/>
      <c r="P13" s="33" t="s">
        <v>72</v>
      </c>
      <c r="Q13" s="8" t="s">
        <v>117</v>
      </c>
      <c r="R13" s="8" t="s">
        <v>69</v>
      </c>
      <c r="S13" s="8" t="s">
        <v>69</v>
      </c>
      <c r="T13" s="8"/>
      <c r="U13" s="33" t="s">
        <v>84</v>
      </c>
      <c r="V13" s="8" t="s">
        <v>117</v>
      </c>
      <c r="W13" s="30"/>
      <c r="X13" s="15"/>
      <c r="Y13" s="15"/>
      <c r="Z13" s="15"/>
    </row>
    <row r="14" ht="39.75" customHeight="1" spans="1:26">
      <c r="A14" s="26" t="str">
        <f t="shared" si="14"/>
        <v>ID-002</v>
      </c>
      <c r="B14" s="27" t="s">
        <v>684</v>
      </c>
      <c r="C14" s="28" t="s">
        <v>685</v>
      </c>
      <c r="D14" s="28" t="s">
        <v>690</v>
      </c>
      <c r="E14" s="28" t="s">
        <v>691</v>
      </c>
      <c r="F14" s="28" t="s">
        <v>692</v>
      </c>
      <c r="G14" s="28" t="s">
        <v>693</v>
      </c>
      <c r="H14" s="8" t="s">
        <v>69</v>
      </c>
      <c r="I14" s="8" t="s">
        <v>69</v>
      </c>
      <c r="J14" s="8"/>
      <c r="K14" s="33" t="s">
        <v>197</v>
      </c>
      <c r="L14" s="8" t="s">
        <v>117</v>
      </c>
      <c r="M14" s="8" t="s">
        <v>69</v>
      </c>
      <c r="N14" s="8" t="s">
        <v>69</v>
      </c>
      <c r="O14" s="8"/>
      <c r="P14" s="8" t="s">
        <v>72</v>
      </c>
      <c r="Q14" s="8" t="s">
        <v>117</v>
      </c>
      <c r="R14" s="8" t="s">
        <v>69</v>
      </c>
      <c r="S14" s="8" t="s">
        <v>69</v>
      </c>
      <c r="T14" s="8"/>
      <c r="U14" s="8" t="s">
        <v>84</v>
      </c>
      <c r="V14" s="8" t="s">
        <v>117</v>
      </c>
      <c r="W14" s="30"/>
      <c r="X14" s="15"/>
      <c r="Y14" s="15"/>
      <c r="Z14" s="15"/>
    </row>
    <row r="15" ht="44.25" customHeight="1" spans="1:26">
      <c r="A15" s="26" t="str">
        <f t="shared" si="14"/>
        <v>ID-003</v>
      </c>
      <c r="B15" s="27" t="s">
        <v>684</v>
      </c>
      <c r="C15" s="28" t="s">
        <v>694</v>
      </c>
      <c r="D15" s="28" t="s">
        <v>695</v>
      </c>
      <c r="E15" s="28" t="s">
        <v>696</v>
      </c>
      <c r="F15" s="28" t="s">
        <v>697</v>
      </c>
      <c r="G15" s="28" t="s">
        <v>698</v>
      </c>
      <c r="H15" s="8" t="s">
        <v>69</v>
      </c>
      <c r="I15" s="8" t="s">
        <v>69</v>
      </c>
      <c r="J15" s="8"/>
      <c r="K15" s="33" t="s">
        <v>197</v>
      </c>
      <c r="L15" s="8" t="s">
        <v>117</v>
      </c>
      <c r="M15" s="8" t="s">
        <v>69</v>
      </c>
      <c r="N15" s="8" t="s">
        <v>69</v>
      </c>
      <c r="O15" s="8"/>
      <c r="P15" s="8" t="s">
        <v>72</v>
      </c>
      <c r="Q15" s="8" t="s">
        <v>117</v>
      </c>
      <c r="R15" s="8" t="s">
        <v>69</v>
      </c>
      <c r="S15" s="8" t="s">
        <v>69</v>
      </c>
      <c r="T15" s="8"/>
      <c r="U15" s="8" t="s">
        <v>84</v>
      </c>
      <c r="V15" s="8" t="s">
        <v>117</v>
      </c>
      <c r="W15" s="30"/>
      <c r="X15" s="15"/>
      <c r="Y15" s="15"/>
      <c r="Z15" s="15"/>
    </row>
    <row r="16" ht="44.25" customHeight="1" spans="1:26">
      <c r="A16" s="26" t="str">
        <f t="shared" si="14"/>
        <v>ID-004</v>
      </c>
      <c r="B16" s="27" t="s">
        <v>684</v>
      </c>
      <c r="C16" s="28" t="s">
        <v>694</v>
      </c>
      <c r="D16" s="28" t="s">
        <v>699</v>
      </c>
      <c r="E16" s="28" t="s">
        <v>700</v>
      </c>
      <c r="F16" s="28" t="s">
        <v>701</v>
      </c>
      <c r="G16" s="28" t="s">
        <v>702</v>
      </c>
      <c r="H16" s="8" t="s">
        <v>69</v>
      </c>
      <c r="I16" s="8" t="s">
        <v>69</v>
      </c>
      <c r="J16" s="8"/>
      <c r="K16" s="33" t="s">
        <v>197</v>
      </c>
      <c r="L16" s="8" t="s">
        <v>117</v>
      </c>
      <c r="M16" s="8" t="s">
        <v>69</v>
      </c>
      <c r="N16" s="8" t="s">
        <v>69</v>
      </c>
      <c r="O16" s="8"/>
      <c r="P16" s="8" t="s">
        <v>72</v>
      </c>
      <c r="Q16" s="8" t="s">
        <v>117</v>
      </c>
      <c r="R16" s="8" t="s">
        <v>69</v>
      </c>
      <c r="S16" s="8" t="s">
        <v>69</v>
      </c>
      <c r="T16" s="8"/>
      <c r="U16" s="8" t="s">
        <v>84</v>
      </c>
      <c r="V16" s="8" t="s">
        <v>117</v>
      </c>
      <c r="W16" s="30"/>
      <c r="X16" s="15"/>
      <c r="Y16" s="15"/>
      <c r="Z16" s="15"/>
    </row>
    <row r="17" ht="45.75" customHeight="1" spans="1:26">
      <c r="A17" s="26" t="str">
        <f t="shared" si="14"/>
        <v>ID-005</v>
      </c>
      <c r="B17" s="27" t="s">
        <v>684</v>
      </c>
      <c r="C17" s="28" t="s">
        <v>694</v>
      </c>
      <c r="D17" s="28" t="s">
        <v>703</v>
      </c>
      <c r="E17" s="28" t="s">
        <v>704</v>
      </c>
      <c r="F17" s="28" t="s">
        <v>705</v>
      </c>
      <c r="G17" s="28" t="s">
        <v>706</v>
      </c>
      <c r="H17" s="8" t="s">
        <v>69</v>
      </c>
      <c r="I17" s="8" t="s">
        <v>69</v>
      </c>
      <c r="J17" s="8"/>
      <c r="K17" s="33" t="s">
        <v>197</v>
      </c>
      <c r="L17" s="8" t="s">
        <v>117</v>
      </c>
      <c r="M17" s="8" t="s">
        <v>69</v>
      </c>
      <c r="N17" s="8" t="s">
        <v>69</v>
      </c>
      <c r="O17" s="8"/>
      <c r="P17" s="8" t="s">
        <v>72</v>
      </c>
      <c r="Q17" s="8" t="s">
        <v>117</v>
      </c>
      <c r="R17" s="8" t="s">
        <v>69</v>
      </c>
      <c r="S17" s="8" t="s">
        <v>69</v>
      </c>
      <c r="T17" s="8"/>
      <c r="U17" s="8" t="s">
        <v>84</v>
      </c>
      <c r="V17" s="8" t="s">
        <v>117</v>
      </c>
      <c r="W17" s="30"/>
      <c r="X17" s="15"/>
      <c r="Y17" s="15"/>
      <c r="Z17" s="15"/>
    </row>
    <row r="18" ht="40.5" customHeight="1" spans="1:26">
      <c r="A18" s="26" t="str">
        <f t="shared" si="14"/>
        <v>ID-006</v>
      </c>
      <c r="B18" s="27" t="s">
        <v>684</v>
      </c>
      <c r="C18" s="28" t="s">
        <v>707</v>
      </c>
      <c r="D18" s="28" t="s">
        <v>708</v>
      </c>
      <c r="E18" s="28" t="s">
        <v>709</v>
      </c>
      <c r="F18" s="28" t="s">
        <v>710</v>
      </c>
      <c r="G18" s="28" t="s">
        <v>711</v>
      </c>
      <c r="H18" s="8" t="s">
        <v>69</v>
      </c>
      <c r="I18" s="8" t="s">
        <v>69</v>
      </c>
      <c r="J18" s="8"/>
      <c r="K18" s="33" t="s">
        <v>197</v>
      </c>
      <c r="L18" s="8" t="s">
        <v>117</v>
      </c>
      <c r="M18" s="8" t="s">
        <v>69</v>
      </c>
      <c r="N18" s="8" t="s">
        <v>69</v>
      </c>
      <c r="O18" s="8"/>
      <c r="P18" s="8" t="s">
        <v>72</v>
      </c>
      <c r="Q18" s="8" t="s">
        <v>117</v>
      </c>
      <c r="R18" s="8" t="s">
        <v>69</v>
      </c>
      <c r="S18" s="8" t="s">
        <v>69</v>
      </c>
      <c r="T18" s="8"/>
      <c r="U18" s="8" t="s">
        <v>84</v>
      </c>
      <c r="V18" s="8" t="s">
        <v>117</v>
      </c>
      <c r="W18" s="30"/>
      <c r="X18" s="15"/>
      <c r="Y18" s="15"/>
      <c r="Z18" s="15"/>
    </row>
    <row r="19" ht="44.25" customHeight="1" spans="1:26">
      <c r="A19" s="26" t="str">
        <f t="shared" si="14"/>
        <v>ID-007</v>
      </c>
      <c r="B19" s="27" t="s">
        <v>684</v>
      </c>
      <c r="C19" s="28" t="s">
        <v>707</v>
      </c>
      <c r="D19" s="28" t="s">
        <v>712</v>
      </c>
      <c r="E19" s="28" t="s">
        <v>713</v>
      </c>
      <c r="F19" s="28" t="s">
        <v>714</v>
      </c>
      <c r="G19" s="29" t="s">
        <v>619</v>
      </c>
      <c r="H19" s="8" t="s">
        <v>69</v>
      </c>
      <c r="I19" s="8" t="s">
        <v>69</v>
      </c>
      <c r="J19" s="8"/>
      <c r="K19" s="33" t="s">
        <v>197</v>
      </c>
      <c r="L19" s="8" t="s">
        <v>117</v>
      </c>
      <c r="M19" s="8" t="s">
        <v>69</v>
      </c>
      <c r="N19" s="8" t="s">
        <v>69</v>
      </c>
      <c r="O19" s="8"/>
      <c r="P19" s="8" t="s">
        <v>72</v>
      </c>
      <c r="Q19" s="8" t="s">
        <v>117</v>
      </c>
      <c r="R19" s="8" t="s">
        <v>69</v>
      </c>
      <c r="S19" s="8" t="s">
        <v>69</v>
      </c>
      <c r="T19" s="8"/>
      <c r="U19" s="8" t="s">
        <v>84</v>
      </c>
      <c r="V19" s="8" t="s">
        <v>117</v>
      </c>
      <c r="W19" s="30"/>
      <c r="X19" s="15"/>
      <c r="Y19" s="15"/>
      <c r="Z19" s="15"/>
    </row>
    <row r="20" ht="74.25" customHeight="1" spans="1:26">
      <c r="A20" s="26" t="str">
        <f t="shared" si="14"/>
        <v>ID-008</v>
      </c>
      <c r="B20" s="27" t="s">
        <v>684</v>
      </c>
      <c r="C20" s="28" t="s">
        <v>715</v>
      </c>
      <c r="D20" s="28" t="s">
        <v>716</v>
      </c>
      <c r="E20" s="28" t="s">
        <v>717</v>
      </c>
      <c r="F20" s="28" t="s">
        <v>718</v>
      </c>
      <c r="G20" s="28" t="s">
        <v>719</v>
      </c>
      <c r="H20" s="8" t="s">
        <v>69</v>
      </c>
      <c r="I20" s="8" t="s">
        <v>69</v>
      </c>
      <c r="J20" s="8"/>
      <c r="K20" s="33" t="s">
        <v>197</v>
      </c>
      <c r="L20" s="8" t="s">
        <v>117</v>
      </c>
      <c r="M20" s="8" t="s">
        <v>69</v>
      </c>
      <c r="N20" s="8" t="s">
        <v>69</v>
      </c>
      <c r="O20" s="8"/>
      <c r="P20" s="8" t="s">
        <v>72</v>
      </c>
      <c r="Q20" s="8" t="s">
        <v>117</v>
      </c>
      <c r="R20" s="8" t="s">
        <v>69</v>
      </c>
      <c r="S20" s="8" t="s">
        <v>69</v>
      </c>
      <c r="T20" s="8"/>
      <c r="U20" s="8" t="s">
        <v>84</v>
      </c>
      <c r="V20" s="8" t="s">
        <v>117</v>
      </c>
      <c r="W20" s="30"/>
      <c r="X20" s="15"/>
      <c r="Y20" s="15"/>
      <c r="Z20" s="15"/>
    </row>
    <row r="21" ht="81" customHeight="1" spans="1:26">
      <c r="A21" s="26" t="str">
        <f t="shared" si="14"/>
        <v>ID-009</v>
      </c>
      <c r="B21" s="27" t="s">
        <v>684</v>
      </c>
      <c r="C21" s="28" t="s">
        <v>715</v>
      </c>
      <c r="D21" s="28" t="s">
        <v>720</v>
      </c>
      <c r="E21" s="28" t="s">
        <v>721</v>
      </c>
      <c r="F21" s="28" t="s">
        <v>722</v>
      </c>
      <c r="G21" s="28" t="s">
        <v>723</v>
      </c>
      <c r="H21" s="8" t="s">
        <v>69</v>
      </c>
      <c r="I21" s="8" t="s">
        <v>69</v>
      </c>
      <c r="J21" s="8"/>
      <c r="K21" s="33" t="s">
        <v>197</v>
      </c>
      <c r="L21" s="8" t="s">
        <v>117</v>
      </c>
      <c r="M21" s="8" t="s">
        <v>69</v>
      </c>
      <c r="N21" s="8" t="s">
        <v>69</v>
      </c>
      <c r="O21" s="8"/>
      <c r="P21" s="8" t="s">
        <v>72</v>
      </c>
      <c r="Q21" s="8" t="s">
        <v>117</v>
      </c>
      <c r="R21" s="8" t="s">
        <v>69</v>
      </c>
      <c r="S21" s="8" t="s">
        <v>69</v>
      </c>
      <c r="T21" s="8"/>
      <c r="U21" s="8" t="s">
        <v>84</v>
      </c>
      <c r="V21" s="8" t="s">
        <v>117</v>
      </c>
      <c r="W21" s="30"/>
      <c r="X21" s="15"/>
      <c r="Y21" s="15"/>
      <c r="Z21" s="15"/>
    </row>
    <row r="22" ht="40.5" customHeight="1" spans="1:26">
      <c r="A22" s="26" t="str">
        <f t="shared" si="14"/>
        <v>ID-0010</v>
      </c>
      <c r="B22" s="27" t="s">
        <v>684</v>
      </c>
      <c r="C22" s="28" t="s">
        <v>715</v>
      </c>
      <c r="D22" s="28" t="s">
        <v>724</v>
      </c>
      <c r="E22" s="28" t="s">
        <v>725</v>
      </c>
      <c r="F22" s="28" t="s">
        <v>726</v>
      </c>
      <c r="G22" s="28" t="s">
        <v>727</v>
      </c>
      <c r="H22" s="8" t="s">
        <v>69</v>
      </c>
      <c r="I22" s="8" t="s">
        <v>69</v>
      </c>
      <c r="J22" s="8"/>
      <c r="K22" s="33" t="s">
        <v>197</v>
      </c>
      <c r="L22" s="8" t="s">
        <v>117</v>
      </c>
      <c r="M22" s="8" t="s">
        <v>69</v>
      </c>
      <c r="N22" s="8" t="s">
        <v>69</v>
      </c>
      <c r="O22" s="8"/>
      <c r="P22" s="8" t="s">
        <v>72</v>
      </c>
      <c r="Q22" s="8" t="s">
        <v>117</v>
      </c>
      <c r="R22" s="8" t="s">
        <v>69</v>
      </c>
      <c r="S22" s="8" t="s">
        <v>69</v>
      </c>
      <c r="T22" s="8"/>
      <c r="U22" s="8" t="s">
        <v>84</v>
      </c>
      <c r="V22" s="8" t="s">
        <v>117</v>
      </c>
      <c r="W22" s="30"/>
      <c r="X22" s="15"/>
      <c r="Y22" s="15"/>
      <c r="Z22" s="15"/>
    </row>
    <row r="23" ht="34.5" customHeight="1" spans="1:26">
      <c r="A23" s="26" t="str">
        <f t="shared" si="14"/>
        <v>ID-0011</v>
      </c>
      <c r="B23" s="27" t="s">
        <v>684</v>
      </c>
      <c r="C23" s="28" t="s">
        <v>728</v>
      </c>
      <c r="D23" s="28" t="s">
        <v>686</v>
      </c>
      <c r="E23" s="28" t="s">
        <v>729</v>
      </c>
      <c r="F23" s="28" t="s">
        <v>730</v>
      </c>
      <c r="G23" s="28" t="s">
        <v>731</v>
      </c>
      <c r="H23" s="8" t="s">
        <v>69</v>
      </c>
      <c r="I23" s="8" t="s">
        <v>69</v>
      </c>
      <c r="J23" s="8"/>
      <c r="K23" s="33" t="s">
        <v>197</v>
      </c>
      <c r="L23" s="8" t="s">
        <v>117</v>
      </c>
      <c r="M23" s="8" t="s">
        <v>69</v>
      </c>
      <c r="N23" s="8" t="s">
        <v>69</v>
      </c>
      <c r="O23" s="8"/>
      <c r="P23" s="8" t="s">
        <v>72</v>
      </c>
      <c r="Q23" s="8" t="s">
        <v>117</v>
      </c>
      <c r="R23" s="8" t="s">
        <v>69</v>
      </c>
      <c r="S23" s="8" t="s">
        <v>69</v>
      </c>
      <c r="T23" s="8"/>
      <c r="U23" s="8" t="s">
        <v>84</v>
      </c>
      <c r="V23" s="8" t="s">
        <v>117</v>
      </c>
      <c r="W23" s="30"/>
      <c r="X23" s="15"/>
      <c r="Y23" s="15"/>
      <c r="Z23" s="15"/>
    </row>
    <row r="24" ht="39.6" spans="1:26">
      <c r="A24" s="26" t="str">
        <f t="shared" si="14"/>
        <v>ID-0012</v>
      </c>
      <c r="B24" s="27" t="s">
        <v>684</v>
      </c>
      <c r="C24" s="28" t="s">
        <v>732</v>
      </c>
      <c r="D24" s="28" t="s">
        <v>733</v>
      </c>
      <c r="E24" s="28" t="s">
        <v>734</v>
      </c>
      <c r="F24" s="28" t="s">
        <v>735</v>
      </c>
      <c r="G24" s="28" t="s">
        <v>736</v>
      </c>
      <c r="H24" s="8" t="s">
        <v>69</v>
      </c>
      <c r="I24" s="8" t="s">
        <v>69</v>
      </c>
      <c r="J24" s="8"/>
      <c r="K24" s="33" t="s">
        <v>197</v>
      </c>
      <c r="L24" s="8" t="s">
        <v>117</v>
      </c>
      <c r="M24" s="8" t="s">
        <v>69</v>
      </c>
      <c r="N24" s="8" t="s">
        <v>69</v>
      </c>
      <c r="O24" s="8"/>
      <c r="P24" s="8" t="s">
        <v>72</v>
      </c>
      <c r="Q24" s="8" t="s">
        <v>117</v>
      </c>
      <c r="R24" s="8" t="s">
        <v>69</v>
      </c>
      <c r="S24" s="8" t="s">
        <v>69</v>
      </c>
      <c r="T24" s="8"/>
      <c r="U24" s="8" t="s">
        <v>84</v>
      </c>
      <c r="V24" s="8" t="s">
        <v>117</v>
      </c>
      <c r="W24" s="30"/>
      <c r="X24" s="15"/>
      <c r="Y24" s="15"/>
      <c r="Z24" s="15"/>
    </row>
    <row r="25" ht="39.6" spans="1:26">
      <c r="A25" s="26" t="str">
        <f t="shared" si="14"/>
        <v>ID-0013</v>
      </c>
      <c r="B25" s="27" t="s">
        <v>684</v>
      </c>
      <c r="C25" s="28" t="s">
        <v>737</v>
      </c>
      <c r="D25" s="28" t="s">
        <v>738</v>
      </c>
      <c r="E25" s="28" t="s">
        <v>739</v>
      </c>
      <c r="F25" s="28" t="s">
        <v>740</v>
      </c>
      <c r="G25" s="28" t="s">
        <v>741</v>
      </c>
      <c r="H25" s="8" t="s">
        <v>69</v>
      </c>
      <c r="I25" s="8" t="s">
        <v>69</v>
      </c>
      <c r="J25" s="8"/>
      <c r="K25" s="33" t="s">
        <v>197</v>
      </c>
      <c r="L25" s="8" t="s">
        <v>117</v>
      </c>
      <c r="M25" s="8" t="s">
        <v>69</v>
      </c>
      <c r="N25" s="8" t="s">
        <v>69</v>
      </c>
      <c r="O25" s="8"/>
      <c r="P25" s="8" t="s">
        <v>72</v>
      </c>
      <c r="Q25" s="8" t="s">
        <v>117</v>
      </c>
      <c r="R25" s="8" t="s">
        <v>69</v>
      </c>
      <c r="S25" s="8" t="s">
        <v>69</v>
      </c>
      <c r="T25" s="8"/>
      <c r="U25" s="8" t="s">
        <v>84</v>
      </c>
      <c r="V25" s="8" t="s">
        <v>117</v>
      </c>
      <c r="W25" s="30"/>
      <c r="X25" s="15"/>
      <c r="Y25" s="15"/>
      <c r="Z25" s="15"/>
    </row>
    <row r="26" ht="44.25" customHeight="1" spans="1:26">
      <c r="A26" s="26" t="str">
        <f t="shared" si="14"/>
        <v>ID-0014</v>
      </c>
      <c r="B26" s="27" t="s">
        <v>684</v>
      </c>
      <c r="C26" s="28" t="s">
        <v>742</v>
      </c>
      <c r="D26" s="28" t="s">
        <v>743</v>
      </c>
      <c r="E26" s="28" t="s">
        <v>744</v>
      </c>
      <c r="F26" s="28" t="s">
        <v>745</v>
      </c>
      <c r="G26" s="28" t="s">
        <v>746</v>
      </c>
      <c r="H26" s="8" t="s">
        <v>69</v>
      </c>
      <c r="I26" s="8" t="s">
        <v>69</v>
      </c>
      <c r="J26" s="8"/>
      <c r="K26" s="33" t="s">
        <v>197</v>
      </c>
      <c r="L26" s="8" t="s">
        <v>117</v>
      </c>
      <c r="M26" s="8" t="s">
        <v>69</v>
      </c>
      <c r="N26" s="8" t="s">
        <v>69</v>
      </c>
      <c r="O26" s="8"/>
      <c r="P26" s="8" t="s">
        <v>72</v>
      </c>
      <c r="Q26" s="8" t="s">
        <v>117</v>
      </c>
      <c r="R26" s="8" t="s">
        <v>69</v>
      </c>
      <c r="S26" s="8" t="s">
        <v>69</v>
      </c>
      <c r="T26" s="8"/>
      <c r="U26" s="8" t="s">
        <v>84</v>
      </c>
      <c r="V26" s="8" t="s">
        <v>117</v>
      </c>
      <c r="W26" s="30"/>
      <c r="X26" s="15"/>
      <c r="Y26" s="15"/>
      <c r="Z26" s="15"/>
    </row>
    <row r="27" ht="44.25" customHeight="1" spans="1:26">
      <c r="A27" s="26" t="str">
        <f t="shared" si="14"/>
        <v>ID-0015</v>
      </c>
      <c r="B27" s="27" t="s">
        <v>684</v>
      </c>
      <c r="C27" s="28" t="s">
        <v>742</v>
      </c>
      <c r="D27" s="28" t="s">
        <v>747</v>
      </c>
      <c r="E27" s="28" t="s">
        <v>748</v>
      </c>
      <c r="F27" s="28" t="s">
        <v>749</v>
      </c>
      <c r="G27" s="28" t="s">
        <v>750</v>
      </c>
      <c r="H27" s="8" t="s">
        <v>69</v>
      </c>
      <c r="I27" s="8" t="s">
        <v>69</v>
      </c>
      <c r="J27" s="8"/>
      <c r="K27" s="33" t="s">
        <v>197</v>
      </c>
      <c r="L27" s="8" t="s">
        <v>117</v>
      </c>
      <c r="M27" s="8" t="s">
        <v>69</v>
      </c>
      <c r="N27" s="8" t="s">
        <v>69</v>
      </c>
      <c r="O27" s="8"/>
      <c r="P27" s="8" t="s">
        <v>72</v>
      </c>
      <c r="Q27" s="8" t="s">
        <v>117</v>
      </c>
      <c r="R27" s="8" t="s">
        <v>69</v>
      </c>
      <c r="S27" s="8" t="s">
        <v>69</v>
      </c>
      <c r="T27" s="8"/>
      <c r="U27" s="8" t="s">
        <v>84</v>
      </c>
      <c r="V27" s="8" t="s">
        <v>117</v>
      </c>
      <c r="W27" s="30"/>
      <c r="X27" s="15"/>
      <c r="Y27" s="15"/>
      <c r="Z27" s="15"/>
    </row>
    <row r="28" ht="30" customHeight="1" spans="1:26">
      <c r="A28" s="26" t="str">
        <f t="shared" si="14"/>
        <v>ID-0016</v>
      </c>
      <c r="B28" s="27" t="s">
        <v>684</v>
      </c>
      <c r="C28" s="28" t="s">
        <v>751</v>
      </c>
      <c r="D28" s="28" t="s">
        <v>752</v>
      </c>
      <c r="E28" s="28" t="s">
        <v>753</v>
      </c>
      <c r="F28" s="28" t="s">
        <v>754</v>
      </c>
      <c r="G28" s="27" t="s">
        <v>755</v>
      </c>
      <c r="H28" s="8" t="s">
        <v>69</v>
      </c>
      <c r="I28" s="8" t="s">
        <v>69</v>
      </c>
      <c r="J28" s="8"/>
      <c r="K28" s="33" t="s">
        <v>197</v>
      </c>
      <c r="L28" s="8" t="s">
        <v>117</v>
      </c>
      <c r="M28" s="8" t="s">
        <v>69</v>
      </c>
      <c r="N28" s="8" t="s">
        <v>69</v>
      </c>
      <c r="O28" s="8"/>
      <c r="P28" s="8" t="s">
        <v>72</v>
      </c>
      <c r="Q28" s="8" t="s">
        <v>117</v>
      </c>
      <c r="R28" s="8" t="s">
        <v>69</v>
      </c>
      <c r="S28" s="8" t="s">
        <v>69</v>
      </c>
      <c r="T28" s="8"/>
      <c r="U28" s="8" t="s">
        <v>84</v>
      </c>
      <c r="V28" s="8" t="s">
        <v>117</v>
      </c>
      <c r="W28" s="30"/>
      <c r="X28" s="15"/>
      <c r="Y28" s="15"/>
      <c r="Z28" s="15"/>
    </row>
    <row r="29" ht="45" customHeight="1" spans="1:26">
      <c r="A29" s="26" t="str">
        <f t="shared" si="14"/>
        <v>ID-0017</v>
      </c>
      <c r="B29" s="27" t="s">
        <v>684</v>
      </c>
      <c r="C29" s="28" t="s">
        <v>756</v>
      </c>
      <c r="D29" s="28" t="s">
        <v>757</v>
      </c>
      <c r="E29" s="28" t="s">
        <v>758</v>
      </c>
      <c r="F29" s="28" t="s">
        <v>759</v>
      </c>
      <c r="G29" s="27" t="s">
        <v>760</v>
      </c>
      <c r="H29" s="8" t="s">
        <v>69</v>
      </c>
      <c r="I29" s="8" t="s">
        <v>69</v>
      </c>
      <c r="J29" s="8"/>
      <c r="K29" s="33" t="s">
        <v>197</v>
      </c>
      <c r="L29" s="8" t="s">
        <v>117</v>
      </c>
      <c r="M29" s="8" t="s">
        <v>69</v>
      </c>
      <c r="N29" s="8" t="s">
        <v>69</v>
      </c>
      <c r="O29" s="8"/>
      <c r="P29" s="8" t="s">
        <v>72</v>
      </c>
      <c r="Q29" s="8" t="s">
        <v>117</v>
      </c>
      <c r="R29" s="8" t="s">
        <v>69</v>
      </c>
      <c r="S29" s="8" t="s">
        <v>69</v>
      </c>
      <c r="T29" s="8"/>
      <c r="U29" s="8" t="s">
        <v>84</v>
      </c>
      <c r="V29" s="8" t="s">
        <v>117</v>
      </c>
      <c r="W29" s="30"/>
      <c r="X29" s="15"/>
      <c r="Y29" s="15"/>
      <c r="Z29" s="15"/>
    </row>
    <row r="30" ht="51" customHeight="1" spans="1:26">
      <c r="A30" s="26" t="str">
        <f t="shared" si="14"/>
        <v>ID-0018</v>
      </c>
      <c r="B30" s="27" t="s">
        <v>684</v>
      </c>
      <c r="C30" s="28" t="s">
        <v>411</v>
      </c>
      <c r="D30" s="28" t="s">
        <v>412</v>
      </c>
      <c r="E30" s="28" t="s">
        <v>489</v>
      </c>
      <c r="F30" s="28" t="s">
        <v>761</v>
      </c>
      <c r="G30" s="27" t="s">
        <v>762</v>
      </c>
      <c r="H30" s="8" t="s">
        <v>69</v>
      </c>
      <c r="I30" s="8" t="s">
        <v>69</v>
      </c>
      <c r="J30" s="8"/>
      <c r="K30" s="33" t="s">
        <v>197</v>
      </c>
      <c r="L30" s="8" t="s">
        <v>117</v>
      </c>
      <c r="M30" s="8" t="s">
        <v>69</v>
      </c>
      <c r="N30" s="8" t="s">
        <v>69</v>
      </c>
      <c r="O30" s="8"/>
      <c r="P30" s="8" t="s">
        <v>72</v>
      </c>
      <c r="Q30" s="8" t="s">
        <v>117</v>
      </c>
      <c r="R30" s="8" t="s">
        <v>69</v>
      </c>
      <c r="S30" s="8" t="s">
        <v>69</v>
      </c>
      <c r="T30" s="8"/>
      <c r="U30" s="8" t="s">
        <v>84</v>
      </c>
      <c r="V30" s="8" t="s">
        <v>117</v>
      </c>
      <c r="W30" s="30"/>
      <c r="X30" s="15"/>
      <c r="Y30" s="15"/>
      <c r="Z30" s="15"/>
    </row>
    <row r="31" ht="52.5" customHeight="1" spans="1:26">
      <c r="A31" s="26" t="str">
        <f t="shared" si="14"/>
        <v>ID-0019</v>
      </c>
      <c r="B31" s="27" t="s">
        <v>684</v>
      </c>
      <c r="C31" s="28" t="s">
        <v>176</v>
      </c>
      <c r="D31" s="28" t="s">
        <v>763</v>
      </c>
      <c r="E31" s="28" t="s">
        <v>764</v>
      </c>
      <c r="F31" s="28" t="s">
        <v>765</v>
      </c>
      <c r="G31" s="27" t="s">
        <v>766</v>
      </c>
      <c r="H31" s="8" t="s">
        <v>69</v>
      </c>
      <c r="I31" s="8" t="s">
        <v>69</v>
      </c>
      <c r="J31" s="8"/>
      <c r="K31" s="33" t="s">
        <v>197</v>
      </c>
      <c r="L31" s="8" t="s">
        <v>117</v>
      </c>
      <c r="M31" s="8" t="s">
        <v>69</v>
      </c>
      <c r="N31" s="8" t="s">
        <v>69</v>
      </c>
      <c r="O31" s="8"/>
      <c r="P31" s="8" t="s">
        <v>72</v>
      </c>
      <c r="Q31" s="8" t="s">
        <v>117</v>
      </c>
      <c r="R31" s="8" t="s">
        <v>69</v>
      </c>
      <c r="S31" s="8" t="s">
        <v>69</v>
      </c>
      <c r="T31" s="8"/>
      <c r="U31" s="8" t="s">
        <v>84</v>
      </c>
      <c r="V31" s="8" t="s">
        <v>117</v>
      </c>
      <c r="W31" s="30"/>
      <c r="X31" s="15"/>
      <c r="Y31" s="15"/>
      <c r="Z31" s="15"/>
    </row>
    <row r="32" ht="52.5" customHeight="1" spans="1:26">
      <c r="A32" s="26" t="str">
        <f t="shared" si="14"/>
        <v>ID-0020</v>
      </c>
      <c r="B32" s="27" t="s">
        <v>684</v>
      </c>
      <c r="C32" s="28" t="s">
        <v>182</v>
      </c>
      <c r="D32" s="28" t="s">
        <v>767</v>
      </c>
      <c r="E32" s="28" t="s">
        <v>768</v>
      </c>
      <c r="F32" s="28" t="s">
        <v>769</v>
      </c>
      <c r="G32" s="27" t="s">
        <v>770</v>
      </c>
      <c r="H32" s="8" t="s">
        <v>69</v>
      </c>
      <c r="I32" s="8" t="s">
        <v>69</v>
      </c>
      <c r="J32" s="8"/>
      <c r="K32" s="33" t="s">
        <v>197</v>
      </c>
      <c r="L32" s="8" t="s">
        <v>117</v>
      </c>
      <c r="M32" s="8" t="s">
        <v>69</v>
      </c>
      <c r="N32" s="8" t="s">
        <v>69</v>
      </c>
      <c r="O32" s="8"/>
      <c r="P32" s="8" t="s">
        <v>72</v>
      </c>
      <c r="Q32" s="8" t="s">
        <v>117</v>
      </c>
      <c r="R32" s="8" t="s">
        <v>69</v>
      </c>
      <c r="S32" s="8" t="s">
        <v>69</v>
      </c>
      <c r="T32" s="8"/>
      <c r="U32" s="8" t="s">
        <v>84</v>
      </c>
      <c r="V32" s="8" t="s">
        <v>117</v>
      </c>
      <c r="W32" s="30"/>
      <c r="X32" s="15"/>
      <c r="Y32" s="15"/>
      <c r="Z32" s="15"/>
    </row>
    <row r="33" customHeight="1" spans="1:26">
      <c r="A33" s="26"/>
      <c r="B33" s="30"/>
      <c r="C33" s="30"/>
      <c r="D33" s="30"/>
      <c r="E33" s="30"/>
      <c r="F33" s="30"/>
      <c r="G33" s="30"/>
      <c r="H33" s="8"/>
      <c r="I33" s="8"/>
      <c r="J33" s="8"/>
      <c r="K33" s="8"/>
      <c r="L33" s="8"/>
      <c r="M33" s="8"/>
      <c r="N33" s="8"/>
      <c r="O33" s="8"/>
      <c r="P33" s="8"/>
      <c r="Q33" s="8"/>
      <c r="R33" s="8"/>
      <c r="S33" s="8"/>
      <c r="T33" s="8"/>
      <c r="U33" s="8"/>
      <c r="V33" s="8"/>
      <c r="W33" s="30"/>
      <c r="X33" s="15"/>
      <c r="Y33" s="15"/>
      <c r="Z33" s="15"/>
    </row>
    <row r="34" customHeight="1" spans="1:26">
      <c r="A34" s="26"/>
      <c r="B34" s="30"/>
      <c r="C34" s="30"/>
      <c r="D34" s="30"/>
      <c r="E34" s="30"/>
      <c r="F34" s="30"/>
      <c r="G34" s="30"/>
      <c r="H34" s="8"/>
      <c r="I34" s="8"/>
      <c r="J34" s="8"/>
      <c r="K34" s="8"/>
      <c r="L34" s="8"/>
      <c r="M34" s="8"/>
      <c r="N34" s="8"/>
      <c r="O34" s="8"/>
      <c r="P34" s="8"/>
      <c r="Q34" s="8"/>
      <c r="R34" s="8"/>
      <c r="S34" s="8"/>
      <c r="T34" s="8"/>
      <c r="U34" s="8"/>
      <c r="V34" s="8"/>
      <c r="W34" s="30"/>
      <c r="X34" s="15"/>
      <c r="Y34" s="15"/>
      <c r="Z34" s="15"/>
    </row>
    <row r="35" customHeight="1" spans="1:26">
      <c r="A35" s="26"/>
      <c r="B35" s="30"/>
      <c r="C35" s="30"/>
      <c r="D35" s="30"/>
      <c r="E35" s="30"/>
      <c r="F35" s="30"/>
      <c r="G35" s="30"/>
      <c r="H35" s="8"/>
      <c r="I35" s="8"/>
      <c r="J35" s="8"/>
      <c r="K35" s="8"/>
      <c r="L35" s="8"/>
      <c r="M35" s="8"/>
      <c r="N35" s="8"/>
      <c r="O35" s="8"/>
      <c r="P35" s="8"/>
      <c r="Q35" s="8"/>
      <c r="R35" s="8"/>
      <c r="S35" s="8"/>
      <c r="T35" s="8"/>
      <c r="U35" s="8"/>
      <c r="V35" s="8"/>
      <c r="W35" s="30"/>
      <c r="X35" s="15"/>
      <c r="Y35" s="15"/>
      <c r="Z35" s="15"/>
    </row>
    <row r="36" customHeight="1" spans="1:26">
      <c r="A36" s="26"/>
      <c r="B36" s="30"/>
      <c r="C36" s="30"/>
      <c r="D36" s="30"/>
      <c r="E36" s="30"/>
      <c r="F36" s="30"/>
      <c r="G36" s="30"/>
      <c r="H36" s="8"/>
      <c r="I36" s="8"/>
      <c r="J36" s="8"/>
      <c r="K36" s="8"/>
      <c r="L36" s="8"/>
      <c r="M36" s="8"/>
      <c r="N36" s="8"/>
      <c r="O36" s="8"/>
      <c r="P36" s="8"/>
      <c r="Q36" s="8"/>
      <c r="R36" s="8"/>
      <c r="S36" s="8"/>
      <c r="T36" s="8"/>
      <c r="U36" s="8"/>
      <c r="V36" s="8"/>
      <c r="W36" s="30"/>
      <c r="X36" s="15"/>
      <c r="Y36" s="15"/>
      <c r="Z36" s="15"/>
    </row>
    <row r="37" customHeight="1" spans="1:26">
      <c r="A37" s="26"/>
      <c r="B37" s="30"/>
      <c r="C37" s="30"/>
      <c r="D37" s="30"/>
      <c r="E37" s="30"/>
      <c r="F37" s="30"/>
      <c r="G37" s="30"/>
      <c r="H37" s="8"/>
      <c r="I37" s="8"/>
      <c r="J37" s="8"/>
      <c r="K37" s="8"/>
      <c r="L37" s="8"/>
      <c r="M37" s="8"/>
      <c r="N37" s="8"/>
      <c r="O37" s="8"/>
      <c r="P37" s="8"/>
      <c r="Q37" s="8"/>
      <c r="R37" s="8"/>
      <c r="S37" s="8"/>
      <c r="T37" s="8"/>
      <c r="U37" s="8"/>
      <c r="V37" s="8"/>
      <c r="W37" s="30"/>
      <c r="X37" s="15"/>
      <c r="Y37" s="15"/>
      <c r="Z37" s="15"/>
    </row>
    <row r="38" customHeight="1" spans="1:26">
      <c r="A38" s="17"/>
      <c r="B38" s="15"/>
      <c r="C38" s="15"/>
      <c r="D38" s="15"/>
      <c r="E38" s="15"/>
      <c r="F38" s="15"/>
      <c r="G38" s="15"/>
      <c r="H38" s="16"/>
      <c r="I38" s="16"/>
      <c r="J38" s="16"/>
      <c r="K38" s="16"/>
      <c r="L38" s="16"/>
      <c r="M38" s="16"/>
      <c r="N38" s="16"/>
      <c r="O38" s="16"/>
      <c r="P38" s="16"/>
      <c r="Q38" s="16"/>
      <c r="R38" s="16"/>
      <c r="S38" s="16"/>
      <c r="T38" s="16"/>
      <c r="U38" s="16"/>
      <c r="V38" s="16"/>
      <c r="W38" s="15"/>
      <c r="X38" s="15"/>
      <c r="Y38" s="15"/>
      <c r="Z38" s="15"/>
    </row>
    <row r="39" customHeight="1" spans="1:26">
      <c r="A39" s="17"/>
      <c r="B39" s="15"/>
      <c r="C39" s="15"/>
      <c r="D39" s="15"/>
      <c r="E39" s="15"/>
      <c r="F39" s="15"/>
      <c r="G39" s="15"/>
      <c r="H39" s="16"/>
      <c r="I39" s="16"/>
      <c r="J39" s="16"/>
      <c r="K39" s="16"/>
      <c r="L39" s="16"/>
      <c r="M39" s="16"/>
      <c r="N39" s="16"/>
      <c r="O39" s="16"/>
      <c r="P39" s="16"/>
      <c r="Q39" s="16"/>
      <c r="R39" s="16"/>
      <c r="S39" s="16"/>
      <c r="T39" s="16"/>
      <c r="U39" s="16"/>
      <c r="V39" s="16"/>
      <c r="W39" s="15"/>
      <c r="X39" s="15"/>
      <c r="Y39" s="15"/>
      <c r="Z39" s="15"/>
    </row>
    <row r="40" customHeight="1" spans="1:26">
      <c r="A40" s="17"/>
      <c r="B40" s="15"/>
      <c r="C40" s="15"/>
      <c r="D40" s="15"/>
      <c r="E40" s="15"/>
      <c r="F40" s="15"/>
      <c r="G40" s="15"/>
      <c r="H40" s="16"/>
      <c r="I40" s="16"/>
      <c r="J40" s="16"/>
      <c r="K40" s="16"/>
      <c r="L40" s="16"/>
      <c r="M40" s="16"/>
      <c r="N40" s="16"/>
      <c r="O40" s="16"/>
      <c r="P40" s="16"/>
      <c r="Q40" s="16"/>
      <c r="R40" s="16"/>
      <c r="S40" s="16"/>
      <c r="T40" s="16"/>
      <c r="U40" s="16"/>
      <c r="V40" s="16"/>
      <c r="W40" s="15"/>
      <c r="X40" s="15"/>
      <c r="Y40" s="15"/>
      <c r="Z40" s="15"/>
    </row>
    <row r="41" customHeight="1" spans="1:26">
      <c r="A41" s="17"/>
      <c r="B41" s="15"/>
      <c r="C41" s="15"/>
      <c r="D41" s="15"/>
      <c r="E41" s="15"/>
      <c r="F41" s="15"/>
      <c r="G41" s="15"/>
      <c r="H41" s="16"/>
      <c r="I41" s="16"/>
      <c r="J41" s="16"/>
      <c r="K41" s="16"/>
      <c r="L41" s="16"/>
      <c r="M41" s="16"/>
      <c r="N41" s="16"/>
      <c r="O41" s="16"/>
      <c r="P41" s="16"/>
      <c r="Q41" s="16"/>
      <c r="R41" s="16"/>
      <c r="S41" s="16"/>
      <c r="T41" s="16"/>
      <c r="U41" s="16"/>
      <c r="V41" s="16"/>
      <c r="W41" s="15"/>
      <c r="X41" s="15"/>
      <c r="Y41" s="15"/>
      <c r="Z41" s="15"/>
    </row>
    <row r="42" customHeight="1" spans="1:26">
      <c r="A42" s="17"/>
      <c r="B42" s="15"/>
      <c r="C42" s="15"/>
      <c r="D42" s="15"/>
      <c r="E42" s="15"/>
      <c r="F42" s="15"/>
      <c r="G42" s="15"/>
      <c r="H42" s="16"/>
      <c r="I42" s="16"/>
      <c r="J42" s="16"/>
      <c r="K42" s="16"/>
      <c r="L42" s="16"/>
      <c r="M42" s="16"/>
      <c r="N42" s="16"/>
      <c r="O42" s="16"/>
      <c r="P42" s="16"/>
      <c r="Q42" s="16"/>
      <c r="R42" s="16"/>
      <c r="S42" s="16"/>
      <c r="T42" s="16"/>
      <c r="U42" s="16"/>
      <c r="V42" s="16"/>
      <c r="W42" s="15"/>
      <c r="X42" s="15"/>
      <c r="Y42" s="15"/>
      <c r="Z42" s="15"/>
    </row>
    <row r="43" customHeight="1" spans="1:26">
      <c r="A43" s="17"/>
      <c r="B43" s="15"/>
      <c r="C43" s="15"/>
      <c r="D43" s="15"/>
      <c r="E43" s="15"/>
      <c r="F43" s="15"/>
      <c r="G43" s="15"/>
      <c r="H43" s="16"/>
      <c r="I43" s="16"/>
      <c r="J43" s="16"/>
      <c r="K43" s="16"/>
      <c r="L43" s="16"/>
      <c r="M43" s="16"/>
      <c r="N43" s="16"/>
      <c r="O43" s="16"/>
      <c r="P43" s="16"/>
      <c r="Q43" s="16"/>
      <c r="R43" s="16"/>
      <c r="S43" s="16"/>
      <c r="T43" s="16"/>
      <c r="U43" s="16"/>
      <c r="V43" s="16"/>
      <c r="W43" s="15"/>
      <c r="X43" s="15"/>
      <c r="Y43" s="15"/>
      <c r="Z43" s="15"/>
    </row>
    <row r="44" customHeight="1" spans="1:26">
      <c r="A44" s="17"/>
      <c r="B44" s="15"/>
      <c r="C44" s="15"/>
      <c r="D44" s="15"/>
      <c r="E44" s="15"/>
      <c r="F44" s="15"/>
      <c r="G44" s="15"/>
      <c r="H44" s="16"/>
      <c r="I44" s="16"/>
      <c r="J44" s="16"/>
      <c r="K44" s="16"/>
      <c r="L44" s="16"/>
      <c r="M44" s="16"/>
      <c r="N44" s="16"/>
      <c r="O44" s="16"/>
      <c r="P44" s="16"/>
      <c r="Q44" s="16"/>
      <c r="R44" s="16"/>
      <c r="S44" s="16"/>
      <c r="T44" s="16"/>
      <c r="U44" s="16"/>
      <c r="V44" s="16"/>
      <c r="W44" s="15"/>
      <c r="X44" s="15"/>
      <c r="Y44" s="15"/>
      <c r="Z44" s="15"/>
    </row>
    <row r="45" customHeight="1" spans="1:26">
      <c r="A45" s="17"/>
      <c r="B45" s="15"/>
      <c r="C45" s="15"/>
      <c r="D45" s="15"/>
      <c r="E45" s="15"/>
      <c r="F45" s="15"/>
      <c r="G45" s="15"/>
      <c r="H45" s="16"/>
      <c r="I45" s="16"/>
      <c r="J45" s="16"/>
      <c r="K45" s="16"/>
      <c r="L45" s="16"/>
      <c r="M45" s="16"/>
      <c r="N45" s="16"/>
      <c r="O45" s="16"/>
      <c r="P45" s="16"/>
      <c r="Q45" s="16"/>
      <c r="R45" s="16"/>
      <c r="S45" s="16"/>
      <c r="T45" s="16"/>
      <c r="U45" s="16"/>
      <c r="V45" s="16"/>
      <c r="W45" s="15"/>
      <c r="X45" s="15"/>
      <c r="Y45" s="15"/>
      <c r="Z45" s="15"/>
    </row>
    <row r="46" customHeight="1" spans="1:26">
      <c r="A46" s="17"/>
      <c r="B46" s="15"/>
      <c r="C46" s="15"/>
      <c r="D46" s="15"/>
      <c r="E46" s="15"/>
      <c r="F46" s="15"/>
      <c r="G46" s="15"/>
      <c r="H46" s="16"/>
      <c r="I46" s="16"/>
      <c r="J46" s="16"/>
      <c r="K46" s="16"/>
      <c r="L46" s="16"/>
      <c r="M46" s="16"/>
      <c r="N46" s="16"/>
      <c r="O46" s="16"/>
      <c r="P46" s="16"/>
      <c r="Q46" s="16"/>
      <c r="R46" s="16"/>
      <c r="S46" s="16"/>
      <c r="T46" s="16"/>
      <c r="U46" s="16"/>
      <c r="V46" s="16"/>
      <c r="W46" s="15"/>
      <c r="X46" s="15"/>
      <c r="Y46" s="15"/>
      <c r="Z46" s="15"/>
    </row>
    <row r="47" customHeight="1" spans="1:26">
      <c r="A47" s="17"/>
      <c r="B47" s="15"/>
      <c r="C47" s="15"/>
      <c r="D47" s="15"/>
      <c r="E47" s="15"/>
      <c r="F47" s="15"/>
      <c r="G47" s="15"/>
      <c r="H47" s="16"/>
      <c r="I47" s="16"/>
      <c r="J47" s="16"/>
      <c r="K47" s="16"/>
      <c r="L47" s="16"/>
      <c r="M47" s="16"/>
      <c r="N47" s="16"/>
      <c r="O47" s="16"/>
      <c r="P47" s="16"/>
      <c r="Q47" s="16"/>
      <c r="R47" s="16"/>
      <c r="S47" s="16"/>
      <c r="T47" s="16"/>
      <c r="U47" s="16"/>
      <c r="V47" s="16"/>
      <c r="W47" s="15"/>
      <c r="X47" s="15"/>
      <c r="Y47" s="15"/>
      <c r="Z47" s="15"/>
    </row>
    <row r="48" customHeight="1" spans="1:26">
      <c r="A48" s="17"/>
      <c r="B48" s="15"/>
      <c r="C48" s="15"/>
      <c r="D48" s="15"/>
      <c r="E48" s="15"/>
      <c r="F48" s="15"/>
      <c r="G48" s="15"/>
      <c r="H48" s="16"/>
      <c r="I48" s="16"/>
      <c r="J48" s="16"/>
      <c r="K48" s="16"/>
      <c r="L48" s="16"/>
      <c r="M48" s="16"/>
      <c r="N48" s="16"/>
      <c r="O48" s="16"/>
      <c r="P48" s="16"/>
      <c r="Q48" s="16"/>
      <c r="R48" s="16"/>
      <c r="S48" s="16"/>
      <c r="T48" s="16"/>
      <c r="U48" s="16"/>
      <c r="V48" s="16"/>
      <c r="W48" s="15"/>
      <c r="X48" s="15"/>
      <c r="Y48" s="15"/>
      <c r="Z48" s="15"/>
    </row>
    <row r="49" customHeight="1" spans="1:26">
      <c r="A49" s="17"/>
      <c r="B49" s="15"/>
      <c r="C49" s="15"/>
      <c r="D49" s="15"/>
      <c r="E49" s="15"/>
      <c r="F49" s="15"/>
      <c r="G49" s="15"/>
      <c r="H49" s="16"/>
      <c r="I49" s="16"/>
      <c r="J49" s="16"/>
      <c r="K49" s="16"/>
      <c r="L49" s="16"/>
      <c r="M49" s="16"/>
      <c r="N49" s="16"/>
      <c r="O49" s="16"/>
      <c r="P49" s="16"/>
      <c r="Q49" s="16"/>
      <c r="R49" s="16"/>
      <c r="S49" s="16"/>
      <c r="T49" s="16"/>
      <c r="U49" s="16"/>
      <c r="V49" s="16"/>
      <c r="W49" s="15"/>
      <c r="X49" s="15"/>
      <c r="Y49" s="15"/>
      <c r="Z49" s="15"/>
    </row>
    <row r="50" customHeight="1" spans="1:26">
      <c r="A50" s="17"/>
      <c r="B50" s="15"/>
      <c r="C50" s="15"/>
      <c r="D50" s="15"/>
      <c r="E50" s="15"/>
      <c r="F50" s="15"/>
      <c r="G50" s="15"/>
      <c r="H50" s="16"/>
      <c r="I50" s="16"/>
      <c r="J50" s="16"/>
      <c r="K50" s="16"/>
      <c r="L50" s="16"/>
      <c r="M50" s="16"/>
      <c r="N50" s="16"/>
      <c r="O50" s="16"/>
      <c r="P50" s="16"/>
      <c r="Q50" s="16"/>
      <c r="R50" s="16"/>
      <c r="S50" s="16"/>
      <c r="T50" s="16"/>
      <c r="U50" s="16"/>
      <c r="V50" s="16"/>
      <c r="W50" s="15"/>
      <c r="X50" s="15"/>
      <c r="Y50" s="15"/>
      <c r="Z50" s="15"/>
    </row>
    <row r="51" customHeight="1" spans="1:26">
      <c r="A51" s="17"/>
      <c r="B51" s="15"/>
      <c r="C51" s="15"/>
      <c r="D51" s="15"/>
      <c r="E51" s="15"/>
      <c r="F51" s="15"/>
      <c r="G51" s="15"/>
      <c r="H51" s="16"/>
      <c r="I51" s="16"/>
      <c r="J51" s="16"/>
      <c r="K51" s="16"/>
      <c r="L51" s="16"/>
      <c r="M51" s="16"/>
      <c r="N51" s="16"/>
      <c r="O51" s="16"/>
      <c r="P51" s="16"/>
      <c r="Q51" s="16"/>
      <c r="R51" s="16"/>
      <c r="S51" s="16"/>
      <c r="T51" s="16"/>
      <c r="U51" s="16"/>
      <c r="V51" s="16"/>
      <c r="W51" s="15"/>
      <c r="X51" s="15"/>
      <c r="Y51" s="15"/>
      <c r="Z51" s="15"/>
    </row>
    <row r="52" customHeight="1" spans="1:26">
      <c r="A52" s="17"/>
      <c r="B52" s="15"/>
      <c r="C52" s="15"/>
      <c r="D52" s="15"/>
      <c r="E52" s="15"/>
      <c r="F52" s="15"/>
      <c r="G52" s="15"/>
      <c r="H52" s="16"/>
      <c r="I52" s="16"/>
      <c r="J52" s="16"/>
      <c r="K52" s="16"/>
      <c r="L52" s="16"/>
      <c r="M52" s="16"/>
      <c r="N52" s="16"/>
      <c r="O52" s="16"/>
      <c r="P52" s="16"/>
      <c r="Q52" s="16"/>
      <c r="R52" s="16"/>
      <c r="S52" s="16"/>
      <c r="T52" s="16"/>
      <c r="U52" s="16"/>
      <c r="V52" s="16"/>
      <c r="W52" s="15"/>
      <c r="X52" s="15"/>
      <c r="Y52" s="15"/>
      <c r="Z52" s="15"/>
    </row>
    <row r="53" customHeight="1" spans="1:26">
      <c r="A53" s="17"/>
      <c r="B53" s="15"/>
      <c r="C53" s="15"/>
      <c r="D53" s="15"/>
      <c r="E53" s="15"/>
      <c r="F53" s="15"/>
      <c r="G53" s="15"/>
      <c r="H53" s="16"/>
      <c r="I53" s="16"/>
      <c r="J53" s="16"/>
      <c r="K53" s="16"/>
      <c r="L53" s="16"/>
      <c r="M53" s="16"/>
      <c r="N53" s="16"/>
      <c r="O53" s="16"/>
      <c r="P53" s="16"/>
      <c r="Q53" s="16"/>
      <c r="R53" s="16"/>
      <c r="S53" s="16"/>
      <c r="T53" s="16"/>
      <c r="U53" s="16"/>
      <c r="V53" s="16"/>
      <c r="W53" s="15"/>
      <c r="X53" s="15"/>
      <c r="Y53" s="15"/>
      <c r="Z53" s="15"/>
    </row>
    <row r="54" customHeight="1" spans="1:26">
      <c r="A54" s="17"/>
      <c r="B54" s="15"/>
      <c r="C54" s="15"/>
      <c r="D54" s="15"/>
      <c r="E54" s="15"/>
      <c r="F54" s="15"/>
      <c r="G54" s="15"/>
      <c r="H54" s="16"/>
      <c r="I54" s="16"/>
      <c r="J54" s="16"/>
      <c r="K54" s="16"/>
      <c r="L54" s="16"/>
      <c r="M54" s="16"/>
      <c r="N54" s="16"/>
      <c r="O54" s="16"/>
      <c r="P54" s="16"/>
      <c r="Q54" s="16"/>
      <c r="R54" s="16"/>
      <c r="S54" s="16"/>
      <c r="T54" s="16"/>
      <c r="U54" s="16"/>
      <c r="V54" s="16"/>
      <c r="W54" s="15"/>
      <c r="X54" s="15"/>
      <c r="Y54" s="15"/>
      <c r="Z54" s="15"/>
    </row>
    <row r="55" customHeight="1" spans="1:26">
      <c r="A55" s="17"/>
      <c r="B55" s="15"/>
      <c r="C55" s="15"/>
      <c r="D55" s="15"/>
      <c r="E55" s="15"/>
      <c r="F55" s="15"/>
      <c r="G55" s="15"/>
      <c r="H55" s="16"/>
      <c r="I55" s="16"/>
      <c r="J55" s="16"/>
      <c r="K55" s="16"/>
      <c r="L55" s="16"/>
      <c r="M55" s="16"/>
      <c r="N55" s="16"/>
      <c r="O55" s="16"/>
      <c r="P55" s="16"/>
      <c r="Q55" s="16"/>
      <c r="R55" s="16"/>
      <c r="S55" s="16"/>
      <c r="T55" s="16"/>
      <c r="U55" s="16"/>
      <c r="V55" s="16"/>
      <c r="W55" s="15"/>
      <c r="X55" s="15"/>
      <c r="Y55" s="15"/>
      <c r="Z55" s="15"/>
    </row>
    <row r="56" customHeight="1" spans="1:26">
      <c r="A56" s="17"/>
      <c r="B56" s="15"/>
      <c r="C56" s="15"/>
      <c r="D56" s="15"/>
      <c r="E56" s="15"/>
      <c r="F56" s="15"/>
      <c r="G56" s="15"/>
      <c r="H56" s="16"/>
      <c r="I56" s="16"/>
      <c r="J56" s="16"/>
      <c r="K56" s="16"/>
      <c r="L56" s="16"/>
      <c r="M56" s="16"/>
      <c r="N56" s="16"/>
      <c r="O56" s="16"/>
      <c r="P56" s="16"/>
      <c r="Q56" s="16"/>
      <c r="R56" s="16"/>
      <c r="S56" s="16"/>
      <c r="T56" s="16"/>
      <c r="U56" s="16"/>
      <c r="V56" s="16"/>
      <c r="W56" s="15"/>
      <c r="X56" s="15"/>
      <c r="Y56" s="15"/>
      <c r="Z56" s="15"/>
    </row>
    <row r="57" customHeight="1" spans="1:26">
      <c r="A57" s="17"/>
      <c r="B57" s="15"/>
      <c r="C57" s="15"/>
      <c r="D57" s="15"/>
      <c r="E57" s="15"/>
      <c r="F57" s="15"/>
      <c r="G57" s="15"/>
      <c r="H57" s="16"/>
      <c r="I57" s="16"/>
      <c r="J57" s="16"/>
      <c r="K57" s="16"/>
      <c r="L57" s="16"/>
      <c r="M57" s="16"/>
      <c r="N57" s="16"/>
      <c r="O57" s="16"/>
      <c r="P57" s="16"/>
      <c r="Q57" s="16"/>
      <c r="R57" s="16"/>
      <c r="S57" s="16"/>
      <c r="T57" s="16"/>
      <c r="U57" s="16"/>
      <c r="V57" s="16"/>
      <c r="W57" s="15"/>
      <c r="X57" s="15"/>
      <c r="Y57" s="15"/>
      <c r="Z57" s="15"/>
    </row>
    <row r="58" customHeight="1" spans="1:26">
      <c r="A58" s="17"/>
      <c r="B58" s="15"/>
      <c r="C58" s="15"/>
      <c r="D58" s="15"/>
      <c r="E58" s="15"/>
      <c r="F58" s="15"/>
      <c r="G58" s="15"/>
      <c r="H58" s="16"/>
      <c r="I58" s="16"/>
      <c r="J58" s="16"/>
      <c r="K58" s="16"/>
      <c r="L58" s="16"/>
      <c r="M58" s="16"/>
      <c r="N58" s="16"/>
      <c r="O58" s="16"/>
      <c r="P58" s="16"/>
      <c r="Q58" s="16"/>
      <c r="R58" s="16"/>
      <c r="S58" s="16"/>
      <c r="T58" s="16"/>
      <c r="U58" s="16"/>
      <c r="V58" s="16"/>
      <c r="W58" s="15"/>
      <c r="X58" s="15"/>
      <c r="Y58" s="15"/>
      <c r="Z58" s="15"/>
    </row>
    <row r="59" customHeight="1" spans="1:26">
      <c r="A59" s="17"/>
      <c r="B59" s="15"/>
      <c r="C59" s="15"/>
      <c r="D59" s="15"/>
      <c r="E59" s="15"/>
      <c r="F59" s="15"/>
      <c r="G59" s="15"/>
      <c r="H59" s="16"/>
      <c r="I59" s="16"/>
      <c r="J59" s="16"/>
      <c r="K59" s="16"/>
      <c r="L59" s="16"/>
      <c r="M59" s="16"/>
      <c r="N59" s="16"/>
      <c r="O59" s="16"/>
      <c r="P59" s="16"/>
      <c r="Q59" s="16"/>
      <c r="R59" s="16"/>
      <c r="S59" s="16"/>
      <c r="T59" s="16"/>
      <c r="U59" s="16"/>
      <c r="V59" s="16"/>
      <c r="W59" s="15"/>
      <c r="X59" s="15"/>
      <c r="Y59" s="15"/>
      <c r="Z59" s="15"/>
    </row>
    <row r="60" customHeight="1" spans="1:26">
      <c r="A60" s="17"/>
      <c r="B60" s="15"/>
      <c r="C60" s="15"/>
      <c r="D60" s="15"/>
      <c r="E60" s="15"/>
      <c r="F60" s="15"/>
      <c r="G60" s="15"/>
      <c r="H60" s="16"/>
      <c r="I60" s="16"/>
      <c r="J60" s="16"/>
      <c r="K60" s="16"/>
      <c r="L60" s="16"/>
      <c r="M60" s="16"/>
      <c r="N60" s="16"/>
      <c r="O60" s="16"/>
      <c r="P60" s="16"/>
      <c r="Q60" s="16"/>
      <c r="R60" s="16"/>
      <c r="S60" s="16"/>
      <c r="T60" s="16"/>
      <c r="U60" s="16"/>
      <c r="V60" s="16"/>
      <c r="W60" s="15"/>
      <c r="X60" s="15"/>
      <c r="Y60" s="15"/>
      <c r="Z60" s="15"/>
    </row>
    <row r="61" customHeight="1" spans="1:26">
      <c r="A61" s="17"/>
      <c r="B61" s="15"/>
      <c r="C61" s="15"/>
      <c r="D61" s="15"/>
      <c r="E61" s="15"/>
      <c r="F61" s="15"/>
      <c r="G61" s="15"/>
      <c r="H61" s="16"/>
      <c r="I61" s="16"/>
      <c r="J61" s="16"/>
      <c r="K61" s="16"/>
      <c r="L61" s="16"/>
      <c r="M61" s="16"/>
      <c r="N61" s="16"/>
      <c r="O61" s="16"/>
      <c r="P61" s="16"/>
      <c r="Q61" s="16"/>
      <c r="R61" s="16"/>
      <c r="S61" s="16"/>
      <c r="T61" s="16"/>
      <c r="U61" s="16"/>
      <c r="V61" s="16"/>
      <c r="W61" s="15"/>
      <c r="X61" s="15"/>
      <c r="Y61" s="15"/>
      <c r="Z61" s="15"/>
    </row>
    <row r="62" customHeight="1" spans="1:26">
      <c r="A62" s="17"/>
      <c r="B62" s="15"/>
      <c r="C62" s="15"/>
      <c r="D62" s="15"/>
      <c r="E62" s="15"/>
      <c r="F62" s="15"/>
      <c r="G62" s="15"/>
      <c r="H62" s="16"/>
      <c r="I62" s="16"/>
      <c r="J62" s="16"/>
      <c r="K62" s="16"/>
      <c r="L62" s="16"/>
      <c r="M62" s="16"/>
      <c r="N62" s="16"/>
      <c r="O62" s="16"/>
      <c r="P62" s="16"/>
      <c r="Q62" s="16"/>
      <c r="R62" s="16"/>
      <c r="S62" s="16"/>
      <c r="T62" s="16"/>
      <c r="U62" s="16"/>
      <c r="V62" s="16"/>
      <c r="W62" s="15"/>
      <c r="X62" s="15"/>
      <c r="Y62" s="15"/>
      <c r="Z62" s="15"/>
    </row>
    <row r="63" customHeight="1" spans="1:26">
      <c r="A63" s="17"/>
      <c r="B63" s="15"/>
      <c r="C63" s="15"/>
      <c r="D63" s="15"/>
      <c r="E63" s="15"/>
      <c r="F63" s="15"/>
      <c r="G63" s="15"/>
      <c r="H63" s="16"/>
      <c r="I63" s="16"/>
      <c r="J63" s="16"/>
      <c r="K63" s="16"/>
      <c r="L63" s="16"/>
      <c r="M63" s="16"/>
      <c r="N63" s="16"/>
      <c r="O63" s="16"/>
      <c r="P63" s="16"/>
      <c r="Q63" s="16"/>
      <c r="R63" s="16"/>
      <c r="S63" s="16"/>
      <c r="T63" s="16"/>
      <c r="U63" s="16"/>
      <c r="V63" s="16"/>
      <c r="W63" s="15"/>
      <c r="X63" s="15"/>
      <c r="Y63" s="15"/>
      <c r="Z63" s="15"/>
    </row>
    <row r="64" customHeight="1" spans="1:26">
      <c r="A64" s="17"/>
      <c r="B64" s="15"/>
      <c r="C64" s="15"/>
      <c r="D64" s="15"/>
      <c r="E64" s="15"/>
      <c r="F64" s="15"/>
      <c r="G64" s="15"/>
      <c r="H64" s="16"/>
      <c r="I64" s="16"/>
      <c r="J64" s="16"/>
      <c r="K64" s="16"/>
      <c r="L64" s="16"/>
      <c r="M64" s="16"/>
      <c r="N64" s="16"/>
      <c r="O64" s="16"/>
      <c r="P64" s="16"/>
      <c r="Q64" s="16"/>
      <c r="R64" s="16"/>
      <c r="S64" s="16"/>
      <c r="T64" s="16"/>
      <c r="U64" s="16"/>
      <c r="V64" s="16"/>
      <c r="W64" s="15"/>
      <c r="X64" s="15"/>
      <c r="Y64" s="15"/>
      <c r="Z64" s="15"/>
    </row>
    <row r="65" customHeight="1" spans="1:26">
      <c r="A65" s="17"/>
      <c r="B65" s="15"/>
      <c r="C65" s="15"/>
      <c r="D65" s="15"/>
      <c r="E65" s="15"/>
      <c r="F65" s="15"/>
      <c r="G65" s="15"/>
      <c r="H65" s="16"/>
      <c r="I65" s="16"/>
      <c r="J65" s="16"/>
      <c r="K65" s="16"/>
      <c r="L65" s="16"/>
      <c r="M65" s="16"/>
      <c r="N65" s="16"/>
      <c r="O65" s="16"/>
      <c r="P65" s="16"/>
      <c r="Q65" s="16"/>
      <c r="R65" s="16"/>
      <c r="S65" s="16"/>
      <c r="T65" s="16"/>
      <c r="U65" s="16"/>
      <c r="V65" s="16"/>
      <c r="W65" s="15"/>
      <c r="X65" s="15"/>
      <c r="Y65" s="15"/>
      <c r="Z65" s="15"/>
    </row>
    <row r="66" customHeight="1" spans="1:26">
      <c r="A66" s="17"/>
      <c r="B66" s="15"/>
      <c r="C66" s="15"/>
      <c r="D66" s="15"/>
      <c r="E66" s="15"/>
      <c r="F66" s="15"/>
      <c r="G66" s="15"/>
      <c r="H66" s="16"/>
      <c r="I66" s="16"/>
      <c r="J66" s="16"/>
      <c r="K66" s="16"/>
      <c r="L66" s="16"/>
      <c r="M66" s="16"/>
      <c r="N66" s="16"/>
      <c r="O66" s="16"/>
      <c r="P66" s="16"/>
      <c r="Q66" s="16"/>
      <c r="R66" s="16"/>
      <c r="S66" s="16"/>
      <c r="T66" s="16"/>
      <c r="U66" s="16"/>
      <c r="V66" s="16"/>
      <c r="W66" s="15"/>
      <c r="X66" s="15"/>
      <c r="Y66" s="15"/>
      <c r="Z66" s="15"/>
    </row>
    <row r="67" customHeight="1" spans="1:26">
      <c r="A67" s="17"/>
      <c r="B67" s="15"/>
      <c r="C67" s="15"/>
      <c r="D67" s="15"/>
      <c r="E67" s="15"/>
      <c r="F67" s="15"/>
      <c r="G67" s="15"/>
      <c r="H67" s="16"/>
      <c r="I67" s="16"/>
      <c r="J67" s="16"/>
      <c r="K67" s="16"/>
      <c r="L67" s="16"/>
      <c r="M67" s="16"/>
      <c r="N67" s="16"/>
      <c r="O67" s="16"/>
      <c r="P67" s="16"/>
      <c r="Q67" s="16"/>
      <c r="R67" s="16"/>
      <c r="S67" s="16"/>
      <c r="T67" s="16"/>
      <c r="U67" s="16"/>
      <c r="V67" s="16"/>
      <c r="W67" s="15"/>
      <c r="X67" s="15"/>
      <c r="Y67" s="15"/>
      <c r="Z67" s="15"/>
    </row>
    <row r="68" customHeight="1" spans="1:26">
      <c r="A68" s="17"/>
      <c r="B68" s="15"/>
      <c r="C68" s="15"/>
      <c r="D68" s="15"/>
      <c r="E68" s="15"/>
      <c r="F68" s="15"/>
      <c r="G68" s="15"/>
      <c r="H68" s="16"/>
      <c r="I68" s="16"/>
      <c r="J68" s="16"/>
      <c r="K68" s="16"/>
      <c r="L68" s="16"/>
      <c r="M68" s="16"/>
      <c r="N68" s="16"/>
      <c r="O68" s="16"/>
      <c r="P68" s="16"/>
      <c r="Q68" s="16"/>
      <c r="R68" s="16"/>
      <c r="S68" s="16"/>
      <c r="T68" s="16"/>
      <c r="U68" s="16"/>
      <c r="V68" s="16"/>
      <c r="W68" s="15"/>
      <c r="X68" s="15"/>
      <c r="Y68" s="15"/>
      <c r="Z68" s="15"/>
    </row>
    <row r="69" customHeight="1" spans="1:26">
      <c r="A69" s="17"/>
      <c r="B69" s="15"/>
      <c r="C69" s="15"/>
      <c r="D69" s="15"/>
      <c r="E69" s="15"/>
      <c r="F69" s="15"/>
      <c r="G69" s="15"/>
      <c r="H69" s="16"/>
      <c r="I69" s="16"/>
      <c r="J69" s="16"/>
      <c r="K69" s="16"/>
      <c r="L69" s="16"/>
      <c r="M69" s="16"/>
      <c r="N69" s="16"/>
      <c r="O69" s="16"/>
      <c r="P69" s="16"/>
      <c r="Q69" s="16"/>
      <c r="R69" s="16"/>
      <c r="S69" s="16"/>
      <c r="T69" s="16"/>
      <c r="U69" s="16"/>
      <c r="V69" s="16"/>
      <c r="W69" s="15"/>
      <c r="X69" s="15"/>
      <c r="Y69" s="15"/>
      <c r="Z69" s="15"/>
    </row>
    <row r="70" customHeight="1" spans="1:26">
      <c r="A70" s="17"/>
      <c r="B70" s="15"/>
      <c r="C70" s="15"/>
      <c r="D70" s="15"/>
      <c r="E70" s="15"/>
      <c r="F70" s="15"/>
      <c r="G70" s="15"/>
      <c r="H70" s="16"/>
      <c r="I70" s="16"/>
      <c r="J70" s="16"/>
      <c r="K70" s="16"/>
      <c r="L70" s="16"/>
      <c r="M70" s="16"/>
      <c r="N70" s="16"/>
      <c r="O70" s="16"/>
      <c r="P70" s="16"/>
      <c r="Q70" s="16"/>
      <c r="R70" s="16"/>
      <c r="S70" s="16"/>
      <c r="T70" s="16"/>
      <c r="U70" s="16"/>
      <c r="V70" s="16"/>
      <c r="W70" s="15"/>
      <c r="X70" s="15"/>
      <c r="Y70" s="15"/>
      <c r="Z70" s="15"/>
    </row>
    <row r="71" customHeight="1" spans="1:26">
      <c r="A71" s="17"/>
      <c r="B71" s="15"/>
      <c r="C71" s="15"/>
      <c r="D71" s="15"/>
      <c r="E71" s="15"/>
      <c r="F71" s="15"/>
      <c r="G71" s="15"/>
      <c r="H71" s="16"/>
      <c r="I71" s="16"/>
      <c r="J71" s="16"/>
      <c r="K71" s="16"/>
      <c r="L71" s="16"/>
      <c r="M71" s="16"/>
      <c r="N71" s="16"/>
      <c r="O71" s="16"/>
      <c r="P71" s="16"/>
      <c r="Q71" s="16"/>
      <c r="R71" s="16"/>
      <c r="S71" s="16"/>
      <c r="T71" s="16"/>
      <c r="U71" s="16"/>
      <c r="V71" s="16"/>
      <c r="W71" s="15"/>
      <c r="X71" s="15"/>
      <c r="Y71" s="15"/>
      <c r="Z71" s="15"/>
    </row>
    <row r="72" customHeight="1" spans="1:26">
      <c r="A72" s="17"/>
      <c r="B72" s="15"/>
      <c r="C72" s="15"/>
      <c r="D72" s="15"/>
      <c r="E72" s="15"/>
      <c r="F72" s="15"/>
      <c r="G72" s="15"/>
      <c r="H72" s="16"/>
      <c r="I72" s="16"/>
      <c r="J72" s="16"/>
      <c r="K72" s="16"/>
      <c r="L72" s="16"/>
      <c r="M72" s="16"/>
      <c r="N72" s="16"/>
      <c r="O72" s="16"/>
      <c r="P72" s="16"/>
      <c r="Q72" s="16"/>
      <c r="R72" s="16"/>
      <c r="S72" s="16"/>
      <c r="T72" s="16"/>
      <c r="U72" s="16"/>
      <c r="V72" s="16"/>
      <c r="W72" s="15"/>
      <c r="X72" s="15"/>
      <c r="Y72" s="15"/>
      <c r="Z72" s="15"/>
    </row>
    <row r="73" customHeight="1" spans="1:26">
      <c r="A73" s="17"/>
      <c r="B73" s="15"/>
      <c r="C73" s="15"/>
      <c r="D73" s="15"/>
      <c r="E73" s="15"/>
      <c r="F73" s="15"/>
      <c r="G73" s="15"/>
      <c r="H73" s="16"/>
      <c r="I73" s="16"/>
      <c r="J73" s="16"/>
      <c r="K73" s="16"/>
      <c r="L73" s="16"/>
      <c r="M73" s="16"/>
      <c r="N73" s="16"/>
      <c r="O73" s="16"/>
      <c r="P73" s="16"/>
      <c r="Q73" s="16"/>
      <c r="R73" s="16"/>
      <c r="S73" s="16"/>
      <c r="T73" s="16"/>
      <c r="U73" s="16"/>
      <c r="V73" s="16"/>
      <c r="W73" s="15"/>
      <c r="X73" s="15"/>
      <c r="Y73" s="15"/>
      <c r="Z73" s="15"/>
    </row>
    <row r="74" customHeight="1" spans="1:26">
      <c r="A74" s="17"/>
      <c r="B74" s="15"/>
      <c r="C74" s="15"/>
      <c r="D74" s="15"/>
      <c r="E74" s="15"/>
      <c r="F74" s="15"/>
      <c r="G74" s="15"/>
      <c r="H74" s="16"/>
      <c r="I74" s="16"/>
      <c r="J74" s="16"/>
      <c r="K74" s="16"/>
      <c r="L74" s="16"/>
      <c r="M74" s="16"/>
      <c r="N74" s="16"/>
      <c r="O74" s="16"/>
      <c r="P74" s="16"/>
      <c r="Q74" s="16"/>
      <c r="R74" s="16"/>
      <c r="S74" s="16"/>
      <c r="T74" s="16"/>
      <c r="U74" s="16"/>
      <c r="V74" s="16"/>
      <c r="W74" s="15"/>
      <c r="X74" s="15"/>
      <c r="Y74" s="15"/>
      <c r="Z74" s="15"/>
    </row>
    <row r="75" customHeight="1" spans="1:26">
      <c r="A75" s="17"/>
      <c r="B75" s="15"/>
      <c r="C75" s="15"/>
      <c r="D75" s="15"/>
      <c r="E75" s="15"/>
      <c r="F75" s="15"/>
      <c r="G75" s="15"/>
      <c r="H75" s="16"/>
      <c r="I75" s="16"/>
      <c r="J75" s="16"/>
      <c r="K75" s="16"/>
      <c r="L75" s="16"/>
      <c r="M75" s="16"/>
      <c r="N75" s="16"/>
      <c r="O75" s="16"/>
      <c r="P75" s="16"/>
      <c r="Q75" s="16"/>
      <c r="R75" s="16"/>
      <c r="S75" s="16"/>
      <c r="T75" s="16"/>
      <c r="U75" s="16"/>
      <c r="V75" s="16"/>
      <c r="W75" s="15"/>
      <c r="X75" s="15"/>
      <c r="Y75" s="15"/>
      <c r="Z75" s="15"/>
    </row>
    <row r="76" customHeight="1" spans="1:26">
      <c r="A76" s="17"/>
      <c r="B76" s="15"/>
      <c r="C76" s="15"/>
      <c r="D76" s="15"/>
      <c r="E76" s="15"/>
      <c r="F76" s="15"/>
      <c r="G76" s="15"/>
      <c r="H76" s="16"/>
      <c r="I76" s="16"/>
      <c r="J76" s="16"/>
      <c r="K76" s="16"/>
      <c r="L76" s="16"/>
      <c r="M76" s="16"/>
      <c r="N76" s="16"/>
      <c r="O76" s="16"/>
      <c r="P76" s="16"/>
      <c r="Q76" s="16"/>
      <c r="R76" s="16"/>
      <c r="S76" s="16"/>
      <c r="T76" s="16"/>
      <c r="U76" s="16"/>
      <c r="V76" s="16"/>
      <c r="W76" s="15"/>
      <c r="X76" s="15"/>
      <c r="Y76" s="15"/>
      <c r="Z76" s="15"/>
    </row>
    <row r="77" customHeight="1" spans="1:26">
      <c r="A77" s="17"/>
      <c r="B77" s="15"/>
      <c r="C77" s="15"/>
      <c r="D77" s="15"/>
      <c r="E77" s="15"/>
      <c r="F77" s="15"/>
      <c r="G77" s="15"/>
      <c r="H77" s="16"/>
      <c r="I77" s="16"/>
      <c r="J77" s="16"/>
      <c r="K77" s="16"/>
      <c r="L77" s="16"/>
      <c r="M77" s="16"/>
      <c r="N77" s="16"/>
      <c r="O77" s="16"/>
      <c r="P77" s="16"/>
      <c r="Q77" s="16"/>
      <c r="R77" s="16"/>
      <c r="S77" s="16"/>
      <c r="T77" s="16"/>
      <c r="U77" s="16"/>
      <c r="V77" s="16"/>
      <c r="W77" s="15"/>
      <c r="X77" s="15"/>
      <c r="Y77" s="15"/>
      <c r="Z77" s="15"/>
    </row>
    <row r="78" customHeight="1" spans="1:26">
      <c r="A78" s="17"/>
      <c r="B78" s="15"/>
      <c r="C78" s="15"/>
      <c r="D78" s="15"/>
      <c r="E78" s="15"/>
      <c r="F78" s="15"/>
      <c r="G78" s="15"/>
      <c r="H78" s="16"/>
      <c r="I78" s="16"/>
      <c r="J78" s="16"/>
      <c r="K78" s="16"/>
      <c r="L78" s="16"/>
      <c r="M78" s="16"/>
      <c r="N78" s="16"/>
      <c r="O78" s="16"/>
      <c r="P78" s="16"/>
      <c r="Q78" s="16"/>
      <c r="R78" s="16"/>
      <c r="S78" s="16"/>
      <c r="T78" s="16"/>
      <c r="U78" s="16"/>
      <c r="V78" s="16"/>
      <c r="W78" s="15"/>
      <c r="X78" s="15"/>
      <c r="Y78" s="15"/>
      <c r="Z78" s="15"/>
    </row>
    <row r="79" customHeight="1" spans="1:26">
      <c r="A79" s="17"/>
      <c r="B79" s="15"/>
      <c r="C79" s="15"/>
      <c r="D79" s="15"/>
      <c r="E79" s="15"/>
      <c r="F79" s="15"/>
      <c r="G79" s="15"/>
      <c r="H79" s="16"/>
      <c r="I79" s="16"/>
      <c r="J79" s="16"/>
      <c r="K79" s="16"/>
      <c r="L79" s="16"/>
      <c r="M79" s="16"/>
      <c r="N79" s="16"/>
      <c r="O79" s="16"/>
      <c r="P79" s="16"/>
      <c r="Q79" s="16"/>
      <c r="R79" s="16"/>
      <c r="S79" s="16"/>
      <c r="T79" s="16"/>
      <c r="U79" s="16"/>
      <c r="V79" s="16"/>
      <c r="W79" s="15"/>
      <c r="X79" s="15"/>
      <c r="Y79" s="15"/>
      <c r="Z79" s="15"/>
    </row>
    <row r="80" customHeight="1" spans="1:26">
      <c r="A80" s="17"/>
      <c r="B80" s="15"/>
      <c r="C80" s="15"/>
      <c r="D80" s="15"/>
      <c r="E80" s="15"/>
      <c r="F80" s="15"/>
      <c r="G80" s="15"/>
      <c r="H80" s="16"/>
      <c r="I80" s="16"/>
      <c r="J80" s="16"/>
      <c r="K80" s="16"/>
      <c r="L80" s="16"/>
      <c r="M80" s="16"/>
      <c r="N80" s="16"/>
      <c r="O80" s="16"/>
      <c r="P80" s="16"/>
      <c r="Q80" s="16"/>
      <c r="R80" s="16"/>
      <c r="S80" s="16"/>
      <c r="T80" s="16"/>
      <c r="U80" s="16"/>
      <c r="V80" s="16"/>
      <c r="W80" s="15"/>
      <c r="X80" s="15"/>
      <c r="Y80" s="15"/>
      <c r="Z80" s="15"/>
    </row>
    <row r="81" customHeight="1" spans="1:26">
      <c r="A81" s="17"/>
      <c r="B81" s="15"/>
      <c r="C81" s="15"/>
      <c r="D81" s="15"/>
      <c r="E81" s="15"/>
      <c r="F81" s="15"/>
      <c r="G81" s="15"/>
      <c r="H81" s="16"/>
      <c r="I81" s="16"/>
      <c r="J81" s="16"/>
      <c r="K81" s="16"/>
      <c r="L81" s="16"/>
      <c r="M81" s="16"/>
      <c r="N81" s="16"/>
      <c r="O81" s="16"/>
      <c r="P81" s="16"/>
      <c r="Q81" s="16"/>
      <c r="R81" s="16"/>
      <c r="S81" s="16"/>
      <c r="T81" s="16"/>
      <c r="U81" s="16"/>
      <c r="V81" s="16"/>
      <c r="W81" s="15"/>
      <c r="X81" s="15"/>
      <c r="Y81" s="15"/>
      <c r="Z81" s="15"/>
    </row>
    <row r="82" customHeight="1" spans="1:26">
      <c r="A82" s="17"/>
      <c r="B82" s="15"/>
      <c r="C82" s="15"/>
      <c r="D82" s="15"/>
      <c r="E82" s="15"/>
      <c r="F82" s="15"/>
      <c r="G82" s="15"/>
      <c r="H82" s="16"/>
      <c r="I82" s="16"/>
      <c r="J82" s="16"/>
      <c r="K82" s="16"/>
      <c r="L82" s="16"/>
      <c r="M82" s="16"/>
      <c r="N82" s="16"/>
      <c r="O82" s="16"/>
      <c r="P82" s="16"/>
      <c r="Q82" s="16"/>
      <c r="R82" s="16"/>
      <c r="S82" s="16"/>
      <c r="T82" s="16"/>
      <c r="U82" s="16"/>
      <c r="V82" s="16"/>
      <c r="W82" s="15"/>
      <c r="X82" s="15"/>
      <c r="Y82" s="15"/>
      <c r="Z82" s="15"/>
    </row>
    <row r="83" customHeight="1" spans="1:26">
      <c r="A83" s="17"/>
      <c r="B83" s="15"/>
      <c r="C83" s="15"/>
      <c r="D83" s="15"/>
      <c r="E83" s="15"/>
      <c r="F83" s="15"/>
      <c r="G83" s="15"/>
      <c r="H83" s="16"/>
      <c r="I83" s="16"/>
      <c r="J83" s="16"/>
      <c r="K83" s="16"/>
      <c r="L83" s="16"/>
      <c r="M83" s="16"/>
      <c r="N83" s="16"/>
      <c r="O83" s="16"/>
      <c r="P83" s="16"/>
      <c r="Q83" s="16"/>
      <c r="R83" s="16"/>
      <c r="S83" s="16"/>
      <c r="T83" s="16"/>
      <c r="U83" s="16"/>
      <c r="V83" s="16"/>
      <c r="W83" s="15"/>
      <c r="X83" s="15"/>
      <c r="Y83" s="15"/>
      <c r="Z83" s="15"/>
    </row>
    <row r="84" customHeight="1" spans="1:26">
      <c r="A84" s="17"/>
      <c r="B84" s="15"/>
      <c r="C84" s="15"/>
      <c r="D84" s="15"/>
      <c r="E84" s="15"/>
      <c r="F84" s="15"/>
      <c r="G84" s="15"/>
      <c r="H84" s="16"/>
      <c r="I84" s="16"/>
      <c r="J84" s="16"/>
      <c r="K84" s="16"/>
      <c r="L84" s="16"/>
      <c r="M84" s="16"/>
      <c r="N84" s="16"/>
      <c r="O84" s="16"/>
      <c r="P84" s="16"/>
      <c r="Q84" s="16"/>
      <c r="R84" s="16"/>
      <c r="S84" s="16"/>
      <c r="T84" s="16"/>
      <c r="U84" s="16"/>
      <c r="V84" s="16"/>
      <c r="W84" s="15"/>
      <c r="X84" s="15"/>
      <c r="Y84" s="15"/>
      <c r="Z84" s="15"/>
    </row>
    <row r="85" customHeight="1" spans="1:26">
      <c r="A85" s="17"/>
      <c r="B85" s="15"/>
      <c r="C85" s="15"/>
      <c r="D85" s="15"/>
      <c r="E85" s="15"/>
      <c r="F85" s="15"/>
      <c r="G85" s="15"/>
      <c r="H85" s="16"/>
      <c r="I85" s="16"/>
      <c r="J85" s="16"/>
      <c r="K85" s="16"/>
      <c r="L85" s="16"/>
      <c r="M85" s="16"/>
      <c r="N85" s="16"/>
      <c r="O85" s="16"/>
      <c r="P85" s="16"/>
      <c r="Q85" s="16"/>
      <c r="R85" s="16"/>
      <c r="S85" s="16"/>
      <c r="T85" s="16"/>
      <c r="U85" s="16"/>
      <c r="V85" s="16"/>
      <c r="W85" s="15"/>
      <c r="X85" s="15"/>
      <c r="Y85" s="15"/>
      <c r="Z85" s="15"/>
    </row>
    <row r="86" customHeight="1" spans="1:26">
      <c r="A86" s="17"/>
      <c r="B86" s="15"/>
      <c r="C86" s="15"/>
      <c r="D86" s="15"/>
      <c r="E86" s="15"/>
      <c r="F86" s="15"/>
      <c r="G86" s="15"/>
      <c r="H86" s="16"/>
      <c r="I86" s="16"/>
      <c r="J86" s="16"/>
      <c r="K86" s="16"/>
      <c r="L86" s="16"/>
      <c r="M86" s="16"/>
      <c r="N86" s="16"/>
      <c r="O86" s="16"/>
      <c r="P86" s="16"/>
      <c r="Q86" s="16"/>
      <c r="R86" s="16"/>
      <c r="S86" s="16"/>
      <c r="T86" s="16"/>
      <c r="U86" s="16"/>
      <c r="V86" s="16"/>
      <c r="W86" s="15"/>
      <c r="X86" s="15"/>
      <c r="Y86" s="15"/>
      <c r="Z86" s="15"/>
    </row>
    <row r="87" customHeight="1" spans="1:26">
      <c r="A87" s="17"/>
      <c r="B87" s="15"/>
      <c r="C87" s="15"/>
      <c r="D87" s="15"/>
      <c r="E87" s="15"/>
      <c r="F87" s="15"/>
      <c r="G87" s="15"/>
      <c r="H87" s="16"/>
      <c r="I87" s="16"/>
      <c r="J87" s="16"/>
      <c r="K87" s="16"/>
      <c r="L87" s="16"/>
      <c r="M87" s="16"/>
      <c r="N87" s="16"/>
      <c r="O87" s="16"/>
      <c r="P87" s="16"/>
      <c r="Q87" s="16"/>
      <c r="R87" s="16"/>
      <c r="S87" s="16"/>
      <c r="T87" s="16"/>
      <c r="U87" s="16"/>
      <c r="V87" s="16"/>
      <c r="W87" s="15"/>
      <c r="X87" s="15"/>
      <c r="Y87" s="15"/>
      <c r="Z87" s="15"/>
    </row>
    <row r="88" customHeight="1" spans="1:26">
      <c r="A88" s="17"/>
      <c r="B88" s="15"/>
      <c r="C88" s="15"/>
      <c r="D88" s="15"/>
      <c r="E88" s="15"/>
      <c r="F88" s="15"/>
      <c r="G88" s="15"/>
      <c r="H88" s="16"/>
      <c r="I88" s="16"/>
      <c r="J88" s="16"/>
      <c r="K88" s="16"/>
      <c r="L88" s="16"/>
      <c r="M88" s="16"/>
      <c r="N88" s="16"/>
      <c r="O88" s="16"/>
      <c r="P88" s="16"/>
      <c r="Q88" s="16"/>
      <c r="R88" s="16"/>
      <c r="S88" s="16"/>
      <c r="T88" s="16"/>
      <c r="U88" s="16"/>
      <c r="V88" s="16"/>
      <c r="W88" s="15"/>
      <c r="X88" s="15"/>
      <c r="Y88" s="15"/>
      <c r="Z88" s="15"/>
    </row>
    <row r="89" customHeight="1" spans="1:26">
      <c r="A89" s="17"/>
      <c r="B89" s="15"/>
      <c r="C89" s="15"/>
      <c r="D89" s="15"/>
      <c r="E89" s="15"/>
      <c r="F89" s="15"/>
      <c r="G89" s="15"/>
      <c r="H89" s="16"/>
      <c r="I89" s="16"/>
      <c r="J89" s="16"/>
      <c r="K89" s="16"/>
      <c r="L89" s="16"/>
      <c r="M89" s="16"/>
      <c r="N89" s="16"/>
      <c r="O89" s="16"/>
      <c r="P89" s="16"/>
      <c r="Q89" s="16"/>
      <c r="R89" s="16"/>
      <c r="S89" s="16"/>
      <c r="T89" s="16"/>
      <c r="U89" s="16"/>
      <c r="V89" s="16"/>
      <c r="W89" s="15"/>
      <c r="X89" s="15"/>
      <c r="Y89" s="15"/>
      <c r="Z89" s="15"/>
    </row>
    <row r="90" customHeight="1" spans="1:26">
      <c r="A90" s="17"/>
      <c r="B90" s="15"/>
      <c r="C90" s="15"/>
      <c r="D90" s="15"/>
      <c r="E90" s="15"/>
      <c r="F90" s="15"/>
      <c r="G90" s="15"/>
      <c r="H90" s="16"/>
      <c r="I90" s="16"/>
      <c r="J90" s="16"/>
      <c r="K90" s="16"/>
      <c r="L90" s="16"/>
      <c r="M90" s="16"/>
      <c r="N90" s="16"/>
      <c r="O90" s="16"/>
      <c r="P90" s="16"/>
      <c r="Q90" s="16"/>
      <c r="R90" s="16"/>
      <c r="S90" s="16"/>
      <c r="T90" s="16"/>
      <c r="U90" s="16"/>
      <c r="V90" s="16"/>
      <c r="W90" s="15"/>
      <c r="X90" s="15"/>
      <c r="Y90" s="15"/>
      <c r="Z90" s="15"/>
    </row>
    <row r="91" customHeight="1" spans="1:26">
      <c r="A91" s="17"/>
      <c r="B91" s="15"/>
      <c r="C91" s="15"/>
      <c r="D91" s="15"/>
      <c r="E91" s="15"/>
      <c r="F91" s="15"/>
      <c r="G91" s="15"/>
      <c r="H91" s="16"/>
      <c r="I91" s="16"/>
      <c r="J91" s="16"/>
      <c r="K91" s="16"/>
      <c r="L91" s="16"/>
      <c r="M91" s="16"/>
      <c r="N91" s="16"/>
      <c r="O91" s="16"/>
      <c r="P91" s="16"/>
      <c r="Q91" s="16"/>
      <c r="R91" s="16"/>
      <c r="S91" s="16"/>
      <c r="T91" s="16"/>
      <c r="U91" s="16"/>
      <c r="V91" s="16"/>
      <c r="W91" s="15"/>
      <c r="X91" s="15"/>
      <c r="Y91" s="15"/>
      <c r="Z91" s="15"/>
    </row>
    <row r="92" customHeight="1" spans="1:26">
      <c r="A92" s="17"/>
      <c r="B92" s="15"/>
      <c r="C92" s="15"/>
      <c r="D92" s="15"/>
      <c r="E92" s="15"/>
      <c r="F92" s="15"/>
      <c r="G92" s="15"/>
      <c r="H92" s="16"/>
      <c r="I92" s="16"/>
      <c r="J92" s="16"/>
      <c r="K92" s="16"/>
      <c r="L92" s="16"/>
      <c r="M92" s="16"/>
      <c r="N92" s="16"/>
      <c r="O92" s="16"/>
      <c r="P92" s="16"/>
      <c r="Q92" s="16"/>
      <c r="R92" s="16"/>
      <c r="S92" s="16"/>
      <c r="T92" s="16"/>
      <c r="U92" s="16"/>
      <c r="V92" s="16"/>
      <c r="W92" s="15"/>
      <c r="X92" s="15"/>
      <c r="Y92" s="15"/>
      <c r="Z92" s="15"/>
    </row>
    <row r="93" customHeight="1" spans="1:26">
      <c r="A93" s="17"/>
      <c r="B93" s="15"/>
      <c r="C93" s="15"/>
      <c r="D93" s="15"/>
      <c r="E93" s="15"/>
      <c r="F93" s="15"/>
      <c r="G93" s="15"/>
      <c r="H93" s="16"/>
      <c r="I93" s="16"/>
      <c r="J93" s="16"/>
      <c r="K93" s="16"/>
      <c r="L93" s="16"/>
      <c r="M93" s="16"/>
      <c r="N93" s="16"/>
      <c r="O93" s="16"/>
      <c r="P93" s="16"/>
      <c r="Q93" s="16"/>
      <c r="R93" s="16"/>
      <c r="S93" s="16"/>
      <c r="T93" s="16"/>
      <c r="U93" s="16"/>
      <c r="V93" s="16"/>
      <c r="W93" s="15"/>
      <c r="X93" s="15"/>
      <c r="Y93" s="15"/>
      <c r="Z93" s="15"/>
    </row>
    <row r="94" customHeight="1" spans="1:26">
      <c r="A94" s="17"/>
      <c r="B94" s="15"/>
      <c r="C94" s="15"/>
      <c r="D94" s="15"/>
      <c r="E94" s="15"/>
      <c r="F94" s="15"/>
      <c r="G94" s="15"/>
      <c r="H94" s="16"/>
      <c r="I94" s="16"/>
      <c r="J94" s="16"/>
      <c r="K94" s="16"/>
      <c r="L94" s="16"/>
      <c r="M94" s="16"/>
      <c r="N94" s="16"/>
      <c r="O94" s="16"/>
      <c r="P94" s="16"/>
      <c r="Q94" s="16"/>
      <c r="R94" s="16"/>
      <c r="S94" s="16"/>
      <c r="T94" s="16"/>
      <c r="U94" s="16"/>
      <c r="V94" s="16"/>
      <c r="W94" s="15"/>
      <c r="X94" s="15"/>
      <c r="Y94" s="15"/>
      <c r="Z94" s="15"/>
    </row>
    <row r="95" customHeight="1" spans="1:26">
      <c r="A95" s="17"/>
      <c r="B95" s="15"/>
      <c r="C95" s="15"/>
      <c r="D95" s="15"/>
      <c r="E95" s="15"/>
      <c r="F95" s="15"/>
      <c r="G95" s="15"/>
      <c r="H95" s="16"/>
      <c r="I95" s="16"/>
      <c r="J95" s="16"/>
      <c r="K95" s="16"/>
      <c r="L95" s="16"/>
      <c r="M95" s="16"/>
      <c r="N95" s="16"/>
      <c r="O95" s="16"/>
      <c r="P95" s="16"/>
      <c r="Q95" s="16"/>
      <c r="R95" s="16"/>
      <c r="S95" s="16"/>
      <c r="T95" s="16"/>
      <c r="U95" s="16"/>
      <c r="V95" s="16"/>
      <c r="W95" s="15"/>
      <c r="X95" s="15"/>
      <c r="Y95" s="15"/>
      <c r="Z95" s="15"/>
    </row>
    <row r="96" customHeight="1" spans="1:26">
      <c r="A96" s="17"/>
      <c r="B96" s="15"/>
      <c r="C96" s="15"/>
      <c r="D96" s="15"/>
      <c r="E96" s="15"/>
      <c r="F96" s="15"/>
      <c r="G96" s="15"/>
      <c r="H96" s="16"/>
      <c r="I96" s="16"/>
      <c r="J96" s="16"/>
      <c r="K96" s="16"/>
      <c r="L96" s="16"/>
      <c r="M96" s="16"/>
      <c r="N96" s="16"/>
      <c r="O96" s="16"/>
      <c r="P96" s="16"/>
      <c r="Q96" s="16"/>
      <c r="R96" s="16"/>
      <c r="S96" s="16"/>
      <c r="T96" s="16"/>
      <c r="U96" s="16"/>
      <c r="V96" s="16"/>
      <c r="W96" s="15"/>
      <c r="X96" s="15"/>
      <c r="Y96" s="15"/>
      <c r="Z96" s="15"/>
    </row>
    <row r="97" customHeight="1" spans="1:26">
      <c r="A97" s="17"/>
      <c r="B97" s="15"/>
      <c r="C97" s="15"/>
      <c r="D97" s="15"/>
      <c r="E97" s="15"/>
      <c r="F97" s="15"/>
      <c r="G97" s="15"/>
      <c r="H97" s="16"/>
      <c r="I97" s="16"/>
      <c r="J97" s="16"/>
      <c r="K97" s="16"/>
      <c r="L97" s="16"/>
      <c r="M97" s="16"/>
      <c r="N97" s="16"/>
      <c r="O97" s="16"/>
      <c r="P97" s="16"/>
      <c r="Q97" s="16"/>
      <c r="R97" s="16"/>
      <c r="S97" s="16"/>
      <c r="T97" s="16"/>
      <c r="U97" s="16"/>
      <c r="V97" s="16"/>
      <c r="W97" s="15"/>
      <c r="X97" s="15"/>
      <c r="Y97" s="15"/>
      <c r="Z97" s="15"/>
    </row>
    <row r="98" customHeight="1" spans="1:26">
      <c r="A98" s="17"/>
      <c r="B98" s="15"/>
      <c r="C98" s="15"/>
      <c r="D98" s="15"/>
      <c r="E98" s="15"/>
      <c r="F98" s="15"/>
      <c r="G98" s="15"/>
      <c r="H98" s="16"/>
      <c r="I98" s="16"/>
      <c r="J98" s="16"/>
      <c r="K98" s="16"/>
      <c r="L98" s="16"/>
      <c r="M98" s="16"/>
      <c r="N98" s="16"/>
      <c r="O98" s="16"/>
      <c r="P98" s="16"/>
      <c r="Q98" s="16"/>
      <c r="R98" s="16"/>
      <c r="S98" s="16"/>
      <c r="T98" s="16"/>
      <c r="U98" s="16"/>
      <c r="V98" s="16"/>
      <c r="W98" s="15"/>
      <c r="X98" s="15"/>
      <c r="Y98" s="15"/>
      <c r="Z98" s="15"/>
    </row>
    <row r="99" customHeight="1" spans="1:26">
      <c r="A99" s="17"/>
      <c r="B99" s="15"/>
      <c r="C99" s="15"/>
      <c r="D99" s="15"/>
      <c r="E99" s="15"/>
      <c r="F99" s="15"/>
      <c r="G99" s="15"/>
      <c r="H99" s="16"/>
      <c r="I99" s="16"/>
      <c r="J99" s="16"/>
      <c r="K99" s="16"/>
      <c r="L99" s="16"/>
      <c r="M99" s="16"/>
      <c r="N99" s="16"/>
      <c r="O99" s="16"/>
      <c r="P99" s="16"/>
      <c r="Q99" s="16"/>
      <c r="R99" s="16"/>
      <c r="S99" s="16"/>
      <c r="T99" s="16"/>
      <c r="U99" s="16"/>
      <c r="V99" s="16"/>
      <c r="W99" s="15"/>
      <c r="X99" s="15"/>
      <c r="Y99" s="15"/>
      <c r="Z99" s="15"/>
    </row>
    <row r="100" customHeight="1" spans="1:26">
      <c r="A100" s="17"/>
      <c r="B100" s="15"/>
      <c r="C100" s="15"/>
      <c r="D100" s="15"/>
      <c r="E100" s="15"/>
      <c r="F100" s="15"/>
      <c r="G100" s="15"/>
      <c r="H100" s="16"/>
      <c r="I100" s="16"/>
      <c r="J100" s="16"/>
      <c r="K100" s="16"/>
      <c r="L100" s="16"/>
      <c r="M100" s="16"/>
      <c r="N100" s="16"/>
      <c r="O100" s="16"/>
      <c r="P100" s="16"/>
      <c r="Q100" s="16"/>
      <c r="R100" s="16"/>
      <c r="S100" s="16"/>
      <c r="T100" s="16"/>
      <c r="U100" s="16"/>
      <c r="V100" s="16"/>
      <c r="W100" s="15"/>
      <c r="X100" s="15"/>
      <c r="Y100" s="15"/>
      <c r="Z100" s="15"/>
    </row>
    <row r="101" customHeight="1" spans="1:26">
      <c r="A101" s="17"/>
      <c r="B101" s="15"/>
      <c r="C101" s="15"/>
      <c r="D101" s="15"/>
      <c r="E101" s="15"/>
      <c r="F101" s="15"/>
      <c r="G101" s="15"/>
      <c r="H101" s="16"/>
      <c r="I101" s="16"/>
      <c r="J101" s="16"/>
      <c r="K101" s="16"/>
      <c r="L101" s="16"/>
      <c r="M101" s="16"/>
      <c r="N101" s="16"/>
      <c r="O101" s="16"/>
      <c r="P101" s="16"/>
      <c r="Q101" s="16"/>
      <c r="R101" s="16"/>
      <c r="S101" s="16"/>
      <c r="T101" s="16"/>
      <c r="U101" s="16"/>
      <c r="V101" s="16"/>
      <c r="W101" s="15"/>
      <c r="X101" s="15"/>
      <c r="Y101" s="15"/>
      <c r="Z101" s="15"/>
    </row>
    <row r="102" customHeight="1" spans="1:26">
      <c r="A102" s="17"/>
      <c r="B102" s="15"/>
      <c r="C102" s="15"/>
      <c r="D102" s="15"/>
      <c r="E102" s="15"/>
      <c r="F102" s="15"/>
      <c r="G102" s="15"/>
      <c r="H102" s="16"/>
      <c r="I102" s="16"/>
      <c r="J102" s="16"/>
      <c r="K102" s="16"/>
      <c r="L102" s="16"/>
      <c r="M102" s="16"/>
      <c r="N102" s="16"/>
      <c r="O102" s="16"/>
      <c r="P102" s="16"/>
      <c r="Q102" s="16"/>
      <c r="R102" s="16"/>
      <c r="S102" s="16"/>
      <c r="T102" s="16"/>
      <c r="U102" s="16"/>
      <c r="V102" s="16"/>
      <c r="W102" s="15"/>
      <c r="X102" s="15"/>
      <c r="Y102" s="15"/>
      <c r="Z102" s="15"/>
    </row>
    <row r="103" customHeight="1" spans="1:26">
      <c r="A103" s="17"/>
      <c r="B103" s="15"/>
      <c r="C103" s="15"/>
      <c r="D103" s="15"/>
      <c r="E103" s="15"/>
      <c r="F103" s="15"/>
      <c r="G103" s="15"/>
      <c r="H103" s="16"/>
      <c r="I103" s="16"/>
      <c r="J103" s="16"/>
      <c r="K103" s="16"/>
      <c r="L103" s="16"/>
      <c r="M103" s="16"/>
      <c r="N103" s="16"/>
      <c r="O103" s="16"/>
      <c r="P103" s="16"/>
      <c r="Q103" s="16"/>
      <c r="R103" s="16"/>
      <c r="S103" s="16"/>
      <c r="T103" s="16"/>
      <c r="U103" s="16"/>
      <c r="V103" s="16"/>
      <c r="W103" s="15"/>
      <c r="X103" s="15"/>
      <c r="Y103" s="15"/>
      <c r="Z103" s="15"/>
    </row>
    <row r="104" customHeight="1" spans="1:26">
      <c r="A104" s="17"/>
      <c r="B104" s="15"/>
      <c r="C104" s="15"/>
      <c r="D104" s="15"/>
      <c r="E104" s="15"/>
      <c r="F104" s="15"/>
      <c r="G104" s="15"/>
      <c r="H104" s="16"/>
      <c r="I104" s="16"/>
      <c r="J104" s="16"/>
      <c r="K104" s="16"/>
      <c r="L104" s="16"/>
      <c r="M104" s="16"/>
      <c r="N104" s="16"/>
      <c r="O104" s="16"/>
      <c r="P104" s="16"/>
      <c r="Q104" s="16"/>
      <c r="R104" s="16"/>
      <c r="S104" s="16"/>
      <c r="T104" s="16"/>
      <c r="U104" s="16"/>
      <c r="V104" s="16"/>
      <c r="W104" s="15"/>
      <c r="X104" s="15"/>
      <c r="Y104" s="15"/>
      <c r="Z104" s="15"/>
    </row>
    <row r="105" customHeight="1" spans="1:26">
      <c r="A105" s="17"/>
      <c r="B105" s="15"/>
      <c r="C105" s="15"/>
      <c r="D105" s="15"/>
      <c r="E105" s="15"/>
      <c r="F105" s="15"/>
      <c r="G105" s="15"/>
      <c r="H105" s="16"/>
      <c r="I105" s="16"/>
      <c r="J105" s="16"/>
      <c r="K105" s="16"/>
      <c r="L105" s="16"/>
      <c r="M105" s="16"/>
      <c r="N105" s="16"/>
      <c r="O105" s="16"/>
      <c r="P105" s="16"/>
      <c r="Q105" s="16"/>
      <c r="R105" s="16"/>
      <c r="S105" s="16"/>
      <c r="T105" s="16"/>
      <c r="U105" s="16"/>
      <c r="V105" s="16"/>
      <c r="W105" s="15"/>
      <c r="X105" s="15"/>
      <c r="Y105" s="15"/>
      <c r="Z105" s="15"/>
    </row>
    <row r="106" customHeight="1" spans="1:26">
      <c r="A106" s="17"/>
      <c r="B106" s="15"/>
      <c r="C106" s="15"/>
      <c r="D106" s="15"/>
      <c r="E106" s="15"/>
      <c r="F106" s="15"/>
      <c r="G106" s="15"/>
      <c r="H106" s="16"/>
      <c r="I106" s="16"/>
      <c r="J106" s="16"/>
      <c r="K106" s="16"/>
      <c r="L106" s="16"/>
      <c r="M106" s="16"/>
      <c r="N106" s="16"/>
      <c r="O106" s="16"/>
      <c r="P106" s="16"/>
      <c r="Q106" s="16"/>
      <c r="R106" s="16"/>
      <c r="S106" s="16"/>
      <c r="T106" s="16"/>
      <c r="U106" s="16"/>
      <c r="V106" s="16"/>
      <c r="W106" s="15"/>
      <c r="X106" s="15"/>
      <c r="Y106" s="15"/>
      <c r="Z106" s="15"/>
    </row>
    <row r="107" customHeight="1" spans="1:26">
      <c r="A107" s="17"/>
      <c r="B107" s="15"/>
      <c r="C107" s="15"/>
      <c r="D107" s="15"/>
      <c r="E107" s="15"/>
      <c r="F107" s="15"/>
      <c r="G107" s="15"/>
      <c r="H107" s="16"/>
      <c r="I107" s="16"/>
      <c r="J107" s="16"/>
      <c r="K107" s="16"/>
      <c r="L107" s="16"/>
      <c r="M107" s="16"/>
      <c r="N107" s="16"/>
      <c r="O107" s="16"/>
      <c r="P107" s="16"/>
      <c r="Q107" s="16"/>
      <c r="R107" s="16"/>
      <c r="S107" s="16"/>
      <c r="T107" s="16"/>
      <c r="U107" s="16"/>
      <c r="V107" s="16"/>
      <c r="W107" s="15"/>
      <c r="X107" s="15"/>
      <c r="Y107" s="15"/>
      <c r="Z107" s="15"/>
    </row>
    <row r="108" customHeight="1" spans="1:26">
      <c r="A108" s="17"/>
      <c r="B108" s="15"/>
      <c r="C108" s="15"/>
      <c r="D108" s="15"/>
      <c r="E108" s="15"/>
      <c r="F108" s="15"/>
      <c r="G108" s="15"/>
      <c r="H108" s="16"/>
      <c r="I108" s="16"/>
      <c r="J108" s="16"/>
      <c r="K108" s="16"/>
      <c r="L108" s="16"/>
      <c r="M108" s="16"/>
      <c r="N108" s="16"/>
      <c r="O108" s="16"/>
      <c r="P108" s="16"/>
      <c r="Q108" s="16"/>
      <c r="R108" s="16"/>
      <c r="S108" s="16"/>
      <c r="T108" s="16"/>
      <c r="U108" s="16"/>
      <c r="V108" s="16"/>
      <c r="W108" s="15"/>
      <c r="X108" s="15"/>
      <c r="Y108" s="15"/>
      <c r="Z108" s="15"/>
    </row>
    <row r="109" customHeight="1" spans="1:26">
      <c r="A109" s="17"/>
      <c r="B109" s="15"/>
      <c r="C109" s="15"/>
      <c r="D109" s="15"/>
      <c r="E109" s="15"/>
      <c r="F109" s="15"/>
      <c r="G109" s="15"/>
      <c r="H109" s="16"/>
      <c r="I109" s="16"/>
      <c r="J109" s="16"/>
      <c r="K109" s="16"/>
      <c r="L109" s="16"/>
      <c r="M109" s="16"/>
      <c r="N109" s="16"/>
      <c r="O109" s="16"/>
      <c r="P109" s="16"/>
      <c r="Q109" s="16"/>
      <c r="R109" s="16"/>
      <c r="S109" s="16"/>
      <c r="T109" s="16"/>
      <c r="U109" s="16"/>
      <c r="V109" s="16"/>
      <c r="W109" s="15"/>
      <c r="X109" s="15"/>
      <c r="Y109" s="15"/>
      <c r="Z109" s="15"/>
    </row>
    <row r="110" customHeight="1" spans="1:26">
      <c r="A110" s="17"/>
      <c r="B110" s="15"/>
      <c r="C110" s="15"/>
      <c r="D110" s="15"/>
      <c r="E110" s="15"/>
      <c r="F110" s="15"/>
      <c r="G110" s="15"/>
      <c r="H110" s="16"/>
      <c r="I110" s="16"/>
      <c r="J110" s="16"/>
      <c r="K110" s="16"/>
      <c r="L110" s="16"/>
      <c r="M110" s="16"/>
      <c r="N110" s="16"/>
      <c r="O110" s="16"/>
      <c r="P110" s="16"/>
      <c r="Q110" s="16"/>
      <c r="R110" s="16"/>
      <c r="S110" s="16"/>
      <c r="T110" s="16"/>
      <c r="U110" s="16"/>
      <c r="V110" s="16"/>
      <c r="W110" s="15"/>
      <c r="X110" s="15"/>
      <c r="Y110" s="15"/>
      <c r="Z110" s="15"/>
    </row>
    <row r="111" customHeight="1" spans="1:26">
      <c r="A111" s="17"/>
      <c r="B111" s="15"/>
      <c r="C111" s="15"/>
      <c r="D111" s="15"/>
      <c r="E111" s="15"/>
      <c r="F111" s="15"/>
      <c r="G111" s="15"/>
      <c r="H111" s="16"/>
      <c r="I111" s="16"/>
      <c r="J111" s="16"/>
      <c r="K111" s="16"/>
      <c r="L111" s="16"/>
      <c r="M111" s="16"/>
      <c r="N111" s="16"/>
      <c r="O111" s="16"/>
      <c r="P111" s="16"/>
      <c r="Q111" s="16"/>
      <c r="R111" s="16"/>
      <c r="S111" s="16"/>
      <c r="T111" s="16"/>
      <c r="U111" s="16"/>
      <c r="V111" s="16"/>
      <c r="W111" s="15"/>
      <c r="X111" s="15"/>
      <c r="Y111" s="15"/>
      <c r="Z111" s="15"/>
    </row>
    <row r="112" customHeight="1" spans="1:26">
      <c r="A112" s="17"/>
      <c r="B112" s="15"/>
      <c r="C112" s="15"/>
      <c r="D112" s="15"/>
      <c r="E112" s="15"/>
      <c r="F112" s="15"/>
      <c r="G112" s="15"/>
      <c r="H112" s="16"/>
      <c r="I112" s="16"/>
      <c r="J112" s="16"/>
      <c r="K112" s="16"/>
      <c r="L112" s="16"/>
      <c r="M112" s="16"/>
      <c r="N112" s="16"/>
      <c r="O112" s="16"/>
      <c r="P112" s="16"/>
      <c r="Q112" s="16"/>
      <c r="R112" s="16"/>
      <c r="S112" s="16"/>
      <c r="T112" s="16"/>
      <c r="U112" s="16"/>
      <c r="V112" s="16"/>
      <c r="W112" s="15"/>
      <c r="X112" s="15"/>
      <c r="Y112" s="15"/>
      <c r="Z112" s="15"/>
    </row>
    <row r="113" customHeight="1" spans="1:26">
      <c r="A113" s="17"/>
      <c r="B113" s="15"/>
      <c r="C113" s="15"/>
      <c r="D113" s="15"/>
      <c r="E113" s="15"/>
      <c r="F113" s="15"/>
      <c r="G113" s="15"/>
      <c r="H113" s="16"/>
      <c r="I113" s="16"/>
      <c r="J113" s="16"/>
      <c r="K113" s="16"/>
      <c r="L113" s="16"/>
      <c r="M113" s="16"/>
      <c r="N113" s="16"/>
      <c r="O113" s="16"/>
      <c r="P113" s="16"/>
      <c r="Q113" s="16"/>
      <c r="R113" s="16"/>
      <c r="S113" s="16"/>
      <c r="T113" s="16"/>
      <c r="U113" s="16"/>
      <c r="V113" s="16"/>
      <c r="W113" s="15"/>
      <c r="X113" s="15"/>
      <c r="Y113" s="15"/>
      <c r="Z113" s="15"/>
    </row>
    <row r="114" customHeight="1" spans="1:26">
      <c r="A114" s="17"/>
      <c r="B114" s="15"/>
      <c r="C114" s="15"/>
      <c r="D114" s="15"/>
      <c r="E114" s="15"/>
      <c r="F114" s="15"/>
      <c r="G114" s="15"/>
      <c r="H114" s="16"/>
      <c r="I114" s="16"/>
      <c r="J114" s="16"/>
      <c r="K114" s="16"/>
      <c r="L114" s="16"/>
      <c r="M114" s="16"/>
      <c r="N114" s="16"/>
      <c r="O114" s="16"/>
      <c r="P114" s="16"/>
      <c r="Q114" s="16"/>
      <c r="R114" s="16"/>
      <c r="S114" s="16"/>
      <c r="T114" s="16"/>
      <c r="U114" s="16"/>
      <c r="V114" s="16"/>
      <c r="W114" s="15"/>
      <c r="X114" s="15"/>
      <c r="Y114" s="15"/>
      <c r="Z114" s="15"/>
    </row>
    <row r="115" customHeight="1" spans="1:26">
      <c r="A115" s="17"/>
      <c r="B115" s="15"/>
      <c r="C115" s="15"/>
      <c r="D115" s="15"/>
      <c r="E115" s="15"/>
      <c r="F115" s="15"/>
      <c r="G115" s="15"/>
      <c r="H115" s="16"/>
      <c r="I115" s="16"/>
      <c r="J115" s="16"/>
      <c r="K115" s="16"/>
      <c r="L115" s="16"/>
      <c r="M115" s="16"/>
      <c r="N115" s="16"/>
      <c r="O115" s="16"/>
      <c r="P115" s="16"/>
      <c r="Q115" s="16"/>
      <c r="R115" s="16"/>
      <c r="S115" s="16"/>
      <c r="T115" s="16"/>
      <c r="U115" s="16"/>
      <c r="V115" s="16"/>
      <c r="W115" s="15"/>
      <c r="X115" s="15"/>
      <c r="Y115" s="15"/>
      <c r="Z115" s="15"/>
    </row>
    <row r="116" customHeight="1" spans="1:26">
      <c r="A116" s="17"/>
      <c r="B116" s="15"/>
      <c r="C116" s="15"/>
      <c r="D116" s="15"/>
      <c r="E116" s="15"/>
      <c r="F116" s="15"/>
      <c r="G116" s="15"/>
      <c r="H116" s="16"/>
      <c r="I116" s="16"/>
      <c r="J116" s="16"/>
      <c r="K116" s="16"/>
      <c r="L116" s="16"/>
      <c r="M116" s="16"/>
      <c r="N116" s="16"/>
      <c r="O116" s="16"/>
      <c r="P116" s="16"/>
      <c r="Q116" s="16"/>
      <c r="R116" s="16"/>
      <c r="S116" s="16"/>
      <c r="T116" s="16"/>
      <c r="U116" s="16"/>
      <c r="V116" s="16"/>
      <c r="W116" s="15"/>
      <c r="X116" s="15"/>
      <c r="Y116" s="15"/>
      <c r="Z116" s="15"/>
    </row>
    <row r="117" customHeight="1" spans="1:26">
      <c r="A117" s="17"/>
      <c r="B117" s="15"/>
      <c r="C117" s="15"/>
      <c r="D117" s="15"/>
      <c r="E117" s="15"/>
      <c r="F117" s="15"/>
      <c r="G117" s="15"/>
      <c r="H117" s="16"/>
      <c r="I117" s="16"/>
      <c r="J117" s="16"/>
      <c r="K117" s="16"/>
      <c r="L117" s="16"/>
      <c r="M117" s="16"/>
      <c r="N117" s="16"/>
      <c r="O117" s="16"/>
      <c r="P117" s="16"/>
      <c r="Q117" s="16"/>
      <c r="R117" s="16"/>
      <c r="S117" s="16"/>
      <c r="T117" s="16"/>
      <c r="U117" s="16"/>
      <c r="V117" s="16"/>
      <c r="W117" s="15"/>
      <c r="X117" s="15"/>
      <c r="Y117" s="15"/>
      <c r="Z117" s="15"/>
    </row>
    <row r="118" customHeight="1" spans="1:26">
      <c r="A118" s="17"/>
      <c r="B118" s="15"/>
      <c r="C118" s="15"/>
      <c r="D118" s="15"/>
      <c r="E118" s="15"/>
      <c r="F118" s="15"/>
      <c r="G118" s="15"/>
      <c r="H118" s="16"/>
      <c r="I118" s="16"/>
      <c r="J118" s="16"/>
      <c r="K118" s="16"/>
      <c r="L118" s="16"/>
      <c r="M118" s="16"/>
      <c r="N118" s="16"/>
      <c r="O118" s="16"/>
      <c r="P118" s="16"/>
      <c r="Q118" s="16"/>
      <c r="R118" s="16"/>
      <c r="S118" s="16"/>
      <c r="T118" s="16"/>
      <c r="U118" s="16"/>
      <c r="V118" s="16"/>
      <c r="W118" s="15"/>
      <c r="X118" s="15"/>
      <c r="Y118" s="15"/>
      <c r="Z118" s="15"/>
    </row>
    <row r="119" customHeight="1" spans="1:26">
      <c r="A119" s="17"/>
      <c r="B119" s="15"/>
      <c r="C119" s="15"/>
      <c r="D119" s="15"/>
      <c r="E119" s="15"/>
      <c r="F119" s="15"/>
      <c r="G119" s="15"/>
      <c r="H119" s="16"/>
      <c r="I119" s="16"/>
      <c r="J119" s="16"/>
      <c r="K119" s="16"/>
      <c r="L119" s="16"/>
      <c r="M119" s="16"/>
      <c r="N119" s="16"/>
      <c r="O119" s="16"/>
      <c r="P119" s="16"/>
      <c r="Q119" s="16"/>
      <c r="R119" s="16"/>
      <c r="S119" s="16"/>
      <c r="T119" s="16"/>
      <c r="U119" s="16"/>
      <c r="V119" s="16"/>
      <c r="W119" s="15"/>
      <c r="X119" s="15"/>
      <c r="Y119" s="15"/>
      <c r="Z119" s="15"/>
    </row>
    <row r="120" customHeight="1" spans="1:26">
      <c r="A120" s="17"/>
      <c r="B120" s="15"/>
      <c r="C120" s="15"/>
      <c r="D120" s="15"/>
      <c r="E120" s="15"/>
      <c r="F120" s="15"/>
      <c r="G120" s="15"/>
      <c r="H120" s="16"/>
      <c r="I120" s="16"/>
      <c r="J120" s="16"/>
      <c r="K120" s="16"/>
      <c r="L120" s="16"/>
      <c r="M120" s="16"/>
      <c r="N120" s="16"/>
      <c r="O120" s="16"/>
      <c r="P120" s="16"/>
      <c r="Q120" s="16"/>
      <c r="R120" s="16"/>
      <c r="S120" s="16"/>
      <c r="T120" s="16"/>
      <c r="U120" s="16"/>
      <c r="V120" s="16"/>
      <c r="W120" s="15"/>
      <c r="X120" s="15"/>
      <c r="Y120" s="15"/>
      <c r="Z120" s="15"/>
    </row>
    <row r="121" customHeight="1" spans="1:26">
      <c r="A121" s="17"/>
      <c r="B121" s="15"/>
      <c r="C121" s="15"/>
      <c r="D121" s="15"/>
      <c r="E121" s="15"/>
      <c r="F121" s="15"/>
      <c r="G121" s="15"/>
      <c r="H121" s="16"/>
      <c r="I121" s="16"/>
      <c r="J121" s="16"/>
      <c r="K121" s="16"/>
      <c r="L121" s="16"/>
      <c r="M121" s="16"/>
      <c r="N121" s="16"/>
      <c r="O121" s="16"/>
      <c r="P121" s="16"/>
      <c r="Q121" s="16"/>
      <c r="R121" s="16"/>
      <c r="S121" s="16"/>
      <c r="T121" s="16"/>
      <c r="U121" s="16"/>
      <c r="V121" s="16"/>
      <c r="W121" s="15"/>
      <c r="X121" s="15"/>
      <c r="Y121" s="15"/>
      <c r="Z121" s="15"/>
    </row>
    <row r="122" customHeight="1" spans="1:26">
      <c r="A122" s="17"/>
      <c r="B122" s="15"/>
      <c r="C122" s="15"/>
      <c r="D122" s="15"/>
      <c r="E122" s="15"/>
      <c r="F122" s="15"/>
      <c r="G122" s="15"/>
      <c r="H122" s="16"/>
      <c r="I122" s="16"/>
      <c r="J122" s="16"/>
      <c r="K122" s="16"/>
      <c r="L122" s="16"/>
      <c r="M122" s="16"/>
      <c r="N122" s="16"/>
      <c r="O122" s="16"/>
      <c r="P122" s="16"/>
      <c r="Q122" s="16"/>
      <c r="R122" s="16"/>
      <c r="S122" s="16"/>
      <c r="T122" s="16"/>
      <c r="U122" s="16"/>
      <c r="V122" s="16"/>
      <c r="W122" s="15"/>
      <c r="X122" s="15"/>
      <c r="Y122" s="15"/>
      <c r="Z122" s="15"/>
    </row>
    <row r="123" customHeight="1" spans="1:26">
      <c r="A123" s="17"/>
      <c r="B123" s="15"/>
      <c r="C123" s="15"/>
      <c r="D123" s="15"/>
      <c r="E123" s="15"/>
      <c r="F123" s="15"/>
      <c r="G123" s="15"/>
      <c r="H123" s="16"/>
      <c r="I123" s="16"/>
      <c r="J123" s="16"/>
      <c r="K123" s="16"/>
      <c r="L123" s="16"/>
      <c r="M123" s="16"/>
      <c r="N123" s="16"/>
      <c r="O123" s="16"/>
      <c r="P123" s="16"/>
      <c r="Q123" s="16"/>
      <c r="R123" s="16"/>
      <c r="S123" s="16"/>
      <c r="T123" s="16"/>
      <c r="U123" s="16"/>
      <c r="V123" s="16"/>
      <c r="W123" s="15"/>
      <c r="X123" s="15"/>
      <c r="Y123" s="15"/>
      <c r="Z123" s="15"/>
    </row>
    <row r="124" customHeight="1" spans="1:26">
      <c r="A124" s="17"/>
      <c r="B124" s="15"/>
      <c r="C124" s="15"/>
      <c r="D124" s="15"/>
      <c r="E124" s="15"/>
      <c r="F124" s="15"/>
      <c r="G124" s="15"/>
      <c r="H124" s="16"/>
      <c r="I124" s="16"/>
      <c r="J124" s="16"/>
      <c r="K124" s="16"/>
      <c r="L124" s="16"/>
      <c r="M124" s="16"/>
      <c r="N124" s="16"/>
      <c r="O124" s="16"/>
      <c r="P124" s="16"/>
      <c r="Q124" s="16"/>
      <c r="R124" s="16"/>
      <c r="S124" s="16"/>
      <c r="T124" s="16"/>
      <c r="U124" s="16"/>
      <c r="V124" s="16"/>
      <c r="W124" s="15"/>
      <c r="X124" s="15"/>
      <c r="Y124" s="15"/>
      <c r="Z124" s="15"/>
    </row>
    <row r="125" customHeight="1" spans="1:26">
      <c r="A125" s="17"/>
      <c r="B125" s="15"/>
      <c r="C125" s="15"/>
      <c r="D125" s="15"/>
      <c r="E125" s="15"/>
      <c r="F125" s="15"/>
      <c r="G125" s="15"/>
      <c r="H125" s="16"/>
      <c r="I125" s="16"/>
      <c r="J125" s="16"/>
      <c r="K125" s="16"/>
      <c r="L125" s="16"/>
      <c r="M125" s="16"/>
      <c r="N125" s="16"/>
      <c r="O125" s="16"/>
      <c r="P125" s="16"/>
      <c r="Q125" s="16"/>
      <c r="R125" s="16"/>
      <c r="S125" s="16"/>
      <c r="T125" s="16"/>
      <c r="U125" s="16"/>
      <c r="V125" s="16"/>
      <c r="W125" s="15"/>
      <c r="X125" s="15"/>
      <c r="Y125" s="15"/>
      <c r="Z125" s="15"/>
    </row>
    <row r="126" customHeight="1" spans="1:26">
      <c r="A126" s="17"/>
      <c r="B126" s="15"/>
      <c r="C126" s="15"/>
      <c r="D126" s="15"/>
      <c r="E126" s="15"/>
      <c r="F126" s="15"/>
      <c r="G126" s="15"/>
      <c r="H126" s="16"/>
      <c r="I126" s="16"/>
      <c r="J126" s="16"/>
      <c r="K126" s="16"/>
      <c r="L126" s="16"/>
      <c r="M126" s="16"/>
      <c r="N126" s="16"/>
      <c r="O126" s="16"/>
      <c r="P126" s="16"/>
      <c r="Q126" s="16"/>
      <c r="R126" s="16"/>
      <c r="S126" s="16"/>
      <c r="T126" s="16"/>
      <c r="U126" s="16"/>
      <c r="V126" s="16"/>
      <c r="W126" s="15"/>
      <c r="X126" s="15"/>
      <c r="Y126" s="15"/>
      <c r="Z126" s="15"/>
    </row>
    <row r="127" customHeight="1" spans="1:26">
      <c r="A127" s="17"/>
      <c r="B127" s="15"/>
      <c r="C127" s="15"/>
      <c r="D127" s="15"/>
      <c r="E127" s="15"/>
      <c r="F127" s="15"/>
      <c r="G127" s="15"/>
      <c r="H127" s="16"/>
      <c r="I127" s="16"/>
      <c r="J127" s="16"/>
      <c r="K127" s="16"/>
      <c r="L127" s="16"/>
      <c r="M127" s="16"/>
      <c r="N127" s="16"/>
      <c r="O127" s="16"/>
      <c r="P127" s="16"/>
      <c r="Q127" s="16"/>
      <c r="R127" s="16"/>
      <c r="S127" s="16"/>
      <c r="T127" s="16"/>
      <c r="U127" s="16"/>
      <c r="V127" s="16"/>
      <c r="W127" s="15"/>
      <c r="X127" s="15"/>
      <c r="Y127" s="15"/>
      <c r="Z127" s="15"/>
    </row>
    <row r="128" customHeight="1" spans="1:26">
      <c r="A128" s="17"/>
      <c r="B128" s="15"/>
      <c r="C128" s="15"/>
      <c r="D128" s="15"/>
      <c r="E128" s="15"/>
      <c r="F128" s="15"/>
      <c r="G128" s="15"/>
      <c r="H128" s="16"/>
      <c r="I128" s="16"/>
      <c r="J128" s="16"/>
      <c r="K128" s="16"/>
      <c r="L128" s="16"/>
      <c r="M128" s="16"/>
      <c r="N128" s="16"/>
      <c r="O128" s="16"/>
      <c r="P128" s="16"/>
      <c r="Q128" s="16"/>
      <c r="R128" s="16"/>
      <c r="S128" s="16"/>
      <c r="T128" s="16"/>
      <c r="U128" s="16"/>
      <c r="V128" s="16"/>
      <c r="W128" s="15"/>
      <c r="X128" s="15"/>
      <c r="Y128" s="15"/>
      <c r="Z128" s="15"/>
    </row>
    <row r="129" customHeight="1" spans="1:26">
      <c r="A129" s="17"/>
      <c r="B129" s="15"/>
      <c r="C129" s="15"/>
      <c r="D129" s="15"/>
      <c r="E129" s="15"/>
      <c r="F129" s="15"/>
      <c r="G129" s="15"/>
      <c r="H129" s="16"/>
      <c r="I129" s="16"/>
      <c r="J129" s="16"/>
      <c r="K129" s="16"/>
      <c r="L129" s="16"/>
      <c r="M129" s="16"/>
      <c r="N129" s="16"/>
      <c r="O129" s="16"/>
      <c r="P129" s="16"/>
      <c r="Q129" s="16"/>
      <c r="R129" s="16"/>
      <c r="S129" s="16"/>
      <c r="T129" s="16"/>
      <c r="U129" s="16"/>
      <c r="V129" s="16"/>
      <c r="W129" s="15"/>
      <c r="X129" s="15"/>
      <c r="Y129" s="15"/>
      <c r="Z129" s="15"/>
    </row>
    <row r="130" customHeight="1" spans="1:26">
      <c r="A130" s="17"/>
      <c r="B130" s="15"/>
      <c r="C130" s="15"/>
      <c r="D130" s="15"/>
      <c r="E130" s="15"/>
      <c r="F130" s="15"/>
      <c r="G130" s="15"/>
      <c r="H130" s="16"/>
      <c r="I130" s="16"/>
      <c r="J130" s="16"/>
      <c r="K130" s="16"/>
      <c r="L130" s="16"/>
      <c r="M130" s="16"/>
      <c r="N130" s="16"/>
      <c r="O130" s="16"/>
      <c r="P130" s="16"/>
      <c r="Q130" s="16"/>
      <c r="R130" s="16"/>
      <c r="S130" s="16"/>
      <c r="T130" s="16"/>
      <c r="U130" s="16"/>
      <c r="V130" s="16"/>
      <c r="W130" s="15"/>
      <c r="X130" s="15"/>
      <c r="Y130" s="15"/>
      <c r="Z130" s="15"/>
    </row>
    <row r="131" customHeight="1" spans="1:26">
      <c r="A131" s="17"/>
      <c r="B131" s="15"/>
      <c r="C131" s="15"/>
      <c r="D131" s="15"/>
      <c r="E131" s="15"/>
      <c r="F131" s="15"/>
      <c r="G131" s="15"/>
      <c r="H131" s="16"/>
      <c r="I131" s="16"/>
      <c r="J131" s="16"/>
      <c r="K131" s="16"/>
      <c r="L131" s="16"/>
      <c r="M131" s="16"/>
      <c r="N131" s="16"/>
      <c r="O131" s="16"/>
      <c r="P131" s="16"/>
      <c r="Q131" s="16"/>
      <c r="R131" s="16"/>
      <c r="S131" s="16"/>
      <c r="T131" s="16"/>
      <c r="U131" s="16"/>
      <c r="V131" s="16"/>
      <c r="W131" s="15"/>
      <c r="X131" s="15"/>
      <c r="Y131" s="15"/>
      <c r="Z131" s="15"/>
    </row>
    <row r="132" customHeight="1" spans="1:26">
      <c r="A132" s="17"/>
      <c r="B132" s="15"/>
      <c r="C132" s="15"/>
      <c r="D132" s="15"/>
      <c r="E132" s="15"/>
      <c r="F132" s="15"/>
      <c r="G132" s="15"/>
      <c r="H132" s="16"/>
      <c r="I132" s="16"/>
      <c r="J132" s="16"/>
      <c r="K132" s="16"/>
      <c r="L132" s="16"/>
      <c r="M132" s="16"/>
      <c r="N132" s="16"/>
      <c r="O132" s="16"/>
      <c r="P132" s="16"/>
      <c r="Q132" s="16"/>
      <c r="R132" s="16"/>
      <c r="S132" s="16"/>
      <c r="T132" s="16"/>
      <c r="U132" s="16"/>
      <c r="V132" s="16"/>
      <c r="W132" s="15"/>
      <c r="X132" s="15"/>
      <c r="Y132" s="15"/>
      <c r="Z132" s="15"/>
    </row>
    <row r="133" customHeight="1" spans="1:26">
      <c r="A133" s="17"/>
      <c r="B133" s="15"/>
      <c r="C133" s="15"/>
      <c r="D133" s="15"/>
      <c r="E133" s="15"/>
      <c r="F133" s="15"/>
      <c r="G133" s="15"/>
      <c r="H133" s="16"/>
      <c r="I133" s="16"/>
      <c r="J133" s="16"/>
      <c r="K133" s="16"/>
      <c r="L133" s="16"/>
      <c r="M133" s="16"/>
      <c r="N133" s="16"/>
      <c r="O133" s="16"/>
      <c r="P133" s="16"/>
      <c r="Q133" s="16"/>
      <c r="R133" s="16"/>
      <c r="S133" s="16"/>
      <c r="T133" s="16"/>
      <c r="U133" s="16"/>
      <c r="V133" s="16"/>
      <c r="W133" s="15"/>
      <c r="X133" s="15"/>
      <c r="Y133" s="15"/>
      <c r="Z133" s="15"/>
    </row>
    <row r="134" customHeight="1" spans="1:26">
      <c r="A134" s="17"/>
      <c r="B134" s="15"/>
      <c r="C134" s="15"/>
      <c r="D134" s="15"/>
      <c r="E134" s="15"/>
      <c r="F134" s="15"/>
      <c r="G134" s="15"/>
      <c r="H134" s="16"/>
      <c r="I134" s="16"/>
      <c r="J134" s="16"/>
      <c r="K134" s="16"/>
      <c r="L134" s="16"/>
      <c r="M134" s="16"/>
      <c r="N134" s="16"/>
      <c r="O134" s="16"/>
      <c r="P134" s="16"/>
      <c r="Q134" s="16"/>
      <c r="R134" s="16"/>
      <c r="S134" s="16"/>
      <c r="T134" s="16"/>
      <c r="U134" s="16"/>
      <c r="V134" s="16"/>
      <c r="W134" s="15"/>
      <c r="X134" s="15"/>
      <c r="Y134" s="15"/>
      <c r="Z134" s="15"/>
    </row>
    <row r="135" customHeight="1" spans="1:26">
      <c r="A135" s="17"/>
      <c r="B135" s="15"/>
      <c r="C135" s="15"/>
      <c r="D135" s="15"/>
      <c r="E135" s="15"/>
      <c r="F135" s="15"/>
      <c r="G135" s="15"/>
      <c r="H135" s="16"/>
      <c r="I135" s="16"/>
      <c r="J135" s="16"/>
      <c r="K135" s="16"/>
      <c r="L135" s="16"/>
      <c r="M135" s="16"/>
      <c r="N135" s="16"/>
      <c r="O135" s="16"/>
      <c r="P135" s="16"/>
      <c r="Q135" s="16"/>
      <c r="R135" s="16"/>
      <c r="S135" s="16"/>
      <c r="T135" s="16"/>
      <c r="U135" s="16"/>
      <c r="V135" s="16"/>
      <c r="W135" s="15"/>
      <c r="X135" s="15"/>
      <c r="Y135" s="15"/>
      <c r="Z135" s="15"/>
    </row>
    <row r="136" customHeight="1" spans="1:26">
      <c r="A136" s="17"/>
      <c r="B136" s="15"/>
      <c r="C136" s="15"/>
      <c r="D136" s="15"/>
      <c r="E136" s="15"/>
      <c r="F136" s="15"/>
      <c r="G136" s="15"/>
      <c r="H136" s="16"/>
      <c r="I136" s="16"/>
      <c r="J136" s="16"/>
      <c r="K136" s="16"/>
      <c r="L136" s="16"/>
      <c r="M136" s="16"/>
      <c r="N136" s="16"/>
      <c r="O136" s="16"/>
      <c r="P136" s="16"/>
      <c r="Q136" s="16"/>
      <c r="R136" s="16"/>
      <c r="S136" s="16"/>
      <c r="T136" s="16"/>
      <c r="U136" s="16"/>
      <c r="V136" s="16"/>
      <c r="W136" s="15"/>
      <c r="X136" s="15"/>
      <c r="Y136" s="15"/>
      <c r="Z136" s="15"/>
    </row>
    <row r="137" customHeight="1" spans="1:26">
      <c r="A137" s="17"/>
      <c r="B137" s="15"/>
      <c r="C137" s="15"/>
      <c r="D137" s="15"/>
      <c r="E137" s="15"/>
      <c r="F137" s="15"/>
      <c r="G137" s="15"/>
      <c r="H137" s="16"/>
      <c r="I137" s="16"/>
      <c r="J137" s="16"/>
      <c r="K137" s="16"/>
      <c r="L137" s="16"/>
      <c r="M137" s="16"/>
      <c r="N137" s="16"/>
      <c r="O137" s="16"/>
      <c r="P137" s="16"/>
      <c r="Q137" s="16"/>
      <c r="R137" s="16"/>
      <c r="S137" s="16"/>
      <c r="T137" s="16"/>
      <c r="U137" s="16"/>
      <c r="V137" s="16"/>
      <c r="W137" s="15"/>
      <c r="X137" s="15"/>
      <c r="Y137" s="15"/>
      <c r="Z137" s="15"/>
    </row>
    <row r="138" customHeight="1" spans="1:26">
      <c r="A138" s="17"/>
      <c r="B138" s="15"/>
      <c r="C138" s="15"/>
      <c r="D138" s="15"/>
      <c r="E138" s="15"/>
      <c r="F138" s="15"/>
      <c r="G138" s="15"/>
      <c r="H138" s="16"/>
      <c r="I138" s="16"/>
      <c r="J138" s="16"/>
      <c r="K138" s="16"/>
      <c r="L138" s="16"/>
      <c r="M138" s="16"/>
      <c r="N138" s="16"/>
      <c r="O138" s="16"/>
      <c r="P138" s="16"/>
      <c r="Q138" s="16"/>
      <c r="R138" s="16"/>
      <c r="S138" s="16"/>
      <c r="T138" s="16"/>
      <c r="U138" s="16"/>
      <c r="V138" s="16"/>
      <c r="W138" s="15"/>
      <c r="X138" s="15"/>
      <c r="Y138" s="15"/>
      <c r="Z138" s="15"/>
    </row>
    <row r="139" customHeight="1" spans="1:26">
      <c r="A139" s="17"/>
      <c r="B139" s="15"/>
      <c r="C139" s="15"/>
      <c r="D139" s="15"/>
      <c r="E139" s="15"/>
      <c r="F139" s="15"/>
      <c r="G139" s="15"/>
      <c r="H139" s="16"/>
      <c r="I139" s="16"/>
      <c r="J139" s="16"/>
      <c r="K139" s="16"/>
      <c r="L139" s="16"/>
      <c r="M139" s="16"/>
      <c r="N139" s="16"/>
      <c r="O139" s="16"/>
      <c r="P139" s="16"/>
      <c r="Q139" s="16"/>
      <c r="R139" s="16"/>
      <c r="S139" s="16"/>
      <c r="T139" s="16"/>
      <c r="U139" s="16"/>
      <c r="V139" s="16"/>
      <c r="W139" s="15"/>
      <c r="X139" s="15"/>
      <c r="Y139" s="15"/>
      <c r="Z139" s="15"/>
    </row>
    <row r="140" customHeight="1" spans="1:26">
      <c r="A140" s="17"/>
      <c r="B140" s="15"/>
      <c r="C140" s="15"/>
      <c r="D140" s="15"/>
      <c r="E140" s="15"/>
      <c r="F140" s="15"/>
      <c r="G140" s="15"/>
      <c r="H140" s="16"/>
      <c r="I140" s="16"/>
      <c r="J140" s="16"/>
      <c r="K140" s="16"/>
      <c r="L140" s="16"/>
      <c r="M140" s="16"/>
      <c r="N140" s="16"/>
      <c r="O140" s="16"/>
      <c r="P140" s="16"/>
      <c r="Q140" s="16"/>
      <c r="R140" s="16"/>
      <c r="S140" s="16"/>
      <c r="T140" s="16"/>
      <c r="U140" s="16"/>
      <c r="V140" s="16"/>
      <c r="W140" s="15"/>
      <c r="X140" s="15"/>
      <c r="Y140" s="15"/>
      <c r="Z140" s="15"/>
    </row>
    <row r="141" customHeight="1" spans="1:26">
      <c r="A141" s="17"/>
      <c r="B141" s="15"/>
      <c r="C141" s="15"/>
      <c r="D141" s="15"/>
      <c r="E141" s="15"/>
      <c r="F141" s="15"/>
      <c r="G141" s="15"/>
      <c r="H141" s="16"/>
      <c r="I141" s="16"/>
      <c r="J141" s="16"/>
      <c r="K141" s="16"/>
      <c r="L141" s="16"/>
      <c r="M141" s="16"/>
      <c r="N141" s="16"/>
      <c r="O141" s="16"/>
      <c r="P141" s="16"/>
      <c r="Q141" s="16"/>
      <c r="R141" s="16"/>
      <c r="S141" s="16"/>
      <c r="T141" s="16"/>
      <c r="U141" s="16"/>
      <c r="V141" s="16"/>
      <c r="W141" s="15"/>
      <c r="X141" s="15"/>
      <c r="Y141" s="15"/>
      <c r="Z141" s="15"/>
    </row>
    <row r="142" customHeight="1" spans="1:26">
      <c r="A142" s="17"/>
      <c r="B142" s="15"/>
      <c r="C142" s="15"/>
      <c r="D142" s="15"/>
      <c r="E142" s="15"/>
      <c r="F142" s="15"/>
      <c r="G142" s="15"/>
      <c r="H142" s="16"/>
      <c r="I142" s="16"/>
      <c r="J142" s="16"/>
      <c r="K142" s="16"/>
      <c r="L142" s="16"/>
      <c r="M142" s="16"/>
      <c r="N142" s="16"/>
      <c r="O142" s="16"/>
      <c r="P142" s="16"/>
      <c r="Q142" s="16"/>
      <c r="R142" s="16"/>
      <c r="S142" s="16"/>
      <c r="T142" s="16"/>
      <c r="U142" s="16"/>
      <c r="V142" s="16"/>
      <c r="W142" s="15"/>
      <c r="X142" s="15"/>
      <c r="Y142" s="15"/>
      <c r="Z142" s="15"/>
    </row>
    <row r="143" customHeight="1" spans="1:26">
      <c r="A143" s="17"/>
      <c r="B143" s="15"/>
      <c r="C143" s="15"/>
      <c r="D143" s="15"/>
      <c r="E143" s="15"/>
      <c r="F143" s="15"/>
      <c r="G143" s="15"/>
      <c r="H143" s="16"/>
      <c r="I143" s="16"/>
      <c r="J143" s="16"/>
      <c r="K143" s="16"/>
      <c r="L143" s="16"/>
      <c r="M143" s="16"/>
      <c r="N143" s="16"/>
      <c r="O143" s="16"/>
      <c r="P143" s="16"/>
      <c r="Q143" s="16"/>
      <c r="R143" s="16"/>
      <c r="S143" s="16"/>
      <c r="T143" s="16"/>
      <c r="U143" s="16"/>
      <c r="V143" s="16"/>
      <c r="W143" s="15"/>
      <c r="X143" s="15"/>
      <c r="Y143" s="15"/>
      <c r="Z143" s="15"/>
    </row>
    <row r="144" customHeight="1" spans="1:26">
      <c r="A144" s="17"/>
      <c r="B144" s="15"/>
      <c r="C144" s="15"/>
      <c r="D144" s="15"/>
      <c r="E144" s="15"/>
      <c r="F144" s="15"/>
      <c r="G144" s="15"/>
      <c r="H144" s="16"/>
      <c r="I144" s="16"/>
      <c r="J144" s="16"/>
      <c r="K144" s="16"/>
      <c r="L144" s="16"/>
      <c r="M144" s="16"/>
      <c r="N144" s="16"/>
      <c r="O144" s="16"/>
      <c r="P144" s="16"/>
      <c r="Q144" s="16"/>
      <c r="R144" s="16"/>
      <c r="S144" s="16"/>
      <c r="T144" s="16"/>
      <c r="U144" s="16"/>
      <c r="V144" s="16"/>
      <c r="W144" s="15"/>
      <c r="X144" s="15"/>
      <c r="Y144" s="15"/>
      <c r="Z144" s="15"/>
    </row>
    <row r="145" customHeight="1" spans="1:26">
      <c r="A145" s="17"/>
      <c r="B145" s="15"/>
      <c r="C145" s="15"/>
      <c r="D145" s="15"/>
      <c r="E145" s="15"/>
      <c r="F145" s="15"/>
      <c r="G145" s="15"/>
      <c r="H145" s="16"/>
      <c r="I145" s="16"/>
      <c r="J145" s="16"/>
      <c r="K145" s="16"/>
      <c r="L145" s="16"/>
      <c r="M145" s="16"/>
      <c r="N145" s="16"/>
      <c r="O145" s="16"/>
      <c r="P145" s="16"/>
      <c r="Q145" s="16"/>
      <c r="R145" s="16"/>
      <c r="S145" s="16"/>
      <c r="T145" s="16"/>
      <c r="U145" s="16"/>
      <c r="V145" s="16"/>
      <c r="W145" s="15"/>
      <c r="X145" s="15"/>
      <c r="Y145" s="15"/>
      <c r="Z145" s="15"/>
    </row>
    <row r="146" customHeight="1" spans="1:26">
      <c r="A146" s="17"/>
      <c r="B146" s="15"/>
      <c r="C146" s="15"/>
      <c r="D146" s="15"/>
      <c r="E146" s="15"/>
      <c r="F146" s="15"/>
      <c r="G146" s="15"/>
      <c r="H146" s="16"/>
      <c r="I146" s="16"/>
      <c r="J146" s="16"/>
      <c r="K146" s="16"/>
      <c r="L146" s="16"/>
      <c r="M146" s="16"/>
      <c r="N146" s="16"/>
      <c r="O146" s="16"/>
      <c r="P146" s="16"/>
      <c r="Q146" s="16"/>
      <c r="R146" s="16"/>
      <c r="S146" s="16"/>
      <c r="T146" s="16"/>
      <c r="U146" s="16"/>
      <c r="V146" s="16"/>
      <c r="W146" s="15"/>
      <c r="X146" s="15"/>
      <c r="Y146" s="15"/>
      <c r="Z146" s="15"/>
    </row>
    <row r="147" customHeight="1" spans="1:26">
      <c r="A147" s="17"/>
      <c r="B147" s="15"/>
      <c r="C147" s="15"/>
      <c r="D147" s="15"/>
      <c r="E147" s="15"/>
      <c r="F147" s="15"/>
      <c r="G147" s="15"/>
      <c r="H147" s="16"/>
      <c r="I147" s="16"/>
      <c r="J147" s="16"/>
      <c r="K147" s="16"/>
      <c r="L147" s="16"/>
      <c r="M147" s="16"/>
      <c r="N147" s="16"/>
      <c r="O147" s="16"/>
      <c r="P147" s="16"/>
      <c r="Q147" s="16"/>
      <c r="R147" s="16"/>
      <c r="S147" s="16"/>
      <c r="T147" s="16"/>
      <c r="U147" s="16"/>
      <c r="V147" s="16"/>
      <c r="W147" s="15"/>
      <c r="X147" s="15"/>
      <c r="Y147" s="15"/>
      <c r="Z147" s="15"/>
    </row>
    <row r="148" customHeight="1" spans="1:26">
      <c r="A148" s="17"/>
      <c r="B148" s="15"/>
      <c r="C148" s="15"/>
      <c r="D148" s="15"/>
      <c r="E148" s="15"/>
      <c r="F148" s="15"/>
      <c r="G148" s="15"/>
      <c r="H148" s="16"/>
      <c r="I148" s="16"/>
      <c r="J148" s="16"/>
      <c r="K148" s="16"/>
      <c r="L148" s="16"/>
      <c r="M148" s="16"/>
      <c r="N148" s="16"/>
      <c r="O148" s="16"/>
      <c r="P148" s="16"/>
      <c r="Q148" s="16"/>
      <c r="R148" s="16"/>
      <c r="S148" s="16"/>
      <c r="T148" s="16"/>
      <c r="U148" s="16"/>
      <c r="V148" s="16"/>
      <c r="W148" s="15"/>
      <c r="X148" s="15"/>
      <c r="Y148" s="15"/>
      <c r="Z148" s="15"/>
    </row>
    <row r="149" customHeight="1" spans="1:26">
      <c r="A149" s="17"/>
      <c r="B149" s="15"/>
      <c r="C149" s="15"/>
      <c r="D149" s="15"/>
      <c r="E149" s="15"/>
      <c r="F149" s="15"/>
      <c r="G149" s="15"/>
      <c r="H149" s="16"/>
      <c r="I149" s="16"/>
      <c r="J149" s="16"/>
      <c r="K149" s="16"/>
      <c r="L149" s="16"/>
      <c r="M149" s="16"/>
      <c r="N149" s="16"/>
      <c r="O149" s="16"/>
      <c r="P149" s="16"/>
      <c r="Q149" s="16"/>
      <c r="R149" s="16"/>
      <c r="S149" s="16"/>
      <c r="T149" s="16"/>
      <c r="U149" s="16"/>
      <c r="V149" s="16"/>
      <c r="W149" s="15"/>
      <c r="X149" s="15"/>
      <c r="Y149" s="15"/>
      <c r="Z149" s="15"/>
    </row>
    <row r="150" customHeight="1" spans="1:26">
      <c r="A150" s="17"/>
      <c r="B150" s="15"/>
      <c r="C150" s="15"/>
      <c r="D150" s="15"/>
      <c r="E150" s="15"/>
      <c r="F150" s="15"/>
      <c r="G150" s="15"/>
      <c r="H150" s="16"/>
      <c r="I150" s="16"/>
      <c r="J150" s="16"/>
      <c r="K150" s="16"/>
      <c r="L150" s="16"/>
      <c r="M150" s="16"/>
      <c r="N150" s="16"/>
      <c r="O150" s="16"/>
      <c r="P150" s="16"/>
      <c r="Q150" s="16"/>
      <c r="R150" s="16"/>
      <c r="S150" s="16"/>
      <c r="T150" s="16"/>
      <c r="U150" s="16"/>
      <c r="V150" s="16"/>
      <c r="W150" s="15"/>
      <c r="X150" s="15"/>
      <c r="Y150" s="15"/>
      <c r="Z150" s="15"/>
    </row>
    <row r="151" customHeight="1" spans="1:26">
      <c r="A151" s="17"/>
      <c r="B151" s="15"/>
      <c r="C151" s="15"/>
      <c r="D151" s="15"/>
      <c r="E151" s="15"/>
      <c r="F151" s="15"/>
      <c r="G151" s="15"/>
      <c r="H151" s="16"/>
      <c r="I151" s="16"/>
      <c r="J151" s="16"/>
      <c r="K151" s="16"/>
      <c r="L151" s="16"/>
      <c r="M151" s="16"/>
      <c r="N151" s="16"/>
      <c r="O151" s="16"/>
      <c r="P151" s="16"/>
      <c r="Q151" s="16"/>
      <c r="R151" s="16"/>
      <c r="S151" s="16"/>
      <c r="T151" s="16"/>
      <c r="U151" s="16"/>
      <c r="V151" s="16"/>
      <c r="W151" s="15"/>
      <c r="X151" s="15"/>
      <c r="Y151" s="15"/>
      <c r="Z151" s="15"/>
    </row>
    <row r="152" customHeight="1" spans="1:26">
      <c r="A152" s="17"/>
      <c r="B152" s="15"/>
      <c r="C152" s="15"/>
      <c r="D152" s="15"/>
      <c r="E152" s="15"/>
      <c r="F152" s="15"/>
      <c r="G152" s="15"/>
      <c r="H152" s="16"/>
      <c r="I152" s="16"/>
      <c r="J152" s="16"/>
      <c r="K152" s="16"/>
      <c r="L152" s="16"/>
      <c r="M152" s="16"/>
      <c r="N152" s="16"/>
      <c r="O152" s="16"/>
      <c r="P152" s="16"/>
      <c r="Q152" s="16"/>
      <c r="R152" s="16"/>
      <c r="S152" s="16"/>
      <c r="T152" s="16"/>
      <c r="U152" s="16"/>
      <c r="V152" s="16"/>
      <c r="W152" s="15"/>
      <c r="X152" s="15"/>
      <c r="Y152" s="15"/>
      <c r="Z152" s="15"/>
    </row>
    <row r="153" customHeight="1" spans="1:26">
      <c r="A153" s="17"/>
      <c r="B153" s="15"/>
      <c r="C153" s="15"/>
      <c r="D153" s="15"/>
      <c r="E153" s="15"/>
      <c r="F153" s="15"/>
      <c r="G153" s="15"/>
      <c r="H153" s="16"/>
      <c r="I153" s="16"/>
      <c r="J153" s="16"/>
      <c r="K153" s="16"/>
      <c r="L153" s="16"/>
      <c r="M153" s="16"/>
      <c r="N153" s="16"/>
      <c r="O153" s="16"/>
      <c r="P153" s="16"/>
      <c r="Q153" s="16"/>
      <c r="R153" s="16"/>
      <c r="S153" s="16"/>
      <c r="T153" s="16"/>
      <c r="U153" s="16"/>
      <c r="V153" s="16"/>
      <c r="W153" s="15"/>
      <c r="X153" s="15"/>
      <c r="Y153" s="15"/>
      <c r="Z153" s="15"/>
    </row>
    <row r="154" customHeight="1" spans="1:26">
      <c r="A154" s="17"/>
      <c r="B154" s="15"/>
      <c r="C154" s="15"/>
      <c r="D154" s="15"/>
      <c r="E154" s="15"/>
      <c r="F154" s="15"/>
      <c r="G154" s="15"/>
      <c r="H154" s="16"/>
      <c r="I154" s="16"/>
      <c r="J154" s="16"/>
      <c r="K154" s="16"/>
      <c r="L154" s="16"/>
      <c r="M154" s="16"/>
      <c r="N154" s="16"/>
      <c r="O154" s="16"/>
      <c r="P154" s="16"/>
      <c r="Q154" s="16"/>
      <c r="R154" s="16"/>
      <c r="S154" s="16"/>
      <c r="T154" s="16"/>
      <c r="U154" s="16"/>
      <c r="V154" s="16"/>
      <c r="W154" s="15"/>
      <c r="X154" s="15"/>
      <c r="Y154" s="15"/>
      <c r="Z154" s="15"/>
    </row>
    <row r="155" customHeight="1" spans="1:26">
      <c r="A155" s="17"/>
      <c r="B155" s="15"/>
      <c r="C155" s="15"/>
      <c r="D155" s="15"/>
      <c r="E155" s="15"/>
      <c r="F155" s="15"/>
      <c r="G155" s="15"/>
      <c r="H155" s="16"/>
      <c r="I155" s="16"/>
      <c r="J155" s="16"/>
      <c r="K155" s="16"/>
      <c r="L155" s="16"/>
      <c r="M155" s="16"/>
      <c r="N155" s="16"/>
      <c r="O155" s="16"/>
      <c r="P155" s="16"/>
      <c r="Q155" s="16"/>
      <c r="R155" s="16"/>
      <c r="S155" s="16"/>
      <c r="T155" s="16"/>
      <c r="U155" s="16"/>
      <c r="V155" s="16"/>
      <c r="W155" s="15"/>
      <c r="X155" s="15"/>
      <c r="Y155" s="15"/>
      <c r="Z155" s="15"/>
    </row>
    <row r="156" customHeight="1" spans="1:26">
      <c r="A156" s="17"/>
      <c r="B156" s="15"/>
      <c r="C156" s="15"/>
      <c r="D156" s="15"/>
      <c r="E156" s="15"/>
      <c r="F156" s="15"/>
      <c r="G156" s="15"/>
      <c r="H156" s="16"/>
      <c r="I156" s="16"/>
      <c r="J156" s="16"/>
      <c r="K156" s="16"/>
      <c r="L156" s="16"/>
      <c r="M156" s="16"/>
      <c r="N156" s="16"/>
      <c r="O156" s="16"/>
      <c r="P156" s="16"/>
      <c r="Q156" s="16"/>
      <c r="R156" s="16"/>
      <c r="S156" s="16"/>
      <c r="T156" s="16"/>
      <c r="U156" s="16"/>
      <c r="V156" s="16"/>
      <c r="W156" s="15"/>
      <c r="X156" s="15"/>
      <c r="Y156" s="15"/>
      <c r="Z156" s="15"/>
    </row>
    <row r="157" customHeight="1" spans="1:26">
      <c r="A157" s="17"/>
      <c r="B157" s="15"/>
      <c r="C157" s="15"/>
      <c r="D157" s="15"/>
      <c r="E157" s="15"/>
      <c r="F157" s="15"/>
      <c r="G157" s="15"/>
      <c r="H157" s="16"/>
      <c r="I157" s="16"/>
      <c r="J157" s="16"/>
      <c r="K157" s="16"/>
      <c r="L157" s="16"/>
      <c r="M157" s="16"/>
      <c r="N157" s="16"/>
      <c r="O157" s="16"/>
      <c r="P157" s="16"/>
      <c r="Q157" s="16"/>
      <c r="R157" s="16"/>
      <c r="S157" s="16"/>
      <c r="T157" s="16"/>
      <c r="U157" s="16"/>
      <c r="V157" s="16"/>
      <c r="W157" s="15"/>
      <c r="X157" s="15"/>
      <c r="Y157" s="15"/>
      <c r="Z157" s="15"/>
    </row>
    <row r="158" customHeight="1" spans="1:26">
      <c r="A158" s="17"/>
      <c r="B158" s="15"/>
      <c r="C158" s="15"/>
      <c r="D158" s="15"/>
      <c r="E158" s="15"/>
      <c r="F158" s="15"/>
      <c r="G158" s="15"/>
      <c r="H158" s="16"/>
      <c r="I158" s="16"/>
      <c r="J158" s="16"/>
      <c r="K158" s="16"/>
      <c r="L158" s="16"/>
      <c r="M158" s="16"/>
      <c r="N158" s="16"/>
      <c r="O158" s="16"/>
      <c r="P158" s="16"/>
      <c r="Q158" s="16"/>
      <c r="R158" s="16"/>
      <c r="S158" s="16"/>
      <c r="T158" s="16"/>
      <c r="U158" s="16"/>
      <c r="V158" s="16"/>
      <c r="W158" s="15"/>
      <c r="X158" s="15"/>
      <c r="Y158" s="15"/>
      <c r="Z158" s="15"/>
    </row>
    <row r="159" customHeight="1" spans="1:26">
      <c r="A159" s="17"/>
      <c r="B159" s="15"/>
      <c r="C159" s="15"/>
      <c r="D159" s="15"/>
      <c r="E159" s="15"/>
      <c r="F159" s="15"/>
      <c r="G159" s="15"/>
      <c r="H159" s="16"/>
      <c r="I159" s="16"/>
      <c r="J159" s="16"/>
      <c r="K159" s="16"/>
      <c r="L159" s="16"/>
      <c r="M159" s="16"/>
      <c r="N159" s="16"/>
      <c r="O159" s="16"/>
      <c r="P159" s="16"/>
      <c r="Q159" s="16"/>
      <c r="R159" s="16"/>
      <c r="S159" s="16"/>
      <c r="T159" s="16"/>
      <c r="U159" s="16"/>
      <c r="V159" s="16"/>
      <c r="W159" s="15"/>
      <c r="X159" s="15"/>
      <c r="Y159" s="15"/>
      <c r="Z159" s="15"/>
    </row>
    <row r="160" customHeight="1" spans="1:26">
      <c r="A160" s="17"/>
      <c r="B160" s="15"/>
      <c r="C160" s="15"/>
      <c r="D160" s="15"/>
      <c r="E160" s="15"/>
      <c r="F160" s="15"/>
      <c r="G160" s="15"/>
      <c r="H160" s="16"/>
      <c r="I160" s="16"/>
      <c r="J160" s="16"/>
      <c r="K160" s="16"/>
      <c r="L160" s="16"/>
      <c r="M160" s="16"/>
      <c r="N160" s="16"/>
      <c r="O160" s="16"/>
      <c r="P160" s="16"/>
      <c r="Q160" s="16"/>
      <c r="R160" s="16"/>
      <c r="S160" s="16"/>
      <c r="T160" s="16"/>
      <c r="U160" s="16"/>
      <c r="V160" s="16"/>
      <c r="W160" s="15"/>
      <c r="X160" s="15"/>
      <c r="Y160" s="15"/>
      <c r="Z160" s="15"/>
    </row>
    <row r="161" customHeight="1" spans="1:26">
      <c r="A161" s="17"/>
      <c r="B161" s="15"/>
      <c r="C161" s="15"/>
      <c r="D161" s="15"/>
      <c r="E161" s="15"/>
      <c r="F161" s="15"/>
      <c r="G161" s="15"/>
      <c r="H161" s="16"/>
      <c r="I161" s="16"/>
      <c r="J161" s="16"/>
      <c r="K161" s="16"/>
      <c r="L161" s="16"/>
      <c r="M161" s="16"/>
      <c r="N161" s="16"/>
      <c r="O161" s="16"/>
      <c r="P161" s="16"/>
      <c r="Q161" s="16"/>
      <c r="R161" s="16"/>
      <c r="S161" s="16"/>
      <c r="T161" s="16"/>
      <c r="U161" s="16"/>
      <c r="V161" s="16"/>
      <c r="W161" s="15"/>
      <c r="X161" s="15"/>
      <c r="Y161" s="15"/>
      <c r="Z161" s="15"/>
    </row>
    <row r="162" customHeight="1" spans="1:26">
      <c r="A162" s="17"/>
      <c r="B162" s="15"/>
      <c r="C162" s="15"/>
      <c r="D162" s="15"/>
      <c r="E162" s="15"/>
      <c r="F162" s="15"/>
      <c r="G162" s="15"/>
      <c r="H162" s="16"/>
      <c r="I162" s="16"/>
      <c r="J162" s="16"/>
      <c r="K162" s="16"/>
      <c r="L162" s="16"/>
      <c r="M162" s="16"/>
      <c r="N162" s="16"/>
      <c r="O162" s="16"/>
      <c r="P162" s="16"/>
      <c r="Q162" s="16"/>
      <c r="R162" s="16"/>
      <c r="S162" s="16"/>
      <c r="T162" s="16"/>
      <c r="U162" s="16"/>
      <c r="V162" s="16"/>
      <c r="W162" s="15"/>
      <c r="X162" s="15"/>
      <c r="Y162" s="15"/>
      <c r="Z162" s="15"/>
    </row>
    <row r="163" customHeight="1" spans="1:26">
      <c r="A163" s="17"/>
      <c r="B163" s="15"/>
      <c r="C163" s="15"/>
      <c r="D163" s="15"/>
      <c r="E163" s="15"/>
      <c r="F163" s="15"/>
      <c r="G163" s="15"/>
      <c r="H163" s="16"/>
      <c r="I163" s="16"/>
      <c r="J163" s="16"/>
      <c r="K163" s="16"/>
      <c r="L163" s="16"/>
      <c r="M163" s="16"/>
      <c r="N163" s="16"/>
      <c r="O163" s="16"/>
      <c r="P163" s="16"/>
      <c r="Q163" s="16"/>
      <c r="R163" s="16"/>
      <c r="S163" s="16"/>
      <c r="T163" s="16"/>
      <c r="U163" s="16"/>
      <c r="V163" s="16"/>
      <c r="W163" s="15"/>
      <c r="X163" s="15"/>
      <c r="Y163" s="15"/>
      <c r="Z163" s="15"/>
    </row>
    <row r="164" customHeight="1" spans="1:26">
      <c r="A164" s="17"/>
      <c r="B164" s="15"/>
      <c r="C164" s="15"/>
      <c r="D164" s="15"/>
      <c r="E164" s="15"/>
      <c r="F164" s="15"/>
      <c r="G164" s="15"/>
      <c r="H164" s="16"/>
      <c r="I164" s="16"/>
      <c r="J164" s="16"/>
      <c r="K164" s="16"/>
      <c r="L164" s="16"/>
      <c r="M164" s="16"/>
      <c r="N164" s="16"/>
      <c r="O164" s="16"/>
      <c r="P164" s="16"/>
      <c r="Q164" s="16"/>
      <c r="R164" s="16"/>
      <c r="S164" s="16"/>
      <c r="T164" s="16"/>
      <c r="U164" s="16"/>
      <c r="V164" s="16"/>
      <c r="W164" s="15"/>
      <c r="X164" s="15"/>
      <c r="Y164" s="15"/>
      <c r="Z164" s="15"/>
    </row>
    <row r="165" customHeight="1" spans="1:26">
      <c r="A165" s="17"/>
      <c r="B165" s="15"/>
      <c r="C165" s="15"/>
      <c r="D165" s="15"/>
      <c r="E165" s="15"/>
      <c r="F165" s="15"/>
      <c r="G165" s="15"/>
      <c r="H165" s="16"/>
      <c r="I165" s="16"/>
      <c r="J165" s="16"/>
      <c r="K165" s="16"/>
      <c r="L165" s="16"/>
      <c r="M165" s="16"/>
      <c r="N165" s="16"/>
      <c r="O165" s="16"/>
      <c r="P165" s="16"/>
      <c r="Q165" s="16"/>
      <c r="R165" s="16"/>
      <c r="S165" s="16"/>
      <c r="T165" s="16"/>
      <c r="U165" s="16"/>
      <c r="V165" s="16"/>
      <c r="W165" s="15"/>
      <c r="X165" s="15"/>
      <c r="Y165" s="15"/>
      <c r="Z165" s="15"/>
    </row>
    <row r="166" customHeight="1" spans="1:26">
      <c r="A166" s="17"/>
      <c r="B166" s="15"/>
      <c r="C166" s="15"/>
      <c r="D166" s="15"/>
      <c r="E166" s="15"/>
      <c r="F166" s="15"/>
      <c r="G166" s="15"/>
      <c r="H166" s="16"/>
      <c r="I166" s="16"/>
      <c r="J166" s="16"/>
      <c r="K166" s="16"/>
      <c r="L166" s="16"/>
      <c r="M166" s="16"/>
      <c r="N166" s="16"/>
      <c r="O166" s="16"/>
      <c r="P166" s="16"/>
      <c r="Q166" s="16"/>
      <c r="R166" s="16"/>
      <c r="S166" s="16"/>
      <c r="T166" s="16"/>
      <c r="U166" s="16"/>
      <c r="V166" s="16"/>
      <c r="W166" s="15"/>
      <c r="X166" s="15"/>
      <c r="Y166" s="15"/>
      <c r="Z166" s="15"/>
    </row>
    <row r="167" customHeight="1" spans="1:26">
      <c r="A167" s="17"/>
      <c r="B167" s="15"/>
      <c r="C167" s="15"/>
      <c r="D167" s="15"/>
      <c r="E167" s="15"/>
      <c r="F167" s="15"/>
      <c r="G167" s="15"/>
      <c r="H167" s="16"/>
      <c r="I167" s="16"/>
      <c r="J167" s="16"/>
      <c r="K167" s="16"/>
      <c r="L167" s="16"/>
      <c r="M167" s="16"/>
      <c r="N167" s="16"/>
      <c r="O167" s="16"/>
      <c r="P167" s="16"/>
      <c r="Q167" s="16"/>
      <c r="R167" s="16"/>
      <c r="S167" s="16"/>
      <c r="T167" s="16"/>
      <c r="U167" s="16"/>
      <c r="V167" s="16"/>
      <c r="W167" s="15"/>
      <c r="X167" s="15"/>
      <c r="Y167" s="15"/>
      <c r="Z167" s="15"/>
    </row>
    <row r="168" customHeight="1" spans="1:26">
      <c r="A168" s="17"/>
      <c r="B168" s="15"/>
      <c r="C168" s="15"/>
      <c r="D168" s="15"/>
      <c r="E168" s="15"/>
      <c r="F168" s="15"/>
      <c r="G168" s="15"/>
      <c r="H168" s="16"/>
      <c r="I168" s="16"/>
      <c r="J168" s="16"/>
      <c r="K168" s="16"/>
      <c r="L168" s="16"/>
      <c r="M168" s="16"/>
      <c r="N168" s="16"/>
      <c r="O168" s="16"/>
      <c r="P168" s="16"/>
      <c r="Q168" s="16"/>
      <c r="R168" s="16"/>
      <c r="S168" s="16"/>
      <c r="T168" s="16"/>
      <c r="U168" s="16"/>
      <c r="V168" s="16"/>
      <c r="W168" s="15"/>
      <c r="X168" s="15"/>
      <c r="Y168" s="15"/>
      <c r="Z168" s="15"/>
    </row>
    <row r="169" customHeight="1" spans="1:26">
      <c r="A169" s="17"/>
      <c r="B169" s="15"/>
      <c r="C169" s="15"/>
      <c r="D169" s="15"/>
      <c r="E169" s="15"/>
      <c r="F169" s="15"/>
      <c r="G169" s="15"/>
      <c r="H169" s="16"/>
      <c r="I169" s="16"/>
      <c r="J169" s="16"/>
      <c r="K169" s="16"/>
      <c r="L169" s="16"/>
      <c r="M169" s="16"/>
      <c r="N169" s="16"/>
      <c r="O169" s="16"/>
      <c r="P169" s="16"/>
      <c r="Q169" s="16"/>
      <c r="R169" s="16"/>
      <c r="S169" s="16"/>
      <c r="T169" s="16"/>
      <c r="U169" s="16"/>
      <c r="V169" s="16"/>
      <c r="W169" s="15"/>
      <c r="X169" s="15"/>
      <c r="Y169" s="15"/>
      <c r="Z169" s="15"/>
    </row>
    <row r="170" customHeight="1" spans="1:26">
      <c r="A170" s="17"/>
      <c r="B170" s="15"/>
      <c r="C170" s="15"/>
      <c r="D170" s="15"/>
      <c r="E170" s="15"/>
      <c r="F170" s="15"/>
      <c r="G170" s="15"/>
      <c r="H170" s="16"/>
      <c r="I170" s="16"/>
      <c r="J170" s="16"/>
      <c r="K170" s="16"/>
      <c r="L170" s="16"/>
      <c r="M170" s="16"/>
      <c r="N170" s="16"/>
      <c r="O170" s="16"/>
      <c r="P170" s="16"/>
      <c r="Q170" s="16"/>
      <c r="R170" s="16"/>
      <c r="S170" s="16"/>
      <c r="T170" s="16"/>
      <c r="U170" s="16"/>
      <c r="V170" s="16"/>
      <c r="W170" s="15"/>
      <c r="X170" s="15"/>
      <c r="Y170" s="15"/>
      <c r="Z170" s="15"/>
    </row>
    <row r="171" customHeight="1" spans="1:26">
      <c r="A171" s="17"/>
      <c r="B171" s="15"/>
      <c r="C171" s="15"/>
      <c r="D171" s="15"/>
      <c r="E171" s="15"/>
      <c r="F171" s="15"/>
      <c r="G171" s="15"/>
      <c r="H171" s="16"/>
      <c r="I171" s="16"/>
      <c r="J171" s="16"/>
      <c r="K171" s="16"/>
      <c r="L171" s="16"/>
      <c r="M171" s="16"/>
      <c r="N171" s="16"/>
      <c r="O171" s="16"/>
      <c r="P171" s="16"/>
      <c r="Q171" s="16"/>
      <c r="R171" s="16"/>
      <c r="S171" s="16"/>
      <c r="T171" s="16"/>
      <c r="U171" s="16"/>
      <c r="V171" s="16"/>
      <c r="W171" s="15"/>
      <c r="X171" s="15"/>
      <c r="Y171" s="15"/>
      <c r="Z171" s="15"/>
    </row>
    <row r="172" customHeight="1" spans="1:26">
      <c r="A172" s="17"/>
      <c r="B172" s="15"/>
      <c r="C172" s="15"/>
      <c r="D172" s="15"/>
      <c r="E172" s="15"/>
      <c r="F172" s="15"/>
      <c r="G172" s="15"/>
      <c r="H172" s="16"/>
      <c r="I172" s="16"/>
      <c r="J172" s="16"/>
      <c r="K172" s="16"/>
      <c r="L172" s="16"/>
      <c r="M172" s="16"/>
      <c r="N172" s="16"/>
      <c r="O172" s="16"/>
      <c r="P172" s="16"/>
      <c r="Q172" s="16"/>
      <c r="R172" s="16"/>
      <c r="S172" s="16"/>
      <c r="T172" s="16"/>
      <c r="U172" s="16"/>
      <c r="V172" s="16"/>
      <c r="W172" s="15"/>
      <c r="X172" s="15"/>
      <c r="Y172" s="15"/>
      <c r="Z172" s="15"/>
    </row>
    <row r="173" customHeight="1" spans="1:26">
      <c r="A173" s="17"/>
      <c r="B173" s="15"/>
      <c r="C173" s="15"/>
      <c r="D173" s="15"/>
      <c r="E173" s="15"/>
      <c r="F173" s="15"/>
      <c r="G173" s="15"/>
      <c r="H173" s="16"/>
      <c r="I173" s="16"/>
      <c r="J173" s="16"/>
      <c r="K173" s="16"/>
      <c r="L173" s="16"/>
      <c r="M173" s="16"/>
      <c r="N173" s="16"/>
      <c r="O173" s="16"/>
      <c r="P173" s="16"/>
      <c r="Q173" s="16"/>
      <c r="R173" s="16"/>
      <c r="S173" s="16"/>
      <c r="T173" s="16"/>
      <c r="U173" s="16"/>
      <c r="V173" s="16"/>
      <c r="W173" s="15"/>
      <c r="X173" s="15"/>
      <c r="Y173" s="15"/>
      <c r="Z173" s="15"/>
    </row>
    <row r="174" customHeight="1" spans="1:26">
      <c r="A174" s="17"/>
      <c r="B174" s="15"/>
      <c r="C174" s="15"/>
      <c r="D174" s="15"/>
      <c r="E174" s="15"/>
      <c r="F174" s="15"/>
      <c r="G174" s="15"/>
      <c r="H174" s="16"/>
      <c r="I174" s="16"/>
      <c r="J174" s="16"/>
      <c r="K174" s="16"/>
      <c r="L174" s="16"/>
      <c r="M174" s="16"/>
      <c r="N174" s="16"/>
      <c r="O174" s="16"/>
      <c r="P174" s="16"/>
      <c r="Q174" s="16"/>
      <c r="R174" s="16"/>
      <c r="S174" s="16"/>
      <c r="T174" s="16"/>
      <c r="U174" s="16"/>
      <c r="V174" s="16"/>
      <c r="W174" s="15"/>
      <c r="X174" s="15"/>
      <c r="Y174" s="15"/>
      <c r="Z174" s="15"/>
    </row>
    <row r="175" customHeight="1" spans="1:26">
      <c r="A175" s="17"/>
      <c r="B175" s="15"/>
      <c r="C175" s="15"/>
      <c r="D175" s="15"/>
      <c r="E175" s="15"/>
      <c r="F175" s="15"/>
      <c r="G175" s="15"/>
      <c r="H175" s="16"/>
      <c r="I175" s="16"/>
      <c r="J175" s="16"/>
      <c r="K175" s="16"/>
      <c r="L175" s="16"/>
      <c r="M175" s="16"/>
      <c r="N175" s="16"/>
      <c r="O175" s="16"/>
      <c r="P175" s="16"/>
      <c r="Q175" s="16"/>
      <c r="R175" s="16"/>
      <c r="S175" s="16"/>
      <c r="T175" s="16"/>
      <c r="U175" s="16"/>
      <c r="V175" s="16"/>
      <c r="W175" s="15"/>
      <c r="X175" s="15"/>
      <c r="Y175" s="15"/>
      <c r="Z175" s="15"/>
    </row>
    <row r="176" customHeight="1" spans="1:26">
      <c r="A176" s="17"/>
      <c r="B176" s="15"/>
      <c r="C176" s="15"/>
      <c r="D176" s="15"/>
      <c r="E176" s="15"/>
      <c r="F176" s="15"/>
      <c r="G176" s="15"/>
      <c r="H176" s="16"/>
      <c r="I176" s="16"/>
      <c r="J176" s="16"/>
      <c r="K176" s="16"/>
      <c r="L176" s="16"/>
      <c r="M176" s="16"/>
      <c r="N176" s="16"/>
      <c r="O176" s="16"/>
      <c r="P176" s="16"/>
      <c r="Q176" s="16"/>
      <c r="R176" s="16"/>
      <c r="S176" s="16"/>
      <c r="T176" s="16"/>
      <c r="U176" s="16"/>
      <c r="V176" s="16"/>
      <c r="W176" s="15"/>
      <c r="X176" s="15"/>
      <c r="Y176" s="15"/>
      <c r="Z176" s="15"/>
    </row>
    <row r="177" customHeight="1" spans="1:26">
      <c r="A177" s="17"/>
      <c r="B177" s="15"/>
      <c r="C177" s="15"/>
      <c r="D177" s="15"/>
      <c r="E177" s="15"/>
      <c r="F177" s="15"/>
      <c r="G177" s="15"/>
      <c r="H177" s="16"/>
      <c r="I177" s="16"/>
      <c r="J177" s="16"/>
      <c r="K177" s="16"/>
      <c r="L177" s="16"/>
      <c r="M177" s="16"/>
      <c r="N177" s="16"/>
      <c r="O177" s="16"/>
      <c r="P177" s="16"/>
      <c r="Q177" s="16"/>
      <c r="R177" s="16"/>
      <c r="S177" s="16"/>
      <c r="T177" s="16"/>
      <c r="U177" s="16"/>
      <c r="V177" s="16"/>
      <c r="W177" s="15"/>
      <c r="X177" s="15"/>
      <c r="Y177" s="15"/>
      <c r="Z177" s="15"/>
    </row>
    <row r="178" customHeight="1" spans="1:26">
      <c r="A178" s="17"/>
      <c r="B178" s="15"/>
      <c r="C178" s="15"/>
      <c r="D178" s="15"/>
      <c r="E178" s="15"/>
      <c r="F178" s="15"/>
      <c r="G178" s="15"/>
      <c r="H178" s="16"/>
      <c r="I178" s="16"/>
      <c r="J178" s="16"/>
      <c r="K178" s="16"/>
      <c r="L178" s="16"/>
      <c r="M178" s="16"/>
      <c r="N178" s="16"/>
      <c r="O178" s="16"/>
      <c r="P178" s="16"/>
      <c r="Q178" s="16"/>
      <c r="R178" s="16"/>
      <c r="S178" s="16"/>
      <c r="T178" s="16"/>
      <c r="U178" s="16"/>
      <c r="V178" s="16"/>
      <c r="W178" s="15"/>
      <c r="X178" s="15"/>
      <c r="Y178" s="15"/>
      <c r="Z178" s="15"/>
    </row>
    <row r="179" customHeight="1" spans="1:26">
      <c r="A179" s="17"/>
      <c r="B179" s="15"/>
      <c r="C179" s="15"/>
      <c r="D179" s="15"/>
      <c r="E179" s="15"/>
      <c r="F179" s="15"/>
      <c r="G179" s="15"/>
      <c r="H179" s="16"/>
      <c r="I179" s="16"/>
      <c r="J179" s="16"/>
      <c r="K179" s="16"/>
      <c r="L179" s="16"/>
      <c r="M179" s="16"/>
      <c r="N179" s="16"/>
      <c r="O179" s="16"/>
      <c r="P179" s="16"/>
      <c r="Q179" s="16"/>
      <c r="R179" s="16"/>
      <c r="S179" s="16"/>
      <c r="T179" s="16"/>
      <c r="U179" s="16"/>
      <c r="V179" s="16"/>
      <c r="W179" s="15"/>
      <c r="X179" s="15"/>
      <c r="Y179" s="15"/>
      <c r="Z179" s="15"/>
    </row>
    <row r="180" customHeight="1" spans="1:26">
      <c r="A180" s="17"/>
      <c r="B180" s="15"/>
      <c r="C180" s="15"/>
      <c r="D180" s="15"/>
      <c r="E180" s="15"/>
      <c r="F180" s="15"/>
      <c r="G180" s="15"/>
      <c r="H180" s="16"/>
      <c r="I180" s="16"/>
      <c r="J180" s="16"/>
      <c r="K180" s="16"/>
      <c r="L180" s="16"/>
      <c r="M180" s="16"/>
      <c r="N180" s="16"/>
      <c r="O180" s="16"/>
      <c r="P180" s="16"/>
      <c r="Q180" s="16"/>
      <c r="R180" s="16"/>
      <c r="S180" s="16"/>
      <c r="T180" s="16"/>
      <c r="U180" s="16"/>
      <c r="V180" s="16"/>
      <c r="W180" s="15"/>
      <c r="X180" s="15"/>
      <c r="Y180" s="15"/>
      <c r="Z180" s="15"/>
    </row>
    <row r="181" customHeight="1" spans="1:26">
      <c r="A181" s="17"/>
      <c r="B181" s="15"/>
      <c r="C181" s="15"/>
      <c r="D181" s="15"/>
      <c r="E181" s="15"/>
      <c r="F181" s="15"/>
      <c r="G181" s="15"/>
      <c r="H181" s="16"/>
      <c r="I181" s="16"/>
      <c r="J181" s="16"/>
      <c r="K181" s="16"/>
      <c r="L181" s="16"/>
      <c r="M181" s="16"/>
      <c r="N181" s="16"/>
      <c r="O181" s="16"/>
      <c r="P181" s="16"/>
      <c r="Q181" s="16"/>
      <c r="R181" s="16"/>
      <c r="S181" s="16"/>
      <c r="T181" s="16"/>
      <c r="U181" s="16"/>
      <c r="V181" s="16"/>
      <c r="W181" s="15"/>
      <c r="X181" s="15"/>
      <c r="Y181" s="15"/>
      <c r="Z181" s="15"/>
    </row>
    <row r="182" customHeight="1" spans="1:26">
      <c r="A182" s="17"/>
      <c r="B182" s="15"/>
      <c r="C182" s="15"/>
      <c r="D182" s="15"/>
      <c r="E182" s="15"/>
      <c r="F182" s="15"/>
      <c r="G182" s="15"/>
      <c r="H182" s="16"/>
      <c r="I182" s="16"/>
      <c r="J182" s="16"/>
      <c r="K182" s="16"/>
      <c r="L182" s="16"/>
      <c r="M182" s="16"/>
      <c r="N182" s="16"/>
      <c r="O182" s="16"/>
      <c r="P182" s="16"/>
      <c r="Q182" s="16"/>
      <c r="R182" s="16"/>
      <c r="S182" s="16"/>
      <c r="T182" s="16"/>
      <c r="U182" s="16"/>
      <c r="V182" s="16"/>
      <c r="W182" s="15"/>
      <c r="X182" s="15"/>
      <c r="Y182" s="15"/>
      <c r="Z182" s="15"/>
    </row>
    <row r="183" customHeight="1" spans="1:26">
      <c r="A183" s="17"/>
      <c r="B183" s="15"/>
      <c r="C183" s="15"/>
      <c r="D183" s="15"/>
      <c r="E183" s="15"/>
      <c r="F183" s="15"/>
      <c r="G183" s="15"/>
      <c r="H183" s="16"/>
      <c r="I183" s="16"/>
      <c r="J183" s="16"/>
      <c r="K183" s="16"/>
      <c r="L183" s="16"/>
      <c r="M183" s="16"/>
      <c r="N183" s="16"/>
      <c r="O183" s="16"/>
      <c r="P183" s="16"/>
      <c r="Q183" s="16"/>
      <c r="R183" s="16"/>
      <c r="S183" s="16"/>
      <c r="T183" s="16"/>
      <c r="U183" s="16"/>
      <c r="V183" s="16"/>
      <c r="W183" s="15"/>
      <c r="X183" s="15"/>
      <c r="Y183" s="15"/>
      <c r="Z183" s="15"/>
    </row>
    <row r="184" customHeight="1" spans="1:26">
      <c r="A184" s="17"/>
      <c r="B184" s="15"/>
      <c r="C184" s="15"/>
      <c r="D184" s="15"/>
      <c r="E184" s="15"/>
      <c r="F184" s="15"/>
      <c r="G184" s="15"/>
      <c r="H184" s="16"/>
      <c r="I184" s="16"/>
      <c r="J184" s="16"/>
      <c r="K184" s="16"/>
      <c r="L184" s="16"/>
      <c r="M184" s="16"/>
      <c r="N184" s="16"/>
      <c r="O184" s="16"/>
      <c r="P184" s="16"/>
      <c r="Q184" s="16"/>
      <c r="R184" s="16"/>
      <c r="S184" s="16"/>
      <c r="T184" s="16"/>
      <c r="U184" s="16"/>
      <c r="V184" s="16"/>
      <c r="W184" s="15"/>
      <c r="X184" s="15"/>
      <c r="Y184" s="15"/>
      <c r="Z184" s="15"/>
    </row>
    <row r="185" customHeight="1" spans="1:26">
      <c r="A185" s="17"/>
      <c r="B185" s="15"/>
      <c r="C185" s="15"/>
      <c r="D185" s="15"/>
      <c r="E185" s="15"/>
      <c r="F185" s="15"/>
      <c r="G185" s="15"/>
      <c r="H185" s="16"/>
      <c r="I185" s="16"/>
      <c r="J185" s="16"/>
      <c r="K185" s="16"/>
      <c r="L185" s="16"/>
      <c r="M185" s="16"/>
      <c r="N185" s="16"/>
      <c r="O185" s="16"/>
      <c r="P185" s="16"/>
      <c r="Q185" s="16"/>
      <c r="R185" s="16"/>
      <c r="S185" s="16"/>
      <c r="T185" s="16"/>
      <c r="U185" s="16"/>
      <c r="V185" s="16"/>
      <c r="W185" s="15"/>
      <c r="X185" s="15"/>
      <c r="Y185" s="15"/>
      <c r="Z185" s="15"/>
    </row>
    <row r="186" customHeight="1" spans="1:26">
      <c r="A186" s="17"/>
      <c r="B186" s="15"/>
      <c r="C186" s="15"/>
      <c r="D186" s="15"/>
      <c r="E186" s="15"/>
      <c r="F186" s="15"/>
      <c r="G186" s="15"/>
      <c r="H186" s="16"/>
      <c r="I186" s="16"/>
      <c r="J186" s="16"/>
      <c r="K186" s="16"/>
      <c r="L186" s="16"/>
      <c r="M186" s="16"/>
      <c r="N186" s="16"/>
      <c r="O186" s="16"/>
      <c r="P186" s="16"/>
      <c r="Q186" s="16"/>
      <c r="R186" s="16"/>
      <c r="S186" s="16"/>
      <c r="T186" s="16"/>
      <c r="U186" s="16"/>
      <c r="V186" s="16"/>
      <c r="W186" s="15"/>
      <c r="X186" s="15"/>
      <c r="Y186" s="15"/>
      <c r="Z186" s="15"/>
    </row>
    <row r="187" customHeight="1" spans="1:26">
      <c r="A187" s="17"/>
      <c r="B187" s="15"/>
      <c r="C187" s="15"/>
      <c r="D187" s="15"/>
      <c r="E187" s="15"/>
      <c r="F187" s="15"/>
      <c r="G187" s="15"/>
      <c r="H187" s="16"/>
      <c r="I187" s="16"/>
      <c r="J187" s="16"/>
      <c r="K187" s="16"/>
      <c r="L187" s="16"/>
      <c r="M187" s="16"/>
      <c r="N187" s="16"/>
      <c r="O187" s="16"/>
      <c r="P187" s="16"/>
      <c r="Q187" s="16"/>
      <c r="R187" s="16"/>
      <c r="S187" s="16"/>
      <c r="T187" s="16"/>
      <c r="U187" s="16"/>
      <c r="V187" s="16"/>
      <c r="W187" s="15"/>
      <c r="X187" s="15"/>
      <c r="Y187" s="15"/>
      <c r="Z187" s="15"/>
    </row>
    <row r="188" customHeight="1" spans="1:26">
      <c r="A188" s="17"/>
      <c r="B188" s="15"/>
      <c r="C188" s="15"/>
      <c r="D188" s="15"/>
      <c r="E188" s="15"/>
      <c r="F188" s="15"/>
      <c r="G188" s="15"/>
      <c r="H188" s="16"/>
      <c r="I188" s="16"/>
      <c r="J188" s="16"/>
      <c r="K188" s="16"/>
      <c r="L188" s="16"/>
      <c r="M188" s="16"/>
      <c r="N188" s="16"/>
      <c r="O188" s="16"/>
      <c r="P188" s="16"/>
      <c r="Q188" s="16"/>
      <c r="R188" s="16"/>
      <c r="S188" s="16"/>
      <c r="T188" s="16"/>
      <c r="U188" s="16"/>
      <c r="V188" s="16"/>
      <c r="W188" s="15"/>
      <c r="X188" s="15"/>
      <c r="Y188" s="15"/>
      <c r="Z188" s="15"/>
    </row>
    <row r="189" customHeight="1" spans="1:26">
      <c r="A189" s="17"/>
      <c r="B189" s="15"/>
      <c r="C189" s="15"/>
      <c r="D189" s="15"/>
      <c r="E189" s="15"/>
      <c r="F189" s="15"/>
      <c r="G189" s="15"/>
      <c r="H189" s="16"/>
      <c r="I189" s="16"/>
      <c r="J189" s="16"/>
      <c r="K189" s="16"/>
      <c r="L189" s="16"/>
      <c r="M189" s="16"/>
      <c r="N189" s="16"/>
      <c r="O189" s="16"/>
      <c r="P189" s="16"/>
      <c r="Q189" s="16"/>
      <c r="R189" s="16"/>
      <c r="S189" s="16"/>
      <c r="T189" s="16"/>
      <c r="U189" s="16"/>
      <c r="V189" s="16"/>
      <c r="W189" s="15"/>
      <c r="X189" s="15"/>
      <c r="Y189" s="15"/>
      <c r="Z189" s="15"/>
    </row>
    <row r="190" customHeight="1" spans="1:26">
      <c r="A190" s="17"/>
      <c r="B190" s="15"/>
      <c r="C190" s="15"/>
      <c r="D190" s="15"/>
      <c r="E190" s="15"/>
      <c r="F190" s="15"/>
      <c r="G190" s="15"/>
      <c r="H190" s="16"/>
      <c r="I190" s="16"/>
      <c r="J190" s="16"/>
      <c r="K190" s="16"/>
      <c r="L190" s="16"/>
      <c r="M190" s="16"/>
      <c r="N190" s="16"/>
      <c r="O190" s="16"/>
      <c r="P190" s="16"/>
      <c r="Q190" s="16"/>
      <c r="R190" s="16"/>
      <c r="S190" s="16"/>
      <c r="T190" s="16"/>
      <c r="U190" s="16"/>
      <c r="V190" s="16"/>
      <c r="W190" s="15"/>
      <c r="X190" s="15"/>
      <c r="Y190" s="15"/>
      <c r="Z190" s="15"/>
    </row>
    <row r="191" customHeight="1" spans="1:26">
      <c r="A191" s="17"/>
      <c r="B191" s="15"/>
      <c r="C191" s="15"/>
      <c r="D191" s="15"/>
      <c r="E191" s="15"/>
      <c r="F191" s="15"/>
      <c r="G191" s="15"/>
      <c r="H191" s="16"/>
      <c r="I191" s="16"/>
      <c r="J191" s="16"/>
      <c r="K191" s="16"/>
      <c r="L191" s="16"/>
      <c r="M191" s="16"/>
      <c r="N191" s="16"/>
      <c r="O191" s="16"/>
      <c r="P191" s="16"/>
      <c r="Q191" s="16"/>
      <c r="R191" s="16"/>
      <c r="S191" s="16"/>
      <c r="T191" s="16"/>
      <c r="U191" s="16"/>
      <c r="V191" s="16"/>
      <c r="W191" s="15"/>
      <c r="X191" s="15"/>
      <c r="Y191" s="15"/>
      <c r="Z191" s="15"/>
    </row>
    <row r="192" customHeight="1" spans="1:26">
      <c r="A192" s="17"/>
      <c r="B192" s="15"/>
      <c r="C192" s="15"/>
      <c r="D192" s="15"/>
      <c r="E192" s="15"/>
      <c r="F192" s="15"/>
      <c r="G192" s="15"/>
      <c r="H192" s="16"/>
      <c r="I192" s="16"/>
      <c r="J192" s="16"/>
      <c r="K192" s="16"/>
      <c r="L192" s="16"/>
      <c r="M192" s="16"/>
      <c r="N192" s="16"/>
      <c r="O192" s="16"/>
      <c r="P192" s="16"/>
      <c r="Q192" s="16"/>
      <c r="R192" s="16"/>
      <c r="S192" s="16"/>
      <c r="T192" s="16"/>
      <c r="U192" s="16"/>
      <c r="V192" s="16"/>
      <c r="W192" s="15"/>
      <c r="X192" s="15"/>
      <c r="Y192" s="15"/>
      <c r="Z192" s="15"/>
    </row>
    <row r="193" customHeight="1" spans="1:26">
      <c r="A193" s="17"/>
      <c r="B193" s="15"/>
      <c r="C193" s="15"/>
      <c r="D193" s="15"/>
      <c r="E193" s="15"/>
      <c r="F193" s="15"/>
      <c r="G193" s="15"/>
      <c r="H193" s="16"/>
      <c r="I193" s="16"/>
      <c r="J193" s="16"/>
      <c r="K193" s="16"/>
      <c r="L193" s="16"/>
      <c r="M193" s="16"/>
      <c r="N193" s="16"/>
      <c r="O193" s="16"/>
      <c r="P193" s="16"/>
      <c r="Q193" s="16"/>
      <c r="R193" s="16"/>
      <c r="S193" s="16"/>
      <c r="T193" s="16"/>
      <c r="U193" s="16"/>
      <c r="V193" s="16"/>
      <c r="W193" s="15"/>
      <c r="X193" s="15"/>
      <c r="Y193" s="15"/>
      <c r="Z193" s="15"/>
    </row>
    <row r="194" customHeight="1" spans="1:26">
      <c r="A194" s="17"/>
      <c r="B194" s="15"/>
      <c r="C194" s="15"/>
      <c r="D194" s="15"/>
      <c r="E194" s="15"/>
      <c r="F194" s="15"/>
      <c r="G194" s="15"/>
      <c r="H194" s="16"/>
      <c r="I194" s="16"/>
      <c r="J194" s="16"/>
      <c r="K194" s="16"/>
      <c r="L194" s="16"/>
      <c r="M194" s="16"/>
      <c r="N194" s="16"/>
      <c r="O194" s="16"/>
      <c r="P194" s="16"/>
      <c r="Q194" s="16"/>
      <c r="R194" s="16"/>
      <c r="S194" s="16"/>
      <c r="T194" s="16"/>
      <c r="U194" s="16"/>
      <c r="V194" s="16"/>
      <c r="W194" s="15"/>
      <c r="X194" s="15"/>
      <c r="Y194" s="15"/>
      <c r="Z194" s="15"/>
    </row>
    <row r="195" customHeight="1" spans="1:26">
      <c r="A195" s="17"/>
      <c r="B195" s="15"/>
      <c r="C195" s="15"/>
      <c r="D195" s="15"/>
      <c r="E195" s="15"/>
      <c r="F195" s="15"/>
      <c r="G195" s="15"/>
      <c r="H195" s="16"/>
      <c r="I195" s="16"/>
      <c r="J195" s="16"/>
      <c r="K195" s="16"/>
      <c r="L195" s="16"/>
      <c r="M195" s="16"/>
      <c r="N195" s="16"/>
      <c r="O195" s="16"/>
      <c r="P195" s="16"/>
      <c r="Q195" s="16"/>
      <c r="R195" s="16"/>
      <c r="S195" s="16"/>
      <c r="T195" s="16"/>
      <c r="U195" s="16"/>
      <c r="V195" s="16"/>
      <c r="W195" s="15"/>
      <c r="X195" s="15"/>
      <c r="Y195" s="15"/>
      <c r="Z195" s="15"/>
    </row>
    <row r="196" customHeight="1" spans="1:26">
      <c r="A196" s="17"/>
      <c r="B196" s="15"/>
      <c r="C196" s="15"/>
      <c r="D196" s="15"/>
      <c r="E196" s="15"/>
      <c r="F196" s="15"/>
      <c r="G196" s="15"/>
      <c r="H196" s="16"/>
      <c r="I196" s="16"/>
      <c r="J196" s="16"/>
      <c r="K196" s="16"/>
      <c r="L196" s="16"/>
      <c r="M196" s="16"/>
      <c r="N196" s="16"/>
      <c r="O196" s="16"/>
      <c r="P196" s="16"/>
      <c r="Q196" s="16"/>
      <c r="R196" s="16"/>
      <c r="S196" s="16"/>
      <c r="T196" s="16"/>
      <c r="U196" s="16"/>
      <c r="V196" s="16"/>
      <c r="W196" s="15"/>
      <c r="X196" s="15"/>
      <c r="Y196" s="15"/>
      <c r="Z196" s="15"/>
    </row>
    <row r="197" customHeight="1" spans="1:26">
      <c r="A197" s="17"/>
      <c r="B197" s="15"/>
      <c r="C197" s="15"/>
      <c r="D197" s="15"/>
      <c r="E197" s="15"/>
      <c r="F197" s="15"/>
      <c r="G197" s="15"/>
      <c r="H197" s="16"/>
      <c r="I197" s="16"/>
      <c r="J197" s="16"/>
      <c r="K197" s="16"/>
      <c r="L197" s="16"/>
      <c r="M197" s="16"/>
      <c r="N197" s="16"/>
      <c r="O197" s="16"/>
      <c r="P197" s="16"/>
      <c r="Q197" s="16"/>
      <c r="R197" s="16"/>
      <c r="S197" s="16"/>
      <c r="T197" s="16"/>
      <c r="U197" s="16"/>
      <c r="V197" s="16"/>
      <c r="W197" s="15"/>
      <c r="X197" s="15"/>
      <c r="Y197" s="15"/>
      <c r="Z197" s="15"/>
    </row>
    <row r="198" customHeight="1" spans="1:26">
      <c r="A198" s="17"/>
      <c r="B198" s="15"/>
      <c r="C198" s="15"/>
      <c r="D198" s="15"/>
      <c r="E198" s="15"/>
      <c r="F198" s="15"/>
      <c r="G198" s="15"/>
      <c r="H198" s="16"/>
      <c r="I198" s="16"/>
      <c r="J198" s="16"/>
      <c r="K198" s="16"/>
      <c r="L198" s="16"/>
      <c r="M198" s="16"/>
      <c r="N198" s="16"/>
      <c r="O198" s="16"/>
      <c r="P198" s="16"/>
      <c r="Q198" s="16"/>
      <c r="R198" s="16"/>
      <c r="S198" s="16"/>
      <c r="T198" s="16"/>
      <c r="U198" s="16"/>
      <c r="V198" s="16"/>
      <c r="W198" s="15"/>
      <c r="X198" s="15"/>
      <c r="Y198" s="15"/>
      <c r="Z198" s="15"/>
    </row>
    <row r="199" customHeight="1" spans="1:26">
      <c r="A199" s="17"/>
      <c r="B199" s="15"/>
      <c r="C199" s="15"/>
      <c r="D199" s="15"/>
      <c r="E199" s="15"/>
      <c r="F199" s="15"/>
      <c r="G199" s="15"/>
      <c r="H199" s="16"/>
      <c r="I199" s="16"/>
      <c r="J199" s="16"/>
      <c r="K199" s="16"/>
      <c r="L199" s="16"/>
      <c r="M199" s="16"/>
      <c r="N199" s="16"/>
      <c r="O199" s="16"/>
      <c r="P199" s="16"/>
      <c r="Q199" s="16"/>
      <c r="R199" s="16"/>
      <c r="S199" s="16"/>
      <c r="T199" s="16"/>
      <c r="U199" s="16"/>
      <c r="V199" s="16"/>
      <c r="W199" s="15"/>
      <c r="X199" s="15"/>
      <c r="Y199" s="15"/>
      <c r="Z199" s="15"/>
    </row>
    <row r="200" customHeight="1" spans="1:26">
      <c r="A200" s="17"/>
      <c r="B200" s="15"/>
      <c r="C200" s="15"/>
      <c r="D200" s="15"/>
      <c r="E200" s="15"/>
      <c r="F200" s="15"/>
      <c r="G200" s="15"/>
      <c r="H200" s="16"/>
      <c r="I200" s="16"/>
      <c r="J200" s="16"/>
      <c r="K200" s="16"/>
      <c r="L200" s="16"/>
      <c r="M200" s="16"/>
      <c r="N200" s="16"/>
      <c r="O200" s="16"/>
      <c r="P200" s="16"/>
      <c r="Q200" s="16"/>
      <c r="R200" s="16"/>
      <c r="S200" s="16"/>
      <c r="T200" s="16"/>
      <c r="U200" s="16"/>
      <c r="V200" s="16"/>
      <c r="W200" s="15"/>
      <c r="X200" s="15"/>
      <c r="Y200" s="15"/>
      <c r="Z200" s="15"/>
    </row>
    <row r="201" customHeight="1" spans="1:26">
      <c r="A201" s="17"/>
      <c r="B201" s="15"/>
      <c r="C201" s="15"/>
      <c r="D201" s="15"/>
      <c r="E201" s="15"/>
      <c r="F201" s="15"/>
      <c r="G201" s="15"/>
      <c r="H201" s="16"/>
      <c r="I201" s="16"/>
      <c r="J201" s="16"/>
      <c r="K201" s="16"/>
      <c r="L201" s="16"/>
      <c r="M201" s="16"/>
      <c r="N201" s="16"/>
      <c r="O201" s="16"/>
      <c r="P201" s="16"/>
      <c r="Q201" s="16"/>
      <c r="R201" s="16"/>
      <c r="S201" s="16"/>
      <c r="T201" s="16"/>
      <c r="U201" s="16"/>
      <c r="V201" s="16"/>
      <c r="W201" s="15"/>
      <c r="X201" s="15"/>
      <c r="Y201" s="15"/>
      <c r="Z201" s="15"/>
    </row>
    <row r="202" customHeight="1" spans="1:26">
      <c r="A202" s="17"/>
      <c r="B202" s="15"/>
      <c r="C202" s="15"/>
      <c r="D202" s="15"/>
      <c r="E202" s="15"/>
      <c r="F202" s="15"/>
      <c r="G202" s="15"/>
      <c r="H202" s="16"/>
      <c r="I202" s="16"/>
      <c r="J202" s="16"/>
      <c r="K202" s="16"/>
      <c r="L202" s="16"/>
      <c r="M202" s="16"/>
      <c r="N202" s="16"/>
      <c r="O202" s="16"/>
      <c r="P202" s="16"/>
      <c r="Q202" s="16"/>
      <c r="R202" s="16"/>
      <c r="S202" s="16"/>
      <c r="T202" s="16"/>
      <c r="U202" s="16"/>
      <c r="V202" s="16"/>
      <c r="W202" s="15"/>
      <c r="X202" s="15"/>
      <c r="Y202" s="15"/>
      <c r="Z202" s="15"/>
    </row>
    <row r="203" customHeight="1" spans="1:26">
      <c r="A203" s="17"/>
      <c r="B203" s="15"/>
      <c r="C203" s="15"/>
      <c r="D203" s="15"/>
      <c r="E203" s="15"/>
      <c r="F203" s="15"/>
      <c r="G203" s="15"/>
      <c r="H203" s="16"/>
      <c r="I203" s="16"/>
      <c r="J203" s="16"/>
      <c r="K203" s="16"/>
      <c r="L203" s="16"/>
      <c r="M203" s="16"/>
      <c r="N203" s="16"/>
      <c r="O203" s="16"/>
      <c r="P203" s="16"/>
      <c r="Q203" s="16"/>
      <c r="R203" s="16"/>
      <c r="S203" s="16"/>
      <c r="T203" s="16"/>
      <c r="U203" s="16"/>
      <c r="V203" s="16"/>
      <c r="W203" s="15"/>
      <c r="X203" s="15"/>
      <c r="Y203" s="15"/>
      <c r="Z203" s="15"/>
    </row>
    <row r="204" customHeight="1" spans="1:26">
      <c r="A204" s="17"/>
      <c r="B204" s="15"/>
      <c r="C204" s="15"/>
      <c r="D204" s="15"/>
      <c r="E204" s="15"/>
      <c r="F204" s="15"/>
      <c r="G204" s="15"/>
      <c r="H204" s="16"/>
      <c r="I204" s="16"/>
      <c r="J204" s="16"/>
      <c r="K204" s="16"/>
      <c r="L204" s="16"/>
      <c r="M204" s="16"/>
      <c r="N204" s="16"/>
      <c r="O204" s="16"/>
      <c r="P204" s="16"/>
      <c r="Q204" s="16"/>
      <c r="R204" s="16"/>
      <c r="S204" s="16"/>
      <c r="T204" s="16"/>
      <c r="U204" s="16"/>
      <c r="V204" s="16"/>
      <c r="W204" s="15"/>
      <c r="X204" s="15"/>
      <c r="Y204" s="15"/>
      <c r="Z204" s="15"/>
    </row>
    <row r="205" customHeight="1" spans="1:26">
      <c r="A205" s="17"/>
      <c r="B205" s="15"/>
      <c r="C205" s="15"/>
      <c r="D205" s="15"/>
      <c r="E205" s="15"/>
      <c r="F205" s="15"/>
      <c r="G205" s="15"/>
      <c r="H205" s="16"/>
      <c r="I205" s="16"/>
      <c r="J205" s="16"/>
      <c r="K205" s="16"/>
      <c r="L205" s="16"/>
      <c r="M205" s="16"/>
      <c r="N205" s="16"/>
      <c r="O205" s="16"/>
      <c r="P205" s="16"/>
      <c r="Q205" s="16"/>
      <c r="R205" s="16"/>
      <c r="S205" s="16"/>
      <c r="T205" s="16"/>
      <c r="U205" s="16"/>
      <c r="V205" s="16"/>
      <c r="W205" s="15"/>
      <c r="X205" s="15"/>
      <c r="Y205" s="15"/>
      <c r="Z205" s="15"/>
    </row>
    <row r="206" customHeight="1" spans="1:26">
      <c r="A206" s="17"/>
      <c r="B206" s="15"/>
      <c r="C206" s="15"/>
      <c r="D206" s="15"/>
      <c r="E206" s="15"/>
      <c r="F206" s="15"/>
      <c r="G206" s="15"/>
      <c r="H206" s="16"/>
      <c r="I206" s="16"/>
      <c r="J206" s="16"/>
      <c r="K206" s="16"/>
      <c r="L206" s="16"/>
      <c r="M206" s="16"/>
      <c r="N206" s="16"/>
      <c r="O206" s="16"/>
      <c r="P206" s="16"/>
      <c r="Q206" s="16"/>
      <c r="R206" s="16"/>
      <c r="S206" s="16"/>
      <c r="T206" s="16"/>
      <c r="U206" s="16"/>
      <c r="V206" s="16"/>
      <c r="W206" s="15"/>
      <c r="X206" s="15"/>
      <c r="Y206" s="15"/>
      <c r="Z206" s="15"/>
    </row>
    <row r="207" customHeight="1" spans="1:26">
      <c r="A207" s="17"/>
      <c r="B207" s="15"/>
      <c r="C207" s="15"/>
      <c r="D207" s="15"/>
      <c r="E207" s="15"/>
      <c r="F207" s="15"/>
      <c r="G207" s="15"/>
      <c r="H207" s="16"/>
      <c r="I207" s="16"/>
      <c r="J207" s="16"/>
      <c r="K207" s="16"/>
      <c r="L207" s="16"/>
      <c r="M207" s="16"/>
      <c r="N207" s="16"/>
      <c r="O207" s="16"/>
      <c r="P207" s="16"/>
      <c r="Q207" s="16"/>
      <c r="R207" s="16"/>
      <c r="S207" s="16"/>
      <c r="T207" s="16"/>
      <c r="U207" s="16"/>
      <c r="V207" s="16"/>
      <c r="W207" s="15"/>
      <c r="X207" s="15"/>
      <c r="Y207" s="15"/>
      <c r="Z207" s="15"/>
    </row>
    <row r="208" customHeight="1" spans="1:26">
      <c r="A208" s="17"/>
      <c r="B208" s="15"/>
      <c r="C208" s="15"/>
      <c r="D208" s="15"/>
      <c r="E208" s="15"/>
      <c r="F208" s="15"/>
      <c r="G208" s="15"/>
      <c r="H208" s="16"/>
      <c r="I208" s="16"/>
      <c r="J208" s="16"/>
      <c r="K208" s="16"/>
      <c r="L208" s="16"/>
      <c r="M208" s="16"/>
      <c r="N208" s="16"/>
      <c r="O208" s="16"/>
      <c r="P208" s="16"/>
      <c r="Q208" s="16"/>
      <c r="R208" s="16"/>
      <c r="S208" s="16"/>
      <c r="T208" s="16"/>
      <c r="U208" s="16"/>
      <c r="V208" s="16"/>
      <c r="W208" s="15"/>
      <c r="X208" s="15"/>
      <c r="Y208" s="15"/>
      <c r="Z208" s="15"/>
    </row>
    <row r="209" customHeight="1" spans="1:26">
      <c r="A209" s="17"/>
      <c r="B209" s="15"/>
      <c r="C209" s="15"/>
      <c r="D209" s="15"/>
      <c r="E209" s="15"/>
      <c r="F209" s="15"/>
      <c r="G209" s="15"/>
      <c r="H209" s="16"/>
      <c r="I209" s="16"/>
      <c r="J209" s="16"/>
      <c r="K209" s="16"/>
      <c r="L209" s="16"/>
      <c r="M209" s="16"/>
      <c r="N209" s="16"/>
      <c r="O209" s="16"/>
      <c r="P209" s="16"/>
      <c r="Q209" s="16"/>
      <c r="R209" s="16"/>
      <c r="S209" s="16"/>
      <c r="T209" s="16"/>
      <c r="U209" s="16"/>
      <c r="V209" s="16"/>
      <c r="W209" s="15"/>
      <c r="X209" s="15"/>
      <c r="Y209" s="15"/>
      <c r="Z209" s="15"/>
    </row>
    <row r="210" customHeight="1" spans="1:26">
      <c r="A210" s="17"/>
      <c r="B210" s="15"/>
      <c r="C210" s="15"/>
      <c r="D210" s="15"/>
      <c r="E210" s="15"/>
      <c r="F210" s="15"/>
      <c r="G210" s="15"/>
      <c r="H210" s="16"/>
      <c r="I210" s="16"/>
      <c r="J210" s="16"/>
      <c r="K210" s="16"/>
      <c r="L210" s="16"/>
      <c r="M210" s="16"/>
      <c r="N210" s="16"/>
      <c r="O210" s="16"/>
      <c r="P210" s="16"/>
      <c r="Q210" s="16"/>
      <c r="R210" s="16"/>
      <c r="S210" s="16"/>
      <c r="T210" s="16"/>
      <c r="U210" s="16"/>
      <c r="V210" s="16"/>
      <c r="W210" s="15"/>
      <c r="X210" s="15"/>
      <c r="Y210" s="15"/>
      <c r="Z210" s="15"/>
    </row>
    <row r="211" customHeight="1" spans="1:26">
      <c r="A211" s="17"/>
      <c r="B211" s="15"/>
      <c r="C211" s="15"/>
      <c r="D211" s="15"/>
      <c r="E211" s="15"/>
      <c r="F211" s="15"/>
      <c r="G211" s="15"/>
      <c r="H211" s="16"/>
      <c r="I211" s="16"/>
      <c r="J211" s="16"/>
      <c r="K211" s="16"/>
      <c r="L211" s="16"/>
      <c r="M211" s="16"/>
      <c r="N211" s="16"/>
      <c r="O211" s="16"/>
      <c r="P211" s="16"/>
      <c r="Q211" s="16"/>
      <c r="R211" s="16"/>
      <c r="S211" s="16"/>
      <c r="T211" s="16"/>
      <c r="U211" s="16"/>
      <c r="V211" s="16"/>
      <c r="W211" s="15"/>
      <c r="X211" s="15"/>
      <c r="Y211" s="15"/>
      <c r="Z211" s="15"/>
    </row>
    <row r="212" customHeight="1" spans="1:26">
      <c r="A212" s="17"/>
      <c r="B212" s="15"/>
      <c r="C212" s="15"/>
      <c r="D212" s="15"/>
      <c r="E212" s="15"/>
      <c r="F212" s="15"/>
      <c r="G212" s="15"/>
      <c r="H212" s="16"/>
      <c r="I212" s="16"/>
      <c r="J212" s="16"/>
      <c r="K212" s="16"/>
      <c r="L212" s="16"/>
      <c r="M212" s="16"/>
      <c r="N212" s="16"/>
      <c r="O212" s="16"/>
      <c r="P212" s="16"/>
      <c r="Q212" s="16"/>
      <c r="R212" s="16"/>
      <c r="S212" s="16"/>
      <c r="T212" s="16"/>
      <c r="U212" s="16"/>
      <c r="V212" s="16"/>
      <c r="W212" s="15"/>
      <c r="X212" s="15"/>
      <c r="Y212" s="15"/>
      <c r="Z212" s="15"/>
    </row>
    <row r="213" customHeight="1" spans="1:26">
      <c r="A213" s="17"/>
      <c r="B213" s="15"/>
      <c r="C213" s="15"/>
      <c r="D213" s="15"/>
      <c r="E213" s="15"/>
      <c r="F213" s="15"/>
      <c r="G213" s="15"/>
      <c r="H213" s="16"/>
      <c r="I213" s="16"/>
      <c r="J213" s="16"/>
      <c r="K213" s="16"/>
      <c r="L213" s="16"/>
      <c r="M213" s="16"/>
      <c r="N213" s="16"/>
      <c r="O213" s="16"/>
      <c r="P213" s="16"/>
      <c r="Q213" s="16"/>
      <c r="R213" s="16"/>
      <c r="S213" s="16"/>
      <c r="T213" s="16"/>
      <c r="U213" s="16"/>
      <c r="V213" s="16"/>
      <c r="W213" s="15"/>
      <c r="X213" s="15"/>
      <c r="Y213" s="15"/>
      <c r="Z213" s="15"/>
    </row>
    <row r="214" customHeight="1" spans="1:26">
      <c r="A214" s="17"/>
      <c r="B214" s="15"/>
      <c r="C214" s="15"/>
      <c r="D214" s="15"/>
      <c r="E214" s="15"/>
      <c r="F214" s="15"/>
      <c r="G214" s="15"/>
      <c r="H214" s="16"/>
      <c r="I214" s="16"/>
      <c r="J214" s="16"/>
      <c r="K214" s="16"/>
      <c r="L214" s="16"/>
      <c r="M214" s="16"/>
      <c r="N214" s="16"/>
      <c r="O214" s="16"/>
      <c r="P214" s="16"/>
      <c r="Q214" s="16"/>
      <c r="R214" s="16"/>
      <c r="S214" s="16"/>
      <c r="T214" s="16"/>
      <c r="U214" s="16"/>
      <c r="V214" s="16"/>
      <c r="W214" s="15"/>
      <c r="X214" s="15"/>
      <c r="Y214" s="15"/>
      <c r="Z214" s="15"/>
    </row>
    <row r="215" customHeight="1" spans="1:26">
      <c r="A215" s="17"/>
      <c r="B215" s="15"/>
      <c r="C215" s="15"/>
      <c r="D215" s="15"/>
      <c r="E215" s="15"/>
      <c r="F215" s="15"/>
      <c r="G215" s="15"/>
      <c r="H215" s="16"/>
      <c r="I215" s="16"/>
      <c r="J215" s="16"/>
      <c r="K215" s="16"/>
      <c r="L215" s="16"/>
      <c r="M215" s="16"/>
      <c r="N215" s="16"/>
      <c r="O215" s="16"/>
      <c r="P215" s="16"/>
      <c r="Q215" s="16"/>
      <c r="R215" s="16"/>
      <c r="S215" s="16"/>
      <c r="T215" s="16"/>
      <c r="U215" s="16"/>
      <c r="V215" s="16"/>
      <c r="W215" s="15"/>
      <c r="X215" s="15"/>
      <c r="Y215" s="15"/>
      <c r="Z215" s="15"/>
    </row>
    <row r="216" customHeight="1" spans="1:26">
      <c r="A216" s="17"/>
      <c r="B216" s="15"/>
      <c r="C216" s="15"/>
      <c r="D216" s="15"/>
      <c r="E216" s="15"/>
      <c r="F216" s="15"/>
      <c r="G216" s="15"/>
      <c r="H216" s="16"/>
      <c r="I216" s="16"/>
      <c r="J216" s="16"/>
      <c r="K216" s="16"/>
      <c r="L216" s="16"/>
      <c r="M216" s="16"/>
      <c r="N216" s="16"/>
      <c r="O216" s="16"/>
      <c r="P216" s="16"/>
      <c r="Q216" s="16"/>
      <c r="R216" s="16"/>
      <c r="S216" s="16"/>
      <c r="T216" s="16"/>
      <c r="U216" s="16"/>
      <c r="V216" s="16"/>
      <c r="W216" s="15"/>
      <c r="X216" s="15"/>
      <c r="Y216" s="15"/>
      <c r="Z216" s="15"/>
    </row>
    <row r="217" customHeight="1" spans="1:26">
      <c r="A217" s="17"/>
      <c r="B217" s="15"/>
      <c r="C217" s="15"/>
      <c r="D217" s="15"/>
      <c r="E217" s="15"/>
      <c r="F217" s="15"/>
      <c r="G217" s="15"/>
      <c r="H217" s="16"/>
      <c r="I217" s="16"/>
      <c r="J217" s="16"/>
      <c r="K217" s="16"/>
      <c r="L217" s="16"/>
      <c r="M217" s="16"/>
      <c r="N217" s="16"/>
      <c r="O217" s="16"/>
      <c r="P217" s="16"/>
      <c r="Q217" s="16"/>
      <c r="R217" s="16"/>
      <c r="S217" s="16"/>
      <c r="T217" s="16"/>
      <c r="U217" s="16"/>
      <c r="V217" s="16"/>
      <c r="W217" s="15"/>
      <c r="X217" s="15"/>
      <c r="Y217" s="15"/>
      <c r="Z217" s="15"/>
    </row>
    <row r="218" customHeight="1" spans="1:26">
      <c r="A218" s="17"/>
      <c r="B218" s="15"/>
      <c r="C218" s="15"/>
      <c r="D218" s="15"/>
      <c r="E218" s="15"/>
      <c r="F218" s="15"/>
      <c r="G218" s="15"/>
      <c r="H218" s="16"/>
      <c r="I218" s="16"/>
      <c r="J218" s="16"/>
      <c r="K218" s="16"/>
      <c r="L218" s="16"/>
      <c r="M218" s="16"/>
      <c r="N218" s="16"/>
      <c r="O218" s="16"/>
      <c r="P218" s="16"/>
      <c r="Q218" s="16"/>
      <c r="R218" s="16"/>
      <c r="S218" s="16"/>
      <c r="T218" s="16"/>
      <c r="U218" s="16"/>
      <c r="V218" s="16"/>
      <c r="W218" s="15"/>
      <c r="X218" s="15"/>
      <c r="Y218" s="15"/>
      <c r="Z218" s="15"/>
    </row>
    <row r="219" customHeight="1" spans="1:26">
      <c r="A219" s="17"/>
      <c r="B219" s="15"/>
      <c r="C219" s="15"/>
      <c r="D219" s="15"/>
      <c r="E219" s="15"/>
      <c r="F219" s="15"/>
      <c r="G219" s="15"/>
      <c r="H219" s="16"/>
      <c r="I219" s="16"/>
      <c r="J219" s="16"/>
      <c r="K219" s="16"/>
      <c r="L219" s="16"/>
      <c r="M219" s="16"/>
      <c r="N219" s="16"/>
      <c r="O219" s="16"/>
      <c r="P219" s="16"/>
      <c r="Q219" s="16"/>
      <c r="R219" s="16"/>
      <c r="S219" s="16"/>
      <c r="T219" s="16"/>
      <c r="U219" s="16"/>
      <c r="V219" s="16"/>
      <c r="W219" s="15"/>
      <c r="X219" s="15"/>
      <c r="Y219" s="15"/>
      <c r="Z219" s="15"/>
    </row>
    <row r="220" customHeight="1" spans="1:26">
      <c r="A220" s="17"/>
      <c r="B220" s="15"/>
      <c r="C220" s="15"/>
      <c r="D220" s="15"/>
      <c r="E220" s="15"/>
      <c r="F220" s="15"/>
      <c r="G220" s="15"/>
      <c r="H220" s="16"/>
      <c r="I220" s="16"/>
      <c r="J220" s="16"/>
      <c r="K220" s="16"/>
      <c r="L220" s="16"/>
      <c r="M220" s="16"/>
      <c r="N220" s="16"/>
      <c r="O220" s="16"/>
      <c r="P220" s="16"/>
      <c r="Q220" s="16"/>
      <c r="R220" s="16"/>
      <c r="S220" s="16"/>
      <c r="T220" s="16"/>
      <c r="U220" s="16"/>
      <c r="V220" s="16"/>
      <c r="W220" s="15"/>
      <c r="X220" s="15"/>
      <c r="Y220" s="15"/>
      <c r="Z220" s="15"/>
    </row>
    <row r="221" customHeight="1" spans="1:26">
      <c r="A221" s="17"/>
      <c r="B221" s="15"/>
      <c r="C221" s="15"/>
      <c r="D221" s="15"/>
      <c r="E221" s="15"/>
      <c r="F221" s="15"/>
      <c r="G221" s="15"/>
      <c r="H221" s="16"/>
      <c r="I221" s="16"/>
      <c r="J221" s="16"/>
      <c r="K221" s="16"/>
      <c r="L221" s="16"/>
      <c r="M221" s="16"/>
      <c r="N221" s="16"/>
      <c r="O221" s="16"/>
      <c r="P221" s="16"/>
      <c r="Q221" s="16"/>
      <c r="R221" s="16"/>
      <c r="S221" s="16"/>
      <c r="T221" s="16"/>
      <c r="U221" s="16"/>
      <c r="V221" s="16"/>
      <c r="W221" s="15"/>
      <c r="X221" s="15"/>
      <c r="Y221" s="15"/>
      <c r="Z221" s="15"/>
    </row>
    <row r="222" customHeight="1" spans="1:26">
      <c r="A222" s="17"/>
      <c r="B222" s="15"/>
      <c r="C222" s="15"/>
      <c r="D222" s="15"/>
      <c r="E222" s="15"/>
      <c r="F222" s="15"/>
      <c r="G222" s="15"/>
      <c r="H222" s="16"/>
      <c r="I222" s="16"/>
      <c r="J222" s="16"/>
      <c r="K222" s="16"/>
      <c r="L222" s="16"/>
      <c r="M222" s="16"/>
      <c r="N222" s="16"/>
      <c r="O222" s="16"/>
      <c r="P222" s="16"/>
      <c r="Q222" s="16"/>
      <c r="R222" s="16"/>
      <c r="S222" s="16"/>
      <c r="T222" s="16"/>
      <c r="U222" s="16"/>
      <c r="V222" s="16"/>
      <c r="W222" s="15"/>
      <c r="X222" s="15"/>
      <c r="Y222" s="15"/>
      <c r="Z222" s="15"/>
    </row>
    <row r="223" customHeight="1" spans="1:26">
      <c r="A223" s="17"/>
      <c r="B223" s="15"/>
      <c r="C223" s="15"/>
      <c r="D223" s="15"/>
      <c r="E223" s="15"/>
      <c r="F223" s="15"/>
      <c r="G223" s="15"/>
      <c r="H223" s="16"/>
      <c r="I223" s="16"/>
      <c r="J223" s="16"/>
      <c r="K223" s="16"/>
      <c r="L223" s="16"/>
      <c r="M223" s="16"/>
      <c r="N223" s="16"/>
      <c r="O223" s="16"/>
      <c r="P223" s="16"/>
      <c r="Q223" s="16"/>
      <c r="R223" s="16"/>
      <c r="S223" s="16"/>
      <c r="T223" s="16"/>
      <c r="U223" s="16"/>
      <c r="V223" s="16"/>
      <c r="W223" s="15"/>
      <c r="X223" s="15"/>
      <c r="Y223" s="15"/>
      <c r="Z223" s="15"/>
    </row>
    <row r="224" customHeight="1" spans="1:26">
      <c r="A224" s="17"/>
      <c r="B224" s="15"/>
      <c r="C224" s="15"/>
      <c r="D224" s="15"/>
      <c r="E224" s="15"/>
      <c r="F224" s="15"/>
      <c r="G224" s="15"/>
      <c r="H224" s="16"/>
      <c r="I224" s="16"/>
      <c r="J224" s="16"/>
      <c r="K224" s="16"/>
      <c r="L224" s="16"/>
      <c r="M224" s="16"/>
      <c r="N224" s="16"/>
      <c r="O224" s="16"/>
      <c r="P224" s="16"/>
      <c r="Q224" s="16"/>
      <c r="R224" s="16"/>
      <c r="S224" s="16"/>
      <c r="T224" s="16"/>
      <c r="U224" s="16"/>
      <c r="V224" s="16"/>
      <c r="W224" s="15"/>
      <c r="X224" s="15"/>
      <c r="Y224" s="15"/>
      <c r="Z224" s="15"/>
    </row>
    <row r="225" customHeight="1" spans="1:26">
      <c r="A225" s="17"/>
      <c r="B225" s="15"/>
      <c r="C225" s="15"/>
      <c r="D225" s="15"/>
      <c r="E225" s="15"/>
      <c r="F225" s="15"/>
      <c r="G225" s="15"/>
      <c r="H225" s="16"/>
      <c r="I225" s="16"/>
      <c r="J225" s="16"/>
      <c r="K225" s="16"/>
      <c r="L225" s="16"/>
      <c r="M225" s="16"/>
      <c r="N225" s="16"/>
      <c r="O225" s="16"/>
      <c r="P225" s="16"/>
      <c r="Q225" s="16"/>
      <c r="R225" s="16"/>
      <c r="S225" s="16"/>
      <c r="T225" s="16"/>
      <c r="U225" s="16"/>
      <c r="V225" s="16"/>
      <c r="W225" s="15"/>
      <c r="X225" s="15"/>
      <c r="Y225" s="15"/>
      <c r="Z225" s="15"/>
    </row>
    <row r="226" customHeight="1" spans="1:26">
      <c r="A226" s="17"/>
      <c r="B226" s="15"/>
      <c r="C226" s="15"/>
      <c r="D226" s="15"/>
      <c r="E226" s="15"/>
      <c r="F226" s="15"/>
      <c r="G226" s="15"/>
      <c r="H226" s="16"/>
      <c r="I226" s="16"/>
      <c r="J226" s="16"/>
      <c r="K226" s="16"/>
      <c r="L226" s="16"/>
      <c r="M226" s="16"/>
      <c r="N226" s="16"/>
      <c r="O226" s="16"/>
      <c r="P226" s="16"/>
      <c r="Q226" s="16"/>
      <c r="R226" s="16"/>
      <c r="S226" s="16"/>
      <c r="T226" s="16"/>
      <c r="U226" s="16"/>
      <c r="V226" s="16"/>
      <c r="W226" s="15"/>
      <c r="X226" s="15"/>
      <c r="Y226" s="15"/>
      <c r="Z226" s="15"/>
    </row>
    <row r="227" customHeight="1" spans="1:26">
      <c r="A227" s="17"/>
      <c r="B227" s="15"/>
      <c r="C227" s="15"/>
      <c r="D227" s="15"/>
      <c r="E227" s="15"/>
      <c r="F227" s="15"/>
      <c r="G227" s="15"/>
      <c r="H227" s="16"/>
      <c r="I227" s="16"/>
      <c r="J227" s="16"/>
      <c r="K227" s="16"/>
      <c r="L227" s="16"/>
      <c r="M227" s="16"/>
      <c r="N227" s="16"/>
      <c r="O227" s="16"/>
      <c r="P227" s="16"/>
      <c r="Q227" s="16"/>
      <c r="R227" s="16"/>
      <c r="S227" s="16"/>
      <c r="T227" s="16"/>
      <c r="U227" s="16"/>
      <c r="V227" s="16"/>
      <c r="W227" s="15"/>
      <c r="X227" s="15"/>
      <c r="Y227" s="15"/>
      <c r="Z227" s="15"/>
    </row>
    <row r="228" customHeight="1" spans="1:26">
      <c r="A228" s="17"/>
      <c r="B228" s="15"/>
      <c r="C228" s="15"/>
      <c r="D228" s="15"/>
      <c r="E228" s="15"/>
      <c r="F228" s="15"/>
      <c r="G228" s="15"/>
      <c r="H228" s="16"/>
      <c r="I228" s="16"/>
      <c r="J228" s="16"/>
      <c r="K228" s="16"/>
      <c r="L228" s="16"/>
      <c r="M228" s="16"/>
      <c r="N228" s="16"/>
      <c r="O228" s="16"/>
      <c r="P228" s="16"/>
      <c r="Q228" s="16"/>
      <c r="R228" s="16"/>
      <c r="S228" s="16"/>
      <c r="T228" s="16"/>
      <c r="U228" s="16"/>
      <c r="V228" s="16"/>
      <c r="W228" s="15"/>
      <c r="X228" s="15"/>
      <c r="Y228" s="15"/>
      <c r="Z228" s="15"/>
    </row>
    <row r="229" customHeight="1" spans="1:26">
      <c r="A229" s="17"/>
      <c r="B229" s="15"/>
      <c r="C229" s="15"/>
      <c r="D229" s="15"/>
      <c r="E229" s="15"/>
      <c r="F229" s="15"/>
      <c r="G229" s="15"/>
      <c r="H229" s="16"/>
      <c r="I229" s="16"/>
      <c r="J229" s="16"/>
      <c r="K229" s="16"/>
      <c r="L229" s="16"/>
      <c r="M229" s="16"/>
      <c r="N229" s="16"/>
      <c r="O229" s="16"/>
      <c r="P229" s="16"/>
      <c r="Q229" s="16"/>
      <c r="R229" s="16"/>
      <c r="S229" s="16"/>
      <c r="T229" s="16"/>
      <c r="U229" s="16"/>
      <c r="V229" s="16"/>
      <c r="W229" s="15"/>
      <c r="X229" s="15"/>
      <c r="Y229" s="15"/>
      <c r="Z229" s="15"/>
    </row>
    <row r="230" customHeight="1" spans="1:26">
      <c r="A230" s="17"/>
      <c r="B230" s="15"/>
      <c r="C230" s="15"/>
      <c r="D230" s="15"/>
      <c r="E230" s="15"/>
      <c r="F230" s="15"/>
      <c r="G230" s="15"/>
      <c r="H230" s="16"/>
      <c r="I230" s="16"/>
      <c r="J230" s="16"/>
      <c r="K230" s="16"/>
      <c r="L230" s="16"/>
      <c r="M230" s="16"/>
      <c r="N230" s="16"/>
      <c r="O230" s="16"/>
      <c r="P230" s="16"/>
      <c r="Q230" s="16"/>
      <c r="R230" s="16"/>
      <c r="S230" s="16"/>
      <c r="T230" s="16"/>
      <c r="U230" s="16"/>
      <c r="V230" s="16"/>
      <c r="W230" s="15"/>
      <c r="X230" s="15"/>
      <c r="Y230" s="15"/>
      <c r="Z230" s="15"/>
    </row>
    <row r="231" customHeight="1" spans="1:26">
      <c r="A231" s="17"/>
      <c r="B231" s="15"/>
      <c r="C231" s="15"/>
      <c r="D231" s="15"/>
      <c r="E231" s="15"/>
      <c r="F231" s="15"/>
      <c r="G231" s="15"/>
      <c r="H231" s="16"/>
      <c r="I231" s="16"/>
      <c r="J231" s="16"/>
      <c r="K231" s="16"/>
      <c r="L231" s="16"/>
      <c r="M231" s="16"/>
      <c r="N231" s="16"/>
      <c r="O231" s="16"/>
      <c r="P231" s="16"/>
      <c r="Q231" s="16"/>
      <c r="R231" s="16"/>
      <c r="S231" s="16"/>
      <c r="T231" s="16"/>
      <c r="U231" s="16"/>
      <c r="V231" s="16"/>
      <c r="W231" s="15"/>
      <c r="X231" s="15"/>
      <c r="Y231" s="15"/>
      <c r="Z231" s="15"/>
    </row>
    <row r="232" customHeight="1" spans="1:26">
      <c r="A232" s="17"/>
      <c r="B232" s="15"/>
      <c r="C232" s="15"/>
      <c r="D232" s="15"/>
      <c r="E232" s="15"/>
      <c r="F232" s="15"/>
      <c r="G232" s="15"/>
      <c r="H232" s="16"/>
      <c r="I232" s="16"/>
      <c r="J232" s="16"/>
      <c r="K232" s="16"/>
      <c r="L232" s="16"/>
      <c r="M232" s="16"/>
      <c r="N232" s="16"/>
      <c r="O232" s="16"/>
      <c r="P232" s="16"/>
      <c r="Q232" s="16"/>
      <c r="R232" s="16"/>
      <c r="S232" s="16"/>
      <c r="T232" s="16"/>
      <c r="U232" s="16"/>
      <c r="V232" s="16"/>
      <c r="W232" s="15"/>
      <c r="X232" s="15"/>
      <c r="Y232" s="15"/>
      <c r="Z232" s="15"/>
    </row>
    <row r="233" customHeight="1" spans="1:26">
      <c r="A233" s="17"/>
      <c r="B233" s="15"/>
      <c r="C233" s="15"/>
      <c r="D233" s="15"/>
      <c r="E233" s="15"/>
      <c r="F233" s="15"/>
      <c r="G233" s="15"/>
      <c r="H233" s="16"/>
      <c r="I233" s="16"/>
      <c r="J233" s="16"/>
      <c r="K233" s="16"/>
      <c r="L233" s="16"/>
      <c r="M233" s="16"/>
      <c r="N233" s="16"/>
      <c r="O233" s="16"/>
      <c r="P233" s="16"/>
      <c r="Q233" s="16"/>
      <c r="R233" s="16"/>
      <c r="S233" s="16"/>
      <c r="T233" s="16"/>
      <c r="U233" s="16"/>
      <c r="V233" s="16"/>
      <c r="W233" s="15"/>
      <c r="X233" s="15"/>
      <c r="Y233" s="15"/>
      <c r="Z233" s="15"/>
    </row>
    <row r="234" customHeight="1" spans="1:26">
      <c r="A234" s="17"/>
      <c r="B234" s="15"/>
      <c r="C234" s="15"/>
      <c r="D234" s="15"/>
      <c r="E234" s="15"/>
      <c r="F234" s="15"/>
      <c r="G234" s="15"/>
      <c r="H234" s="16"/>
      <c r="I234" s="16"/>
      <c r="J234" s="16"/>
      <c r="K234" s="16"/>
      <c r="L234" s="16"/>
      <c r="M234" s="16"/>
      <c r="N234" s="16"/>
      <c r="O234" s="16"/>
      <c r="P234" s="16"/>
      <c r="Q234" s="16"/>
      <c r="R234" s="16"/>
      <c r="S234" s="16"/>
      <c r="T234" s="16"/>
      <c r="U234" s="16"/>
      <c r="V234" s="16"/>
      <c r="W234" s="15"/>
      <c r="X234" s="15"/>
      <c r="Y234" s="15"/>
      <c r="Z234" s="15"/>
    </row>
    <row r="235" customHeight="1" spans="1:26">
      <c r="A235" s="17"/>
      <c r="B235" s="15"/>
      <c r="C235" s="15"/>
      <c r="D235" s="15"/>
      <c r="E235" s="15"/>
      <c r="F235" s="15"/>
      <c r="G235" s="15"/>
      <c r="H235" s="16"/>
      <c r="I235" s="16"/>
      <c r="J235" s="16"/>
      <c r="K235" s="16"/>
      <c r="L235" s="16"/>
      <c r="M235" s="16"/>
      <c r="N235" s="16"/>
      <c r="O235" s="16"/>
      <c r="P235" s="16"/>
      <c r="Q235" s="16"/>
      <c r="R235" s="16"/>
      <c r="S235" s="16"/>
      <c r="T235" s="16"/>
      <c r="U235" s="16"/>
      <c r="V235" s="16"/>
      <c r="W235" s="15"/>
      <c r="X235" s="15"/>
      <c r="Y235" s="15"/>
      <c r="Z235" s="15"/>
    </row>
    <row r="236" customHeight="1" spans="1:26">
      <c r="A236" s="17"/>
      <c r="B236" s="15"/>
      <c r="C236" s="15"/>
      <c r="D236" s="15"/>
      <c r="E236" s="15"/>
      <c r="F236" s="15"/>
      <c r="G236" s="15"/>
      <c r="H236" s="16"/>
      <c r="I236" s="16"/>
      <c r="J236" s="16"/>
      <c r="K236" s="16"/>
      <c r="L236" s="16"/>
      <c r="M236" s="16"/>
      <c r="N236" s="16"/>
      <c r="O236" s="16"/>
      <c r="P236" s="16"/>
      <c r="Q236" s="16"/>
      <c r="R236" s="16"/>
      <c r="S236" s="16"/>
      <c r="T236" s="16"/>
      <c r="U236" s="16"/>
      <c r="V236" s="16"/>
      <c r="W236" s="15"/>
      <c r="X236" s="15"/>
      <c r="Y236" s="15"/>
      <c r="Z236" s="15"/>
    </row>
    <row r="237" customHeight="1" spans="1:26">
      <c r="A237" s="17"/>
      <c r="B237" s="15"/>
      <c r="C237" s="15"/>
      <c r="D237" s="15"/>
      <c r="E237" s="15"/>
      <c r="F237" s="15"/>
      <c r="G237" s="15"/>
      <c r="H237" s="16"/>
      <c r="I237" s="16"/>
      <c r="J237" s="16"/>
      <c r="K237" s="16"/>
      <c r="L237" s="16"/>
      <c r="M237" s="16"/>
      <c r="N237" s="16"/>
      <c r="O237" s="16"/>
      <c r="P237" s="16"/>
      <c r="Q237" s="16"/>
      <c r="R237" s="16"/>
      <c r="S237" s="16"/>
      <c r="T237" s="16"/>
      <c r="U237" s="16"/>
      <c r="V237" s="16"/>
      <c r="W237" s="15"/>
      <c r="X237" s="15"/>
      <c r="Y237" s="15"/>
      <c r="Z237" s="15"/>
    </row>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row r="1001" ht="13.2"/>
  </sheetData>
  <mergeCells count="24">
    <mergeCell ref="H2:I2"/>
    <mergeCell ref="J2:K2"/>
    <mergeCell ref="L2:M2"/>
    <mergeCell ref="H10:L10"/>
    <mergeCell ref="M10:Q10"/>
    <mergeCell ref="R10:V10"/>
    <mergeCell ref="H11:J11"/>
    <mergeCell ref="M11:O11"/>
    <mergeCell ref="R11:T11"/>
    <mergeCell ref="A10:A12"/>
    <mergeCell ref="B10:B12"/>
    <mergeCell ref="C10:C12"/>
    <mergeCell ref="D10:D12"/>
    <mergeCell ref="E10:E12"/>
    <mergeCell ref="F10:F12"/>
    <mergeCell ref="G10:G12"/>
    <mergeCell ref="K11:K12"/>
    <mergeCell ref="L11:L12"/>
    <mergeCell ref="N2:N3"/>
    <mergeCell ref="P11:P12"/>
    <mergeCell ref="Q11:Q12"/>
    <mergeCell ref="U11:U12"/>
    <mergeCell ref="V11:V12"/>
    <mergeCell ref="W10:W12"/>
  </mergeCells>
  <dataValidations count="1">
    <dataValidation type="list" allowBlank="1" showErrorMessage="1" sqref="H13:I37 R13:S37 M13:N37">
      <formula1>"Passed,Failed,Blocked,Not Run"</formula1>
    </dataValidation>
  </dataValidation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showGridLines="0" workbookViewId="0">
      <selection activeCell="A1" sqref="A1"/>
    </sheetView>
  </sheetViews>
  <sheetFormatPr defaultColWidth="12.6296296296296" defaultRowHeight="15.75" customHeight="1"/>
  <cols>
    <col min="1" max="1" width="2.75" customWidth="1"/>
    <col min="2" max="2" width="6.37962962962963" customWidth="1"/>
    <col min="3" max="5" width="37.6296296296296" customWidth="1"/>
    <col min="6" max="25" width="11.8796296296296" customWidth="1"/>
  </cols>
  <sheetData>
    <row r="1" customHeight="1" spans="1:26">
      <c r="A1" s="1"/>
      <c r="B1" s="1"/>
      <c r="C1" s="2"/>
      <c r="D1" s="2"/>
      <c r="E1" s="3"/>
      <c r="F1" s="1"/>
      <c r="G1" s="1"/>
      <c r="H1" s="1"/>
      <c r="I1" s="1"/>
      <c r="J1" s="1"/>
      <c r="K1" s="1"/>
      <c r="L1" s="1"/>
      <c r="M1" s="1"/>
      <c r="N1" s="1"/>
      <c r="O1" s="1"/>
      <c r="P1" s="1"/>
      <c r="Q1" s="1"/>
      <c r="R1" s="1"/>
      <c r="S1" s="1"/>
      <c r="T1" s="1"/>
      <c r="U1" s="1"/>
      <c r="V1" s="1"/>
      <c r="W1" s="1"/>
      <c r="X1" s="1"/>
      <c r="Y1" s="1"/>
      <c r="Z1" s="1"/>
    </row>
    <row r="2" ht="22.5" customHeight="1" spans="1:26">
      <c r="A2" s="1"/>
      <c r="B2" s="4" t="s">
        <v>771</v>
      </c>
      <c r="F2" s="1"/>
      <c r="G2" s="1"/>
      <c r="H2" s="1"/>
      <c r="I2" s="1"/>
      <c r="J2" s="1"/>
      <c r="K2" s="1"/>
      <c r="L2" s="1"/>
      <c r="M2" s="1"/>
      <c r="N2" s="1"/>
      <c r="O2" s="1"/>
      <c r="P2" s="1"/>
      <c r="Q2" s="1"/>
      <c r="R2" s="1"/>
      <c r="S2" s="1"/>
      <c r="T2" s="1"/>
      <c r="U2" s="1"/>
      <c r="V2" s="1"/>
      <c r="W2" s="1"/>
      <c r="X2" s="1"/>
      <c r="Y2" s="1"/>
      <c r="Z2" s="1"/>
    </row>
    <row r="3" customHeight="1" spans="1:26">
      <c r="A3" s="1"/>
      <c r="B3" s="5" t="s">
        <v>772</v>
      </c>
      <c r="F3" s="1"/>
      <c r="G3" s="1"/>
      <c r="H3" s="1"/>
      <c r="I3" s="1"/>
      <c r="J3" s="1"/>
      <c r="K3" s="1"/>
      <c r="L3" s="1"/>
      <c r="M3" s="1"/>
      <c r="N3" s="1"/>
      <c r="O3" s="1"/>
      <c r="P3" s="1"/>
      <c r="Q3" s="1"/>
      <c r="R3" s="1"/>
      <c r="S3" s="1"/>
      <c r="T3" s="1"/>
      <c r="U3" s="1"/>
      <c r="V3" s="1"/>
      <c r="W3" s="1"/>
      <c r="X3" s="1"/>
      <c r="Y3" s="1"/>
      <c r="Z3" s="1"/>
    </row>
    <row r="4" customHeight="1" spans="1:26">
      <c r="A4" s="1"/>
      <c r="B4" s="1"/>
      <c r="C4" s="2"/>
      <c r="D4" s="2"/>
      <c r="E4" s="3"/>
      <c r="F4" s="1"/>
      <c r="G4" s="1"/>
      <c r="H4" s="1"/>
      <c r="I4" s="1"/>
      <c r="J4" s="1"/>
      <c r="K4" s="1"/>
      <c r="L4" s="1"/>
      <c r="M4" s="1"/>
      <c r="N4" s="1"/>
      <c r="O4" s="1"/>
      <c r="P4" s="1"/>
      <c r="Q4" s="1"/>
      <c r="R4" s="1"/>
      <c r="S4" s="1"/>
      <c r="T4" s="1"/>
      <c r="U4" s="1"/>
      <c r="V4" s="1"/>
      <c r="W4" s="1"/>
      <c r="X4" s="1"/>
      <c r="Y4" s="1"/>
      <c r="Z4" s="1"/>
    </row>
    <row r="5" ht="22.5" customHeight="1" spans="1:26">
      <c r="A5" s="1"/>
      <c r="B5" s="6" t="s">
        <v>22</v>
      </c>
      <c r="C5" s="7" t="s">
        <v>773</v>
      </c>
      <c r="D5" s="7" t="s">
        <v>774</v>
      </c>
      <c r="E5" s="6" t="s">
        <v>29</v>
      </c>
      <c r="F5" s="1"/>
      <c r="G5" s="1"/>
      <c r="H5" s="1"/>
      <c r="I5" s="1"/>
      <c r="J5" s="1"/>
      <c r="K5" s="1"/>
      <c r="L5" s="1"/>
      <c r="M5" s="1"/>
      <c r="N5" s="1"/>
      <c r="O5" s="1"/>
      <c r="P5" s="1"/>
      <c r="Q5" s="1"/>
      <c r="R5" s="1"/>
      <c r="S5" s="1"/>
      <c r="T5" s="1"/>
      <c r="U5" s="1"/>
      <c r="V5" s="1"/>
      <c r="W5" s="1"/>
      <c r="X5" s="1"/>
      <c r="Y5" s="1"/>
      <c r="Z5" s="1"/>
    </row>
    <row r="6" customHeight="1" spans="1:26">
      <c r="A6" s="1"/>
      <c r="B6" s="8">
        <v>1</v>
      </c>
      <c r="C6" s="9" t="s">
        <v>22</v>
      </c>
      <c r="D6" s="9" t="s">
        <v>775</v>
      </c>
      <c r="E6" s="10" t="s">
        <v>776</v>
      </c>
      <c r="F6" s="1"/>
      <c r="G6" s="1"/>
      <c r="H6" s="1"/>
      <c r="I6" s="1"/>
      <c r="J6" s="1"/>
      <c r="K6" s="1"/>
      <c r="L6" s="1"/>
      <c r="M6" s="1"/>
      <c r="N6" s="1"/>
      <c r="O6" s="1"/>
      <c r="P6" s="1"/>
      <c r="Q6" s="1"/>
      <c r="R6" s="1"/>
      <c r="S6" s="1"/>
      <c r="T6" s="1"/>
      <c r="U6" s="1"/>
      <c r="V6" s="1"/>
      <c r="W6" s="1"/>
      <c r="X6" s="1"/>
      <c r="Y6" s="1"/>
      <c r="Z6" s="1"/>
    </row>
    <row r="7" customHeight="1" spans="1:26">
      <c r="A7" s="1"/>
      <c r="B7" s="8">
        <v>2</v>
      </c>
      <c r="C7" s="9" t="s">
        <v>777</v>
      </c>
      <c r="D7" s="9" t="s">
        <v>12</v>
      </c>
      <c r="E7" s="10"/>
      <c r="F7" s="1"/>
      <c r="G7" s="1"/>
      <c r="H7" s="1"/>
      <c r="I7" s="1"/>
      <c r="J7" s="1"/>
      <c r="K7" s="1"/>
      <c r="L7" s="1"/>
      <c r="M7" s="1"/>
      <c r="N7" s="1"/>
      <c r="O7" s="1"/>
      <c r="P7" s="1"/>
      <c r="Q7" s="1"/>
      <c r="R7" s="1"/>
      <c r="S7" s="1"/>
      <c r="T7" s="1"/>
      <c r="U7" s="1"/>
      <c r="V7" s="1"/>
      <c r="W7" s="1"/>
      <c r="X7" s="1"/>
      <c r="Y7" s="1"/>
      <c r="Z7" s="1"/>
    </row>
    <row r="8" customHeight="1" spans="1:26">
      <c r="A8" s="1"/>
      <c r="B8" s="8">
        <v>3</v>
      </c>
      <c r="C8" s="9" t="s">
        <v>778</v>
      </c>
      <c r="D8" s="9" t="s">
        <v>14</v>
      </c>
      <c r="E8" s="10"/>
      <c r="F8" s="1"/>
      <c r="G8" s="1"/>
      <c r="H8" s="1"/>
      <c r="I8" s="1"/>
      <c r="J8" s="1"/>
      <c r="K8" s="1"/>
      <c r="L8" s="1"/>
      <c r="M8" s="1"/>
      <c r="N8" s="1"/>
      <c r="O8" s="1"/>
      <c r="P8" s="1"/>
      <c r="Q8" s="1"/>
      <c r="R8" s="1"/>
      <c r="S8" s="1"/>
      <c r="T8" s="1"/>
      <c r="U8" s="1"/>
      <c r="V8" s="1"/>
      <c r="W8" s="1"/>
      <c r="X8" s="1"/>
      <c r="Y8" s="1"/>
      <c r="Z8" s="1"/>
    </row>
    <row r="9" customHeight="1" spans="1:26">
      <c r="A9" s="1"/>
      <c r="B9" s="8">
        <v>4</v>
      </c>
      <c r="C9" s="9" t="s">
        <v>779</v>
      </c>
      <c r="D9" s="9" t="s">
        <v>780</v>
      </c>
      <c r="E9" s="10"/>
      <c r="F9" s="1"/>
      <c r="G9" s="1"/>
      <c r="H9" s="1"/>
      <c r="I9" s="1"/>
      <c r="J9" s="1"/>
      <c r="K9" s="1"/>
      <c r="L9" s="1"/>
      <c r="M9" s="1"/>
      <c r="N9" s="1"/>
      <c r="O9" s="1"/>
      <c r="P9" s="1"/>
      <c r="Q9" s="1"/>
      <c r="R9" s="1"/>
      <c r="S9" s="1"/>
      <c r="T9" s="1"/>
      <c r="U9" s="1"/>
      <c r="V9" s="1"/>
      <c r="W9" s="1"/>
      <c r="X9" s="1"/>
      <c r="Y9" s="1"/>
      <c r="Z9" s="1"/>
    </row>
    <row r="10" customHeight="1" spans="1:26">
      <c r="A10" s="1"/>
      <c r="B10" s="8">
        <v>5</v>
      </c>
      <c r="C10" s="9" t="s">
        <v>781</v>
      </c>
      <c r="D10" s="9" t="s">
        <v>782</v>
      </c>
      <c r="E10" s="10" t="s">
        <v>783</v>
      </c>
      <c r="F10" s="1"/>
      <c r="G10" s="1"/>
      <c r="H10" s="1"/>
      <c r="I10" s="1"/>
      <c r="J10" s="1"/>
      <c r="K10" s="1"/>
      <c r="L10" s="1"/>
      <c r="M10" s="1"/>
      <c r="N10" s="1"/>
      <c r="O10" s="1"/>
      <c r="P10" s="1"/>
      <c r="Q10" s="1"/>
      <c r="R10" s="1"/>
      <c r="S10" s="1"/>
      <c r="T10" s="1"/>
      <c r="U10" s="1"/>
      <c r="V10" s="1"/>
      <c r="W10" s="1"/>
      <c r="X10" s="1"/>
      <c r="Y10" s="1"/>
      <c r="Z10" s="1"/>
    </row>
    <row r="11" ht="25.5" customHeight="1" spans="1:26">
      <c r="A11" s="1"/>
      <c r="B11" s="8">
        <v>6</v>
      </c>
      <c r="C11" s="9" t="s">
        <v>89</v>
      </c>
      <c r="D11" s="9" t="s">
        <v>784</v>
      </c>
      <c r="E11" s="10" t="s">
        <v>785</v>
      </c>
      <c r="F11" s="1"/>
      <c r="G11" s="1"/>
      <c r="H11" s="1"/>
      <c r="I11" s="1"/>
      <c r="J11" s="1"/>
      <c r="K11" s="1"/>
      <c r="L11" s="1"/>
      <c r="M11" s="1"/>
      <c r="N11" s="1"/>
      <c r="O11" s="1"/>
      <c r="P11" s="1"/>
      <c r="Q11" s="1"/>
      <c r="R11" s="1"/>
      <c r="S11" s="1"/>
      <c r="T11" s="1"/>
      <c r="U11" s="1"/>
      <c r="V11" s="1"/>
      <c r="W11" s="1"/>
      <c r="X11" s="1"/>
      <c r="Y11" s="1"/>
      <c r="Z11" s="1"/>
    </row>
    <row r="12" customHeight="1" spans="1:26">
      <c r="A12" s="1"/>
      <c r="B12" s="8">
        <v>7</v>
      </c>
      <c r="C12" s="9" t="s">
        <v>90</v>
      </c>
      <c r="D12" s="9" t="s">
        <v>786</v>
      </c>
      <c r="E12" s="9" t="s">
        <v>787</v>
      </c>
      <c r="F12" s="1"/>
      <c r="G12" s="1"/>
      <c r="H12" s="1"/>
      <c r="I12" s="1"/>
      <c r="J12" s="1"/>
      <c r="K12" s="1"/>
      <c r="L12" s="1"/>
      <c r="M12" s="1"/>
      <c r="N12" s="1"/>
      <c r="O12" s="1"/>
      <c r="P12" s="1"/>
      <c r="Q12" s="1"/>
      <c r="R12" s="1"/>
      <c r="S12" s="1"/>
      <c r="T12" s="1"/>
      <c r="U12" s="1"/>
      <c r="V12" s="1"/>
      <c r="W12" s="1"/>
      <c r="X12" s="1"/>
      <c r="Y12" s="1"/>
      <c r="Z12" s="1"/>
    </row>
    <row r="13" customHeight="1" spans="1:26">
      <c r="A13" s="1"/>
      <c r="B13" s="8">
        <v>8</v>
      </c>
      <c r="C13" s="9" t="s">
        <v>788</v>
      </c>
      <c r="D13" s="9" t="s">
        <v>789</v>
      </c>
      <c r="E13" s="10" t="s">
        <v>790</v>
      </c>
      <c r="F13" s="1"/>
      <c r="G13" s="1"/>
      <c r="H13" s="1"/>
      <c r="I13" s="1"/>
      <c r="J13" s="1"/>
      <c r="K13" s="1"/>
      <c r="L13" s="1"/>
      <c r="M13" s="1"/>
      <c r="N13" s="1"/>
      <c r="O13" s="1"/>
      <c r="P13" s="1"/>
      <c r="Q13" s="1"/>
      <c r="R13" s="1"/>
      <c r="S13" s="1"/>
      <c r="T13" s="1"/>
      <c r="U13" s="1"/>
      <c r="V13" s="1"/>
      <c r="W13" s="1"/>
      <c r="X13" s="1"/>
      <c r="Y13" s="1"/>
      <c r="Z13" s="1"/>
    </row>
    <row r="14" customHeight="1" spans="1:26">
      <c r="A14" s="1"/>
      <c r="B14" s="8">
        <v>9</v>
      </c>
      <c r="C14" s="9" t="s">
        <v>62</v>
      </c>
      <c r="D14" s="9" t="s">
        <v>791</v>
      </c>
      <c r="E14" s="9" t="s">
        <v>792</v>
      </c>
      <c r="F14" s="1"/>
      <c r="G14" s="1"/>
      <c r="H14" s="1"/>
      <c r="I14" s="1"/>
      <c r="J14" s="1"/>
      <c r="K14" s="1"/>
      <c r="L14" s="1"/>
      <c r="M14" s="1"/>
      <c r="N14" s="1"/>
      <c r="O14" s="1"/>
      <c r="P14" s="1"/>
      <c r="Q14" s="1"/>
      <c r="R14" s="1"/>
      <c r="S14" s="1"/>
      <c r="T14" s="1"/>
      <c r="U14" s="1"/>
      <c r="V14" s="1"/>
      <c r="W14" s="1"/>
      <c r="X14" s="1"/>
      <c r="Y14" s="1"/>
      <c r="Z14" s="1"/>
    </row>
    <row r="15" customHeight="1" spans="1:26">
      <c r="A15" s="1"/>
      <c r="B15" s="8">
        <v>10</v>
      </c>
      <c r="C15" s="9" t="s">
        <v>793</v>
      </c>
      <c r="D15" s="9" t="s">
        <v>794</v>
      </c>
      <c r="E15" s="9" t="s">
        <v>795</v>
      </c>
      <c r="F15" s="1"/>
      <c r="G15" s="1"/>
      <c r="H15" s="1"/>
      <c r="I15" s="1"/>
      <c r="J15" s="1"/>
      <c r="K15" s="1"/>
      <c r="L15" s="1"/>
      <c r="M15" s="1"/>
      <c r="N15" s="1"/>
      <c r="O15" s="1"/>
      <c r="P15" s="1"/>
      <c r="Q15" s="1"/>
      <c r="R15" s="1"/>
      <c r="S15" s="1"/>
      <c r="T15" s="1"/>
      <c r="U15" s="1"/>
      <c r="V15" s="1"/>
      <c r="W15" s="1"/>
      <c r="X15" s="1"/>
      <c r="Y15" s="1"/>
      <c r="Z15" s="1"/>
    </row>
    <row r="16" customHeight="1" spans="1:26">
      <c r="A16" s="1"/>
      <c r="B16" s="8">
        <v>11</v>
      </c>
      <c r="C16" s="9" t="s">
        <v>101</v>
      </c>
      <c r="D16" s="9" t="s">
        <v>796</v>
      </c>
      <c r="E16" s="9" t="s">
        <v>797</v>
      </c>
      <c r="F16" s="1"/>
      <c r="G16" s="1"/>
      <c r="H16" s="1"/>
      <c r="I16" s="1"/>
      <c r="J16" s="1"/>
      <c r="K16" s="1"/>
      <c r="L16" s="1"/>
      <c r="M16" s="1"/>
      <c r="N16" s="1"/>
      <c r="O16" s="1"/>
      <c r="P16" s="1"/>
      <c r="Q16" s="1"/>
      <c r="R16" s="1"/>
      <c r="S16" s="1"/>
      <c r="T16" s="1"/>
      <c r="U16" s="1"/>
      <c r="V16" s="1"/>
      <c r="W16" s="1"/>
      <c r="X16" s="1"/>
      <c r="Y16" s="1"/>
      <c r="Z16" s="1"/>
    </row>
    <row r="17" customHeight="1" spans="1:26">
      <c r="A17" s="1"/>
      <c r="B17" s="8">
        <v>12</v>
      </c>
      <c r="C17" s="9" t="s">
        <v>102</v>
      </c>
      <c r="D17" s="9" t="s">
        <v>798</v>
      </c>
      <c r="E17" s="9" t="s">
        <v>799</v>
      </c>
      <c r="F17" s="1"/>
      <c r="G17" s="1"/>
      <c r="H17" s="1"/>
      <c r="I17" s="1"/>
      <c r="J17" s="1"/>
      <c r="K17" s="1"/>
      <c r="L17" s="1"/>
      <c r="M17" s="1"/>
      <c r="N17" s="1"/>
      <c r="O17" s="1"/>
      <c r="P17" s="1"/>
      <c r="Q17" s="1"/>
      <c r="R17" s="1"/>
      <c r="S17" s="1"/>
      <c r="T17" s="1"/>
      <c r="U17" s="1"/>
      <c r="V17" s="1"/>
      <c r="W17" s="1"/>
      <c r="X17" s="1"/>
      <c r="Y17" s="1"/>
      <c r="Z17" s="1"/>
    </row>
    <row r="18" customHeight="1" spans="1:26">
      <c r="A18" s="1"/>
      <c r="B18" s="8">
        <v>13</v>
      </c>
      <c r="C18" s="9" t="s">
        <v>103</v>
      </c>
      <c r="D18" s="9" t="s">
        <v>800</v>
      </c>
      <c r="E18" s="9" t="s">
        <v>801</v>
      </c>
      <c r="F18" s="1"/>
      <c r="G18" s="1"/>
      <c r="H18" s="1"/>
      <c r="I18" s="1"/>
      <c r="J18" s="1"/>
      <c r="K18" s="1"/>
      <c r="L18" s="1"/>
      <c r="M18" s="1"/>
      <c r="N18" s="1"/>
      <c r="O18" s="1"/>
      <c r="P18" s="1"/>
      <c r="Q18" s="1"/>
      <c r="R18" s="1"/>
      <c r="S18" s="1"/>
      <c r="T18" s="1"/>
      <c r="U18" s="1"/>
      <c r="V18" s="1"/>
      <c r="W18" s="1"/>
      <c r="X18" s="1"/>
      <c r="Y18" s="1"/>
      <c r="Z18" s="1"/>
    </row>
    <row r="19" customHeight="1" spans="1:26">
      <c r="A19" s="1"/>
      <c r="B19" s="8">
        <v>14</v>
      </c>
      <c r="C19" s="9" t="s">
        <v>104</v>
      </c>
      <c r="D19" s="9" t="s">
        <v>802</v>
      </c>
      <c r="E19" s="9"/>
      <c r="F19" s="1"/>
      <c r="G19" s="1"/>
      <c r="H19" s="1"/>
      <c r="I19" s="1"/>
      <c r="J19" s="1"/>
      <c r="K19" s="1"/>
      <c r="L19" s="1"/>
      <c r="M19" s="1"/>
      <c r="N19" s="1"/>
      <c r="O19" s="1"/>
      <c r="P19" s="1"/>
      <c r="Q19" s="1"/>
      <c r="R19" s="1"/>
      <c r="S19" s="1"/>
      <c r="T19" s="1"/>
      <c r="U19" s="1"/>
      <c r="V19" s="1"/>
      <c r="W19" s="1"/>
      <c r="X19" s="1"/>
      <c r="Y19" s="1"/>
      <c r="Z19" s="1"/>
    </row>
    <row r="20" customHeight="1" spans="1:26">
      <c r="A20" s="1"/>
      <c r="B20" s="8">
        <v>15</v>
      </c>
      <c r="C20" s="9" t="s">
        <v>105</v>
      </c>
      <c r="D20" s="9" t="s">
        <v>803</v>
      </c>
      <c r="E20" s="9"/>
      <c r="F20" s="1"/>
      <c r="G20" s="1"/>
      <c r="H20" s="1"/>
      <c r="I20" s="1"/>
      <c r="J20" s="1"/>
      <c r="K20" s="1"/>
      <c r="L20" s="1"/>
      <c r="M20" s="1"/>
      <c r="N20" s="1"/>
      <c r="O20" s="1"/>
      <c r="P20" s="1"/>
      <c r="Q20" s="1"/>
      <c r="R20" s="1"/>
      <c r="S20" s="1"/>
      <c r="T20" s="1"/>
      <c r="U20" s="1"/>
      <c r="V20" s="1"/>
      <c r="W20" s="1"/>
      <c r="X20" s="1"/>
      <c r="Y20" s="1"/>
      <c r="Z20" s="1"/>
    </row>
    <row r="21" customHeight="1" spans="1:26">
      <c r="A21" s="1"/>
      <c r="B21" s="8">
        <v>16</v>
      </c>
      <c r="C21" s="9" t="s">
        <v>106</v>
      </c>
      <c r="D21" s="9" t="s">
        <v>804</v>
      </c>
      <c r="E21" s="9"/>
      <c r="F21" s="1"/>
      <c r="G21" s="1"/>
      <c r="H21" s="1"/>
      <c r="I21" s="1"/>
      <c r="J21" s="1"/>
      <c r="K21" s="1"/>
      <c r="L21" s="1"/>
      <c r="M21" s="1"/>
      <c r="N21" s="1"/>
      <c r="O21" s="1"/>
      <c r="P21" s="1"/>
      <c r="Q21" s="1"/>
      <c r="R21" s="1"/>
      <c r="S21" s="1"/>
      <c r="T21" s="1"/>
      <c r="U21" s="1"/>
      <c r="V21" s="1"/>
      <c r="W21" s="1"/>
      <c r="X21" s="1"/>
      <c r="Y21" s="1"/>
      <c r="Z21" s="1"/>
    </row>
    <row r="22" customHeight="1" spans="1:26">
      <c r="A22" s="1"/>
      <c r="B22" s="8">
        <v>17</v>
      </c>
      <c r="C22" s="9" t="s">
        <v>107</v>
      </c>
      <c r="D22" s="9" t="s">
        <v>805</v>
      </c>
      <c r="E22" s="9" t="s">
        <v>806</v>
      </c>
      <c r="F22" s="1"/>
      <c r="G22" s="1"/>
      <c r="H22" s="1"/>
      <c r="I22" s="1"/>
      <c r="J22" s="1"/>
      <c r="K22" s="1"/>
      <c r="L22" s="1"/>
      <c r="M22" s="1"/>
      <c r="N22" s="1"/>
      <c r="O22" s="1"/>
      <c r="P22" s="1"/>
      <c r="Q22" s="1"/>
      <c r="R22" s="1"/>
      <c r="S22" s="1"/>
      <c r="T22" s="1"/>
      <c r="U22" s="1"/>
      <c r="V22" s="1"/>
      <c r="W22" s="1"/>
      <c r="X22" s="1"/>
      <c r="Y22" s="1"/>
      <c r="Z22" s="1"/>
    </row>
    <row r="23" customHeight="1" spans="1:26">
      <c r="A23" s="1"/>
      <c r="B23" s="8">
        <v>18</v>
      </c>
      <c r="C23" s="9" t="s">
        <v>108</v>
      </c>
      <c r="D23" s="9" t="s">
        <v>807</v>
      </c>
      <c r="E23" s="10"/>
      <c r="F23" s="1"/>
      <c r="G23" s="1"/>
      <c r="H23" s="1"/>
      <c r="I23" s="1"/>
      <c r="J23" s="1"/>
      <c r="K23" s="1"/>
      <c r="L23" s="1"/>
      <c r="M23" s="1"/>
      <c r="N23" s="1"/>
      <c r="O23" s="1"/>
      <c r="P23" s="1"/>
      <c r="Q23" s="1"/>
      <c r="R23" s="1"/>
      <c r="S23" s="1"/>
      <c r="T23" s="1"/>
      <c r="U23" s="1"/>
      <c r="V23" s="1"/>
      <c r="W23" s="1"/>
      <c r="X23" s="1"/>
      <c r="Y23" s="1"/>
      <c r="Z23" s="1"/>
    </row>
    <row r="24" customHeight="1" spans="1:26">
      <c r="A24" s="1"/>
      <c r="B24" s="8">
        <v>19</v>
      </c>
      <c r="C24" s="9" t="s">
        <v>109</v>
      </c>
      <c r="D24" s="9" t="s">
        <v>808</v>
      </c>
      <c r="E24" s="10"/>
      <c r="F24" s="1"/>
      <c r="G24" s="1"/>
      <c r="H24" s="1"/>
      <c r="I24" s="1"/>
      <c r="J24" s="1"/>
      <c r="K24" s="1"/>
      <c r="L24" s="1"/>
      <c r="M24" s="1"/>
      <c r="N24" s="1"/>
      <c r="O24" s="1"/>
      <c r="P24" s="1"/>
      <c r="Q24" s="1"/>
      <c r="R24" s="1"/>
      <c r="S24" s="1"/>
      <c r="T24" s="1"/>
      <c r="U24" s="1"/>
      <c r="V24" s="1"/>
      <c r="W24" s="1"/>
      <c r="X24" s="1"/>
      <c r="Y24" s="1"/>
      <c r="Z24" s="1"/>
    </row>
    <row r="25" customHeight="1" spans="1:26">
      <c r="A25" s="1"/>
      <c r="B25" s="8">
        <v>20</v>
      </c>
      <c r="C25" s="9" t="s">
        <v>29</v>
      </c>
      <c r="D25" s="9" t="s">
        <v>809</v>
      </c>
      <c r="E25" s="10"/>
      <c r="F25" s="1"/>
      <c r="G25" s="1"/>
      <c r="H25" s="1"/>
      <c r="I25" s="1"/>
      <c r="J25" s="1"/>
      <c r="K25" s="1"/>
      <c r="L25" s="1"/>
      <c r="M25" s="1"/>
      <c r="N25" s="1"/>
      <c r="O25" s="1"/>
      <c r="P25" s="1"/>
      <c r="Q25" s="1"/>
      <c r="R25" s="1"/>
      <c r="S25" s="1"/>
      <c r="T25" s="1"/>
      <c r="U25" s="1"/>
      <c r="V25" s="1"/>
      <c r="W25" s="1"/>
      <c r="X25" s="1"/>
      <c r="Y25" s="1"/>
      <c r="Z25" s="1"/>
    </row>
    <row r="26" customHeight="1" spans="1:26">
      <c r="A26" s="1"/>
      <c r="B26" s="8">
        <v>21</v>
      </c>
      <c r="C26" s="9"/>
      <c r="D26" s="9"/>
      <c r="E26" s="10"/>
      <c r="F26" s="1"/>
      <c r="G26" s="1"/>
      <c r="H26" s="1"/>
      <c r="I26" s="1"/>
      <c r="J26" s="1"/>
      <c r="K26" s="1"/>
      <c r="L26" s="1"/>
      <c r="M26" s="1"/>
      <c r="N26" s="1"/>
      <c r="O26" s="1"/>
      <c r="P26" s="1"/>
      <c r="Q26" s="1"/>
      <c r="R26" s="1"/>
      <c r="S26" s="1"/>
      <c r="T26" s="1"/>
      <c r="U26" s="1"/>
      <c r="V26" s="1"/>
      <c r="W26" s="1"/>
      <c r="X26" s="1"/>
      <c r="Y26" s="1"/>
      <c r="Z26" s="1"/>
    </row>
    <row r="27" customHeight="1" spans="1:26">
      <c r="A27" s="1"/>
      <c r="B27" s="8">
        <v>22</v>
      </c>
      <c r="C27" s="9"/>
      <c r="D27" s="9"/>
      <c r="E27" s="9"/>
      <c r="F27" s="1"/>
      <c r="G27" s="1"/>
      <c r="H27" s="1"/>
      <c r="I27" s="1"/>
      <c r="J27" s="1"/>
      <c r="K27" s="1"/>
      <c r="L27" s="1"/>
      <c r="M27" s="1"/>
      <c r="N27" s="1"/>
      <c r="O27" s="1"/>
      <c r="P27" s="1"/>
      <c r="Q27" s="1"/>
      <c r="R27" s="1"/>
      <c r="S27" s="1"/>
      <c r="T27" s="1"/>
      <c r="U27" s="1"/>
      <c r="V27" s="1"/>
      <c r="W27" s="1"/>
      <c r="X27" s="1"/>
      <c r="Y27" s="1"/>
      <c r="Z27" s="1"/>
    </row>
    <row r="28" customHeight="1" spans="1:26">
      <c r="A28" s="1"/>
      <c r="B28" s="8">
        <v>23</v>
      </c>
      <c r="C28" s="9"/>
      <c r="D28" s="9"/>
      <c r="E28" s="10"/>
      <c r="F28" s="1"/>
      <c r="G28" s="1"/>
      <c r="H28" s="1"/>
      <c r="I28" s="1"/>
      <c r="J28" s="1"/>
      <c r="K28" s="1"/>
      <c r="L28" s="1"/>
      <c r="M28" s="1"/>
      <c r="N28" s="1"/>
      <c r="O28" s="1"/>
      <c r="P28" s="1"/>
      <c r="Q28" s="1"/>
      <c r="R28" s="1"/>
      <c r="S28" s="1"/>
      <c r="T28" s="1"/>
      <c r="U28" s="1"/>
      <c r="V28" s="1"/>
      <c r="W28" s="1"/>
      <c r="X28" s="1"/>
      <c r="Y28" s="1"/>
      <c r="Z28" s="1"/>
    </row>
    <row r="29" customHeight="1" spans="1:26">
      <c r="A29" s="1"/>
      <c r="B29" s="8">
        <v>24</v>
      </c>
      <c r="C29" s="9"/>
      <c r="D29" s="9"/>
      <c r="E29" s="10"/>
      <c r="F29" s="1"/>
      <c r="G29" s="1"/>
      <c r="H29" s="1"/>
      <c r="I29" s="1"/>
      <c r="J29" s="1"/>
      <c r="K29" s="1"/>
      <c r="L29" s="1"/>
      <c r="M29" s="1"/>
      <c r="N29" s="1"/>
      <c r="O29" s="1"/>
      <c r="P29" s="1"/>
      <c r="Q29" s="1"/>
      <c r="R29" s="1"/>
      <c r="S29" s="1"/>
      <c r="T29" s="1"/>
      <c r="U29" s="1"/>
      <c r="V29" s="1"/>
      <c r="W29" s="1"/>
      <c r="X29" s="1"/>
      <c r="Y29" s="1"/>
      <c r="Z29" s="1"/>
    </row>
    <row r="30" customHeight="1" spans="1:26">
      <c r="A30" s="1"/>
      <c r="B30" s="11" t="s">
        <v>810</v>
      </c>
      <c r="C30" s="12"/>
      <c r="D30" s="12"/>
      <c r="E30" s="13"/>
      <c r="F30" s="1"/>
      <c r="G30" s="1"/>
      <c r="H30" s="1"/>
      <c r="I30" s="1"/>
      <c r="J30" s="1"/>
      <c r="K30" s="1"/>
      <c r="L30" s="1"/>
      <c r="M30" s="1"/>
      <c r="N30" s="1"/>
      <c r="O30" s="1"/>
      <c r="P30" s="1"/>
      <c r="Q30" s="1"/>
      <c r="R30" s="1"/>
      <c r="S30" s="1"/>
      <c r="T30" s="1"/>
      <c r="U30" s="1"/>
      <c r="V30" s="1"/>
      <c r="W30" s="1"/>
      <c r="X30" s="1"/>
      <c r="Y30" s="1"/>
      <c r="Z30" s="1"/>
    </row>
    <row r="31" customHeight="1" spans="1:26">
      <c r="A31" s="1"/>
      <c r="B31" s="1"/>
      <c r="C31" s="2"/>
      <c r="D31" s="2"/>
      <c r="E31" s="3"/>
      <c r="F31" s="1"/>
      <c r="G31" s="1"/>
      <c r="H31" s="1"/>
      <c r="I31" s="1"/>
      <c r="J31" s="1"/>
      <c r="K31" s="1"/>
      <c r="L31" s="1"/>
      <c r="M31" s="1"/>
      <c r="N31" s="1"/>
      <c r="O31" s="1"/>
      <c r="P31" s="1"/>
      <c r="Q31" s="1"/>
      <c r="R31" s="1"/>
      <c r="S31" s="1"/>
      <c r="T31" s="1"/>
      <c r="U31" s="1"/>
      <c r="V31" s="1"/>
      <c r="W31" s="1"/>
      <c r="X31" s="1"/>
      <c r="Y31" s="1"/>
      <c r="Z31" s="1"/>
    </row>
    <row r="32" customHeight="1" spans="1:26">
      <c r="A32" s="1"/>
      <c r="B32" s="1"/>
      <c r="C32" s="2"/>
      <c r="D32" s="2"/>
      <c r="E32" s="3"/>
      <c r="F32" s="1"/>
      <c r="G32" s="1"/>
      <c r="H32" s="1"/>
      <c r="I32" s="1"/>
      <c r="J32" s="1"/>
      <c r="K32" s="1"/>
      <c r="L32" s="1"/>
      <c r="M32" s="1"/>
      <c r="N32" s="1"/>
      <c r="O32" s="1"/>
      <c r="P32" s="1"/>
      <c r="Q32" s="1"/>
      <c r="R32" s="1"/>
      <c r="S32" s="1"/>
      <c r="T32" s="1"/>
      <c r="U32" s="1"/>
      <c r="V32" s="1"/>
      <c r="W32" s="1"/>
      <c r="X32" s="1"/>
      <c r="Y32" s="1"/>
      <c r="Z32" s="1"/>
    </row>
    <row r="33" customHeight="1" spans="1:26">
      <c r="A33" s="1"/>
      <c r="B33" s="1"/>
      <c r="C33" s="2"/>
      <c r="D33" s="2"/>
      <c r="E33" s="3"/>
      <c r="F33" s="1"/>
      <c r="G33" s="1"/>
      <c r="H33" s="1"/>
      <c r="I33" s="1"/>
      <c r="J33" s="1"/>
      <c r="K33" s="1"/>
      <c r="L33" s="1"/>
      <c r="M33" s="1"/>
      <c r="N33" s="1"/>
      <c r="O33" s="1"/>
      <c r="P33" s="1"/>
      <c r="Q33" s="1"/>
      <c r="R33" s="1"/>
      <c r="S33" s="1"/>
      <c r="T33" s="1"/>
      <c r="U33" s="1"/>
      <c r="V33" s="1"/>
      <c r="W33" s="1"/>
      <c r="X33" s="1"/>
      <c r="Y33" s="1"/>
      <c r="Z33" s="1"/>
    </row>
    <row r="34" customHeight="1" spans="1:26">
      <c r="A34" s="1"/>
      <c r="B34" s="1"/>
      <c r="C34" s="2"/>
      <c r="D34" s="2"/>
      <c r="E34" s="3"/>
      <c r="F34" s="1"/>
      <c r="G34" s="1"/>
      <c r="H34" s="1"/>
      <c r="I34" s="1"/>
      <c r="J34" s="1"/>
      <c r="K34" s="1"/>
      <c r="L34" s="1"/>
      <c r="M34" s="1"/>
      <c r="N34" s="1"/>
      <c r="O34" s="1"/>
      <c r="P34" s="1"/>
      <c r="Q34" s="1"/>
      <c r="R34" s="1"/>
      <c r="S34" s="1"/>
      <c r="T34" s="1"/>
      <c r="U34" s="1"/>
      <c r="V34" s="1"/>
      <c r="W34" s="1"/>
      <c r="X34" s="1"/>
      <c r="Y34" s="1"/>
      <c r="Z34" s="1"/>
    </row>
    <row r="35" customHeight="1" spans="1:26">
      <c r="A35" s="1"/>
      <c r="B35" s="1"/>
      <c r="C35" s="2"/>
      <c r="D35" s="2"/>
      <c r="E35" s="3"/>
      <c r="F35" s="1"/>
      <c r="G35" s="1"/>
      <c r="H35" s="1"/>
      <c r="I35" s="1"/>
      <c r="J35" s="1"/>
      <c r="K35" s="1"/>
      <c r="L35" s="1"/>
      <c r="M35" s="1"/>
      <c r="N35" s="1"/>
      <c r="O35" s="1"/>
      <c r="P35" s="1"/>
      <c r="Q35" s="1"/>
      <c r="R35" s="1"/>
      <c r="S35" s="1"/>
      <c r="T35" s="1"/>
      <c r="U35" s="1"/>
      <c r="V35" s="1"/>
      <c r="W35" s="1"/>
      <c r="X35" s="1"/>
      <c r="Y35" s="1"/>
      <c r="Z35" s="1"/>
    </row>
    <row r="36" customHeight="1" spans="1:26">
      <c r="A36" s="1"/>
      <c r="B36" s="1"/>
      <c r="C36" s="2"/>
      <c r="D36" s="2"/>
      <c r="E36" s="3"/>
      <c r="F36" s="1"/>
      <c r="G36" s="1"/>
      <c r="H36" s="1"/>
      <c r="I36" s="1"/>
      <c r="J36" s="1"/>
      <c r="K36" s="1"/>
      <c r="L36" s="1"/>
      <c r="M36" s="1"/>
      <c r="N36" s="1"/>
      <c r="O36" s="1"/>
      <c r="P36" s="1"/>
      <c r="Q36" s="1"/>
      <c r="R36" s="1"/>
      <c r="S36" s="1"/>
      <c r="T36" s="1"/>
      <c r="U36" s="1"/>
      <c r="V36" s="1"/>
      <c r="W36" s="1"/>
      <c r="X36" s="1"/>
      <c r="Y36" s="1"/>
      <c r="Z36" s="1"/>
    </row>
    <row r="37" customHeight="1" spans="1:26">
      <c r="A37" s="1"/>
      <c r="B37" s="1"/>
      <c r="C37" s="2"/>
      <c r="D37" s="2"/>
      <c r="E37" s="3"/>
      <c r="F37" s="1"/>
      <c r="G37" s="1"/>
      <c r="H37" s="1"/>
      <c r="I37" s="1"/>
      <c r="J37" s="1"/>
      <c r="K37" s="1"/>
      <c r="L37" s="1"/>
      <c r="M37" s="1"/>
      <c r="N37" s="1"/>
      <c r="O37" s="1"/>
      <c r="P37" s="1"/>
      <c r="Q37" s="1"/>
      <c r="R37" s="1"/>
      <c r="S37" s="1"/>
      <c r="T37" s="1"/>
      <c r="U37" s="1"/>
      <c r="V37" s="1"/>
      <c r="W37" s="1"/>
      <c r="X37" s="1"/>
      <c r="Y37" s="1"/>
      <c r="Z37" s="1"/>
    </row>
    <row r="38" customHeight="1" spans="1:26">
      <c r="A38" s="1"/>
      <c r="B38" s="1"/>
      <c r="C38" s="2"/>
      <c r="D38" s="2"/>
      <c r="E38" s="3"/>
      <c r="F38" s="1"/>
      <c r="G38" s="1"/>
      <c r="H38" s="1"/>
      <c r="I38" s="1"/>
      <c r="J38" s="1"/>
      <c r="K38" s="1"/>
      <c r="L38" s="1"/>
      <c r="M38" s="1"/>
      <c r="N38" s="1"/>
      <c r="O38" s="1"/>
      <c r="P38" s="1"/>
      <c r="Q38" s="1"/>
      <c r="R38" s="1"/>
      <c r="S38" s="1"/>
      <c r="T38" s="1"/>
      <c r="U38" s="1"/>
      <c r="V38" s="1"/>
      <c r="W38" s="1"/>
      <c r="X38" s="1"/>
      <c r="Y38" s="1"/>
      <c r="Z38" s="1"/>
    </row>
    <row r="39" customHeight="1" spans="1:26">
      <c r="A39" s="1"/>
      <c r="B39" s="1"/>
      <c r="C39" s="2"/>
      <c r="D39" s="2"/>
      <c r="E39" s="3"/>
      <c r="F39" s="1"/>
      <c r="G39" s="1"/>
      <c r="H39" s="1"/>
      <c r="I39" s="1"/>
      <c r="J39" s="1"/>
      <c r="K39" s="1"/>
      <c r="L39" s="1"/>
      <c r="M39" s="1"/>
      <c r="N39" s="1"/>
      <c r="O39" s="1"/>
      <c r="P39" s="1"/>
      <c r="Q39" s="1"/>
      <c r="R39" s="1"/>
      <c r="S39" s="1"/>
      <c r="T39" s="1"/>
      <c r="U39" s="1"/>
      <c r="V39" s="1"/>
      <c r="W39" s="1"/>
      <c r="X39" s="1"/>
      <c r="Y39" s="1"/>
      <c r="Z39" s="1"/>
    </row>
    <row r="40" customHeight="1" spans="1:26">
      <c r="A40" s="1"/>
      <c r="B40" s="1"/>
      <c r="C40" s="2"/>
      <c r="D40" s="2"/>
      <c r="E40" s="3"/>
      <c r="F40" s="1"/>
      <c r="G40" s="1"/>
      <c r="H40" s="1"/>
      <c r="I40" s="1"/>
      <c r="J40" s="1"/>
      <c r="K40" s="1"/>
      <c r="L40" s="1"/>
      <c r="M40" s="1"/>
      <c r="N40" s="1"/>
      <c r="O40" s="1"/>
      <c r="P40" s="1"/>
      <c r="Q40" s="1"/>
      <c r="R40" s="1"/>
      <c r="S40" s="1"/>
      <c r="T40" s="1"/>
      <c r="U40" s="1"/>
      <c r="V40" s="1"/>
      <c r="W40" s="1"/>
      <c r="X40" s="1"/>
      <c r="Y40" s="1"/>
      <c r="Z40" s="1"/>
    </row>
    <row r="41" customHeight="1" spans="1:26">
      <c r="A41" s="1"/>
      <c r="B41" s="1"/>
      <c r="C41" s="2"/>
      <c r="D41" s="2"/>
      <c r="E41" s="3"/>
      <c r="F41" s="1"/>
      <c r="G41" s="1"/>
      <c r="H41" s="1"/>
      <c r="I41" s="1"/>
      <c r="J41" s="1"/>
      <c r="K41" s="1"/>
      <c r="L41" s="1"/>
      <c r="M41" s="1"/>
      <c r="N41" s="1"/>
      <c r="O41" s="1"/>
      <c r="P41" s="1"/>
      <c r="Q41" s="1"/>
      <c r="R41" s="1"/>
      <c r="S41" s="1"/>
      <c r="T41" s="1"/>
      <c r="U41" s="1"/>
      <c r="V41" s="1"/>
      <c r="W41" s="1"/>
      <c r="X41" s="1"/>
      <c r="Y41" s="1"/>
      <c r="Z41" s="1"/>
    </row>
    <row r="42" customHeight="1" spans="1:26">
      <c r="A42" s="1"/>
      <c r="B42" s="1"/>
      <c r="C42" s="2"/>
      <c r="D42" s="2"/>
      <c r="E42" s="3"/>
      <c r="F42" s="1"/>
      <c r="G42" s="1"/>
      <c r="H42" s="1"/>
      <c r="I42" s="1"/>
      <c r="J42" s="1"/>
      <c r="K42" s="1"/>
      <c r="L42" s="1"/>
      <c r="M42" s="1"/>
      <c r="N42" s="1"/>
      <c r="O42" s="1"/>
      <c r="P42" s="1"/>
      <c r="Q42" s="1"/>
      <c r="R42" s="1"/>
      <c r="S42" s="1"/>
      <c r="T42" s="1"/>
      <c r="U42" s="1"/>
      <c r="V42" s="1"/>
      <c r="W42" s="1"/>
      <c r="X42" s="1"/>
      <c r="Y42" s="1"/>
      <c r="Z42" s="1"/>
    </row>
    <row r="43" customHeight="1" spans="1:26">
      <c r="A43" s="1"/>
      <c r="B43" s="1"/>
      <c r="C43" s="2"/>
      <c r="D43" s="2"/>
      <c r="E43" s="3"/>
      <c r="F43" s="1"/>
      <c r="G43" s="1"/>
      <c r="H43" s="1"/>
      <c r="I43" s="1"/>
      <c r="J43" s="1"/>
      <c r="K43" s="1"/>
      <c r="L43" s="1"/>
      <c r="M43" s="1"/>
      <c r="N43" s="1"/>
      <c r="O43" s="1"/>
      <c r="P43" s="1"/>
      <c r="Q43" s="1"/>
      <c r="R43" s="1"/>
      <c r="S43" s="1"/>
      <c r="T43" s="1"/>
      <c r="U43" s="1"/>
      <c r="V43" s="1"/>
      <c r="W43" s="1"/>
      <c r="X43" s="1"/>
      <c r="Y43" s="1"/>
      <c r="Z43" s="1"/>
    </row>
    <row r="44" customHeight="1" spans="1:26">
      <c r="A44" s="1"/>
      <c r="B44" s="1"/>
      <c r="C44" s="2"/>
      <c r="D44" s="2"/>
      <c r="E44" s="3"/>
      <c r="F44" s="1"/>
      <c r="G44" s="1"/>
      <c r="H44" s="1"/>
      <c r="I44" s="1"/>
      <c r="J44" s="1"/>
      <c r="K44" s="1"/>
      <c r="L44" s="1"/>
      <c r="M44" s="1"/>
      <c r="N44" s="1"/>
      <c r="O44" s="1"/>
      <c r="P44" s="1"/>
      <c r="Q44" s="1"/>
      <c r="R44" s="1"/>
      <c r="S44" s="1"/>
      <c r="T44" s="1"/>
      <c r="U44" s="1"/>
      <c r="V44" s="1"/>
      <c r="W44" s="1"/>
      <c r="X44" s="1"/>
      <c r="Y44" s="1"/>
      <c r="Z44" s="1"/>
    </row>
    <row r="45" customHeight="1" spans="1:26">
      <c r="A45" s="1"/>
      <c r="B45" s="1"/>
      <c r="C45" s="2"/>
      <c r="D45" s="2"/>
      <c r="E45" s="3"/>
      <c r="F45" s="1"/>
      <c r="G45" s="1"/>
      <c r="H45" s="1"/>
      <c r="I45" s="1"/>
      <c r="J45" s="1"/>
      <c r="K45" s="1"/>
      <c r="L45" s="1"/>
      <c r="M45" s="1"/>
      <c r="N45" s="1"/>
      <c r="O45" s="1"/>
      <c r="P45" s="1"/>
      <c r="Q45" s="1"/>
      <c r="R45" s="1"/>
      <c r="S45" s="1"/>
      <c r="T45" s="1"/>
      <c r="U45" s="1"/>
      <c r="V45" s="1"/>
      <c r="W45" s="1"/>
      <c r="X45" s="1"/>
      <c r="Y45" s="1"/>
      <c r="Z45" s="1"/>
    </row>
    <row r="46" customHeight="1" spans="1:26">
      <c r="A46" s="1"/>
      <c r="B46" s="1"/>
      <c r="C46" s="2"/>
      <c r="D46" s="2"/>
      <c r="E46" s="3"/>
      <c r="F46" s="1"/>
      <c r="G46" s="1"/>
      <c r="H46" s="1"/>
      <c r="I46" s="1"/>
      <c r="J46" s="1"/>
      <c r="K46" s="1"/>
      <c r="L46" s="1"/>
      <c r="M46" s="1"/>
      <c r="N46" s="1"/>
      <c r="O46" s="1"/>
      <c r="P46" s="1"/>
      <c r="Q46" s="1"/>
      <c r="R46" s="1"/>
      <c r="S46" s="1"/>
      <c r="T46" s="1"/>
      <c r="U46" s="1"/>
      <c r="V46" s="1"/>
      <c r="W46" s="1"/>
      <c r="X46" s="1"/>
      <c r="Y46" s="1"/>
      <c r="Z46" s="1"/>
    </row>
    <row r="47" customHeight="1" spans="1:26">
      <c r="A47" s="1"/>
      <c r="B47" s="1"/>
      <c r="C47" s="2"/>
      <c r="D47" s="2"/>
      <c r="E47" s="3"/>
      <c r="F47" s="1"/>
      <c r="G47" s="1"/>
      <c r="H47" s="1"/>
      <c r="I47" s="1"/>
      <c r="J47" s="1"/>
      <c r="K47" s="1"/>
      <c r="L47" s="1"/>
      <c r="M47" s="1"/>
      <c r="N47" s="1"/>
      <c r="O47" s="1"/>
      <c r="P47" s="1"/>
      <c r="Q47" s="1"/>
      <c r="R47" s="1"/>
      <c r="S47" s="1"/>
      <c r="T47" s="1"/>
      <c r="U47" s="1"/>
      <c r="V47" s="1"/>
      <c r="W47" s="1"/>
      <c r="X47" s="1"/>
      <c r="Y47" s="1"/>
      <c r="Z47" s="1"/>
    </row>
    <row r="48" customHeight="1" spans="1:26">
      <c r="A48" s="1"/>
      <c r="B48" s="1"/>
      <c r="C48" s="2"/>
      <c r="D48" s="2"/>
      <c r="E48" s="3"/>
      <c r="F48" s="1"/>
      <c r="G48" s="1"/>
      <c r="H48" s="1"/>
      <c r="I48" s="1"/>
      <c r="J48" s="1"/>
      <c r="K48" s="1"/>
      <c r="L48" s="1"/>
      <c r="M48" s="1"/>
      <c r="N48" s="1"/>
      <c r="O48" s="1"/>
      <c r="P48" s="1"/>
      <c r="Q48" s="1"/>
      <c r="R48" s="1"/>
      <c r="S48" s="1"/>
      <c r="T48" s="1"/>
      <c r="U48" s="1"/>
      <c r="V48" s="1"/>
      <c r="W48" s="1"/>
      <c r="X48" s="1"/>
      <c r="Y48" s="1"/>
      <c r="Z48" s="1"/>
    </row>
    <row r="49" customHeight="1" spans="1:26">
      <c r="A49" s="1"/>
      <c r="B49" s="1"/>
      <c r="C49" s="2"/>
      <c r="D49" s="2"/>
      <c r="E49" s="3"/>
      <c r="F49" s="1"/>
      <c r="G49" s="1"/>
      <c r="H49" s="1"/>
      <c r="I49" s="1"/>
      <c r="J49" s="1"/>
      <c r="K49" s="1"/>
      <c r="L49" s="1"/>
      <c r="M49" s="1"/>
      <c r="N49" s="1"/>
      <c r="O49" s="1"/>
      <c r="P49" s="1"/>
      <c r="Q49" s="1"/>
      <c r="R49" s="1"/>
      <c r="S49" s="1"/>
      <c r="T49" s="1"/>
      <c r="U49" s="1"/>
      <c r="V49" s="1"/>
      <c r="W49" s="1"/>
      <c r="X49" s="1"/>
      <c r="Y49" s="1"/>
      <c r="Z49" s="1"/>
    </row>
    <row r="50" customHeight="1" spans="1:26">
      <c r="A50" s="1"/>
      <c r="B50" s="1"/>
      <c r="C50" s="2"/>
      <c r="D50" s="2"/>
      <c r="E50" s="3"/>
      <c r="F50" s="1"/>
      <c r="G50" s="1"/>
      <c r="H50" s="1"/>
      <c r="I50" s="1"/>
      <c r="J50" s="1"/>
      <c r="K50" s="1"/>
      <c r="L50" s="1"/>
      <c r="M50" s="1"/>
      <c r="N50" s="1"/>
      <c r="O50" s="1"/>
      <c r="P50" s="1"/>
      <c r="Q50" s="1"/>
      <c r="R50" s="1"/>
      <c r="S50" s="1"/>
      <c r="T50" s="1"/>
      <c r="U50" s="1"/>
      <c r="V50" s="1"/>
      <c r="W50" s="1"/>
      <c r="X50" s="1"/>
      <c r="Y50" s="1"/>
      <c r="Z50" s="1"/>
    </row>
    <row r="51" customHeight="1" spans="1:26">
      <c r="A51" s="1"/>
      <c r="B51" s="1"/>
      <c r="C51" s="2"/>
      <c r="D51" s="2"/>
      <c r="E51" s="3"/>
      <c r="F51" s="1"/>
      <c r="G51" s="1"/>
      <c r="H51" s="1"/>
      <c r="I51" s="1"/>
      <c r="J51" s="1"/>
      <c r="K51" s="1"/>
      <c r="L51" s="1"/>
      <c r="M51" s="1"/>
      <c r="N51" s="1"/>
      <c r="O51" s="1"/>
      <c r="P51" s="1"/>
      <c r="Q51" s="1"/>
      <c r="R51" s="1"/>
      <c r="S51" s="1"/>
      <c r="T51" s="1"/>
      <c r="U51" s="1"/>
      <c r="V51" s="1"/>
      <c r="W51" s="1"/>
      <c r="X51" s="1"/>
      <c r="Y51" s="1"/>
      <c r="Z51" s="1"/>
    </row>
    <row r="52" customHeight="1" spans="1:26">
      <c r="A52" s="1"/>
      <c r="B52" s="1"/>
      <c r="C52" s="2"/>
      <c r="D52" s="2"/>
      <c r="E52" s="3"/>
      <c r="F52" s="1"/>
      <c r="G52" s="1"/>
      <c r="H52" s="1"/>
      <c r="I52" s="1"/>
      <c r="J52" s="1"/>
      <c r="K52" s="1"/>
      <c r="L52" s="1"/>
      <c r="M52" s="1"/>
      <c r="N52" s="1"/>
      <c r="O52" s="1"/>
      <c r="P52" s="1"/>
      <c r="Q52" s="1"/>
      <c r="R52" s="1"/>
      <c r="S52" s="1"/>
      <c r="T52" s="1"/>
      <c r="U52" s="1"/>
      <c r="V52" s="1"/>
      <c r="W52" s="1"/>
      <c r="X52" s="1"/>
      <c r="Y52" s="1"/>
      <c r="Z52" s="1"/>
    </row>
    <row r="53" customHeight="1" spans="1:26">
      <c r="A53" s="1"/>
      <c r="B53" s="1"/>
      <c r="C53" s="2"/>
      <c r="D53" s="2"/>
      <c r="E53" s="3"/>
      <c r="F53" s="1"/>
      <c r="G53" s="1"/>
      <c r="H53" s="1"/>
      <c r="I53" s="1"/>
      <c r="J53" s="1"/>
      <c r="K53" s="1"/>
      <c r="L53" s="1"/>
      <c r="M53" s="1"/>
      <c r="N53" s="1"/>
      <c r="O53" s="1"/>
      <c r="P53" s="1"/>
      <c r="Q53" s="1"/>
      <c r="R53" s="1"/>
      <c r="S53" s="1"/>
      <c r="T53" s="1"/>
      <c r="U53" s="1"/>
      <c r="V53" s="1"/>
      <c r="W53" s="1"/>
      <c r="X53" s="1"/>
      <c r="Y53" s="1"/>
      <c r="Z53" s="1"/>
    </row>
    <row r="54" customHeight="1" spans="1:26">
      <c r="A54" s="1"/>
      <c r="B54" s="1"/>
      <c r="C54" s="2"/>
      <c r="D54" s="2"/>
      <c r="E54" s="3"/>
      <c r="F54" s="1"/>
      <c r="G54" s="1"/>
      <c r="H54" s="1"/>
      <c r="I54" s="1"/>
      <c r="J54" s="1"/>
      <c r="K54" s="1"/>
      <c r="L54" s="1"/>
      <c r="M54" s="1"/>
      <c r="N54" s="1"/>
      <c r="O54" s="1"/>
      <c r="P54" s="1"/>
      <c r="Q54" s="1"/>
      <c r="R54" s="1"/>
      <c r="S54" s="1"/>
      <c r="T54" s="1"/>
      <c r="U54" s="1"/>
      <c r="V54" s="1"/>
      <c r="W54" s="1"/>
      <c r="X54" s="1"/>
      <c r="Y54" s="1"/>
      <c r="Z54" s="1"/>
    </row>
    <row r="55" customHeight="1" spans="1:26">
      <c r="A55" s="1"/>
      <c r="B55" s="1"/>
      <c r="C55" s="2"/>
      <c r="D55" s="2"/>
      <c r="E55" s="3"/>
      <c r="F55" s="1"/>
      <c r="G55" s="1"/>
      <c r="H55" s="1"/>
      <c r="I55" s="1"/>
      <c r="J55" s="1"/>
      <c r="K55" s="1"/>
      <c r="L55" s="1"/>
      <c r="M55" s="1"/>
      <c r="N55" s="1"/>
      <c r="O55" s="1"/>
      <c r="P55" s="1"/>
      <c r="Q55" s="1"/>
      <c r="R55" s="1"/>
      <c r="S55" s="1"/>
      <c r="T55" s="1"/>
      <c r="U55" s="1"/>
      <c r="V55" s="1"/>
      <c r="W55" s="1"/>
      <c r="X55" s="1"/>
      <c r="Y55" s="1"/>
      <c r="Z55" s="1"/>
    </row>
    <row r="56" customHeight="1" spans="1:26">
      <c r="A56" s="1"/>
      <c r="B56" s="1"/>
      <c r="C56" s="2"/>
      <c r="D56" s="2"/>
      <c r="E56" s="3"/>
      <c r="F56" s="1"/>
      <c r="G56" s="1"/>
      <c r="H56" s="1"/>
      <c r="I56" s="1"/>
      <c r="J56" s="1"/>
      <c r="K56" s="1"/>
      <c r="L56" s="1"/>
      <c r="M56" s="1"/>
      <c r="N56" s="1"/>
      <c r="O56" s="1"/>
      <c r="P56" s="1"/>
      <c r="Q56" s="1"/>
      <c r="R56" s="1"/>
      <c r="S56" s="1"/>
      <c r="T56" s="1"/>
      <c r="U56" s="1"/>
      <c r="V56" s="1"/>
      <c r="W56" s="1"/>
      <c r="X56" s="1"/>
      <c r="Y56" s="1"/>
      <c r="Z56" s="1"/>
    </row>
    <row r="57" customHeight="1" spans="1:26">
      <c r="A57" s="1"/>
      <c r="B57" s="1"/>
      <c r="C57" s="2"/>
      <c r="D57" s="2"/>
      <c r="E57" s="3"/>
      <c r="F57" s="1"/>
      <c r="G57" s="1"/>
      <c r="H57" s="1"/>
      <c r="I57" s="1"/>
      <c r="J57" s="1"/>
      <c r="K57" s="1"/>
      <c r="L57" s="1"/>
      <c r="M57" s="1"/>
      <c r="N57" s="1"/>
      <c r="O57" s="1"/>
      <c r="P57" s="1"/>
      <c r="Q57" s="1"/>
      <c r="R57" s="1"/>
      <c r="S57" s="1"/>
      <c r="T57" s="1"/>
      <c r="U57" s="1"/>
      <c r="V57" s="1"/>
      <c r="W57" s="1"/>
      <c r="X57" s="1"/>
      <c r="Y57" s="1"/>
      <c r="Z57" s="1"/>
    </row>
    <row r="58" customHeight="1" spans="1:26">
      <c r="A58" s="1"/>
      <c r="B58" s="1"/>
      <c r="C58" s="2"/>
      <c r="D58" s="2"/>
      <c r="E58" s="3"/>
      <c r="F58" s="1"/>
      <c r="G58" s="1"/>
      <c r="H58" s="1"/>
      <c r="I58" s="1"/>
      <c r="J58" s="1"/>
      <c r="K58" s="1"/>
      <c r="L58" s="1"/>
      <c r="M58" s="1"/>
      <c r="N58" s="1"/>
      <c r="O58" s="1"/>
      <c r="P58" s="1"/>
      <c r="Q58" s="1"/>
      <c r="R58" s="1"/>
      <c r="S58" s="1"/>
      <c r="T58" s="1"/>
      <c r="U58" s="1"/>
      <c r="V58" s="1"/>
      <c r="W58" s="1"/>
      <c r="X58" s="1"/>
      <c r="Y58" s="1"/>
      <c r="Z58" s="1"/>
    </row>
    <row r="59" customHeight="1" spans="1:26">
      <c r="A59" s="1"/>
      <c r="B59" s="1"/>
      <c r="C59" s="2"/>
      <c r="D59" s="2"/>
      <c r="E59" s="3"/>
      <c r="F59" s="1"/>
      <c r="G59" s="1"/>
      <c r="H59" s="1"/>
      <c r="I59" s="1"/>
      <c r="J59" s="1"/>
      <c r="K59" s="1"/>
      <c r="L59" s="1"/>
      <c r="M59" s="1"/>
      <c r="N59" s="1"/>
      <c r="O59" s="1"/>
      <c r="P59" s="1"/>
      <c r="Q59" s="1"/>
      <c r="R59" s="1"/>
      <c r="S59" s="1"/>
      <c r="T59" s="1"/>
      <c r="U59" s="1"/>
      <c r="V59" s="1"/>
      <c r="W59" s="1"/>
      <c r="X59" s="1"/>
      <c r="Y59" s="1"/>
      <c r="Z59" s="1"/>
    </row>
    <row r="60" customHeight="1" spans="1:26">
      <c r="A60" s="1"/>
      <c r="B60" s="1"/>
      <c r="C60" s="2"/>
      <c r="D60" s="2"/>
      <c r="E60" s="3"/>
      <c r="F60" s="1"/>
      <c r="G60" s="1"/>
      <c r="H60" s="1"/>
      <c r="I60" s="1"/>
      <c r="J60" s="1"/>
      <c r="K60" s="1"/>
      <c r="L60" s="1"/>
      <c r="M60" s="1"/>
      <c r="N60" s="1"/>
      <c r="O60" s="1"/>
      <c r="P60" s="1"/>
      <c r="Q60" s="1"/>
      <c r="R60" s="1"/>
      <c r="S60" s="1"/>
      <c r="T60" s="1"/>
      <c r="U60" s="1"/>
      <c r="V60" s="1"/>
      <c r="W60" s="1"/>
      <c r="X60" s="1"/>
      <c r="Y60" s="1"/>
      <c r="Z60" s="1"/>
    </row>
    <row r="61" customHeight="1" spans="1:26">
      <c r="A61" s="1"/>
      <c r="B61" s="1"/>
      <c r="C61" s="2"/>
      <c r="D61" s="2"/>
      <c r="E61" s="3"/>
      <c r="F61" s="1"/>
      <c r="G61" s="1"/>
      <c r="H61" s="1"/>
      <c r="I61" s="1"/>
      <c r="J61" s="1"/>
      <c r="K61" s="1"/>
      <c r="L61" s="1"/>
      <c r="M61" s="1"/>
      <c r="N61" s="1"/>
      <c r="O61" s="1"/>
      <c r="P61" s="1"/>
      <c r="Q61" s="1"/>
      <c r="R61" s="1"/>
      <c r="S61" s="1"/>
      <c r="T61" s="1"/>
      <c r="U61" s="1"/>
      <c r="V61" s="1"/>
      <c r="W61" s="1"/>
      <c r="X61" s="1"/>
      <c r="Y61" s="1"/>
      <c r="Z61" s="1"/>
    </row>
    <row r="62" customHeight="1" spans="1:26">
      <c r="A62" s="1"/>
      <c r="B62" s="1"/>
      <c r="C62" s="2"/>
      <c r="D62" s="2"/>
      <c r="E62" s="3"/>
      <c r="F62" s="1"/>
      <c r="G62" s="1"/>
      <c r="H62" s="1"/>
      <c r="I62" s="1"/>
      <c r="J62" s="1"/>
      <c r="K62" s="1"/>
      <c r="L62" s="1"/>
      <c r="M62" s="1"/>
      <c r="N62" s="1"/>
      <c r="O62" s="1"/>
      <c r="P62" s="1"/>
      <c r="Q62" s="1"/>
      <c r="R62" s="1"/>
      <c r="S62" s="1"/>
      <c r="T62" s="1"/>
      <c r="U62" s="1"/>
      <c r="V62" s="1"/>
      <c r="W62" s="1"/>
      <c r="X62" s="1"/>
      <c r="Y62" s="1"/>
      <c r="Z62" s="1"/>
    </row>
    <row r="63" customHeight="1" spans="1:26">
      <c r="A63" s="1"/>
      <c r="B63" s="1"/>
      <c r="C63" s="2"/>
      <c r="D63" s="2"/>
      <c r="E63" s="3"/>
      <c r="F63" s="1"/>
      <c r="G63" s="1"/>
      <c r="H63" s="1"/>
      <c r="I63" s="1"/>
      <c r="J63" s="1"/>
      <c r="K63" s="1"/>
      <c r="L63" s="1"/>
      <c r="M63" s="1"/>
      <c r="N63" s="1"/>
      <c r="O63" s="1"/>
      <c r="P63" s="1"/>
      <c r="Q63" s="1"/>
      <c r="R63" s="1"/>
      <c r="S63" s="1"/>
      <c r="T63" s="1"/>
      <c r="U63" s="1"/>
      <c r="V63" s="1"/>
      <c r="W63" s="1"/>
      <c r="X63" s="1"/>
      <c r="Y63" s="1"/>
      <c r="Z63" s="1"/>
    </row>
    <row r="64" customHeight="1" spans="1:26">
      <c r="A64" s="1"/>
      <c r="B64" s="1"/>
      <c r="C64" s="2"/>
      <c r="D64" s="2"/>
      <c r="E64" s="3"/>
      <c r="F64" s="1"/>
      <c r="G64" s="1"/>
      <c r="H64" s="1"/>
      <c r="I64" s="1"/>
      <c r="J64" s="1"/>
      <c r="K64" s="1"/>
      <c r="L64" s="1"/>
      <c r="M64" s="1"/>
      <c r="N64" s="1"/>
      <c r="O64" s="1"/>
      <c r="P64" s="1"/>
      <c r="Q64" s="1"/>
      <c r="R64" s="1"/>
      <c r="S64" s="1"/>
      <c r="T64" s="1"/>
      <c r="U64" s="1"/>
      <c r="V64" s="1"/>
      <c r="W64" s="1"/>
      <c r="X64" s="1"/>
      <c r="Y64" s="1"/>
      <c r="Z64" s="1"/>
    </row>
    <row r="65" customHeight="1" spans="1:26">
      <c r="A65" s="1"/>
      <c r="B65" s="1"/>
      <c r="C65" s="2"/>
      <c r="D65" s="2"/>
      <c r="E65" s="3"/>
      <c r="F65" s="1"/>
      <c r="G65" s="1"/>
      <c r="H65" s="1"/>
      <c r="I65" s="1"/>
      <c r="J65" s="1"/>
      <c r="K65" s="1"/>
      <c r="L65" s="1"/>
      <c r="M65" s="1"/>
      <c r="N65" s="1"/>
      <c r="O65" s="1"/>
      <c r="P65" s="1"/>
      <c r="Q65" s="1"/>
      <c r="R65" s="1"/>
      <c r="S65" s="1"/>
      <c r="T65" s="1"/>
      <c r="U65" s="1"/>
      <c r="V65" s="1"/>
      <c r="W65" s="1"/>
      <c r="X65" s="1"/>
      <c r="Y65" s="1"/>
      <c r="Z65" s="1"/>
    </row>
    <row r="66" customHeight="1" spans="1:26">
      <c r="A66" s="1"/>
      <c r="B66" s="1"/>
      <c r="C66" s="2"/>
      <c r="D66" s="2"/>
      <c r="E66" s="3"/>
      <c r="F66" s="1"/>
      <c r="G66" s="1"/>
      <c r="H66" s="1"/>
      <c r="I66" s="1"/>
      <c r="J66" s="1"/>
      <c r="K66" s="1"/>
      <c r="L66" s="1"/>
      <c r="M66" s="1"/>
      <c r="N66" s="1"/>
      <c r="O66" s="1"/>
      <c r="P66" s="1"/>
      <c r="Q66" s="1"/>
      <c r="R66" s="1"/>
      <c r="S66" s="1"/>
      <c r="T66" s="1"/>
      <c r="U66" s="1"/>
      <c r="V66" s="1"/>
      <c r="W66" s="1"/>
      <c r="X66" s="1"/>
      <c r="Y66" s="1"/>
      <c r="Z66" s="1"/>
    </row>
    <row r="67" customHeight="1" spans="1:26">
      <c r="A67" s="1"/>
      <c r="B67" s="1"/>
      <c r="C67" s="2"/>
      <c r="D67" s="2"/>
      <c r="E67" s="3"/>
      <c r="F67" s="1"/>
      <c r="G67" s="1"/>
      <c r="H67" s="1"/>
      <c r="I67" s="1"/>
      <c r="J67" s="1"/>
      <c r="K67" s="1"/>
      <c r="L67" s="1"/>
      <c r="M67" s="1"/>
      <c r="N67" s="1"/>
      <c r="O67" s="1"/>
      <c r="P67" s="1"/>
      <c r="Q67" s="1"/>
      <c r="R67" s="1"/>
      <c r="S67" s="1"/>
      <c r="T67" s="1"/>
      <c r="U67" s="1"/>
      <c r="V67" s="1"/>
      <c r="W67" s="1"/>
      <c r="X67" s="1"/>
      <c r="Y67" s="1"/>
      <c r="Z67" s="1"/>
    </row>
    <row r="68" customHeight="1" spans="1:26">
      <c r="A68" s="1"/>
      <c r="B68" s="1"/>
      <c r="C68" s="2"/>
      <c r="D68" s="2"/>
      <c r="E68" s="3"/>
      <c r="F68" s="1"/>
      <c r="G68" s="1"/>
      <c r="H68" s="1"/>
      <c r="I68" s="1"/>
      <c r="J68" s="1"/>
      <c r="K68" s="1"/>
      <c r="L68" s="1"/>
      <c r="M68" s="1"/>
      <c r="N68" s="1"/>
      <c r="O68" s="1"/>
      <c r="P68" s="1"/>
      <c r="Q68" s="1"/>
      <c r="R68" s="1"/>
      <c r="S68" s="1"/>
      <c r="T68" s="1"/>
      <c r="U68" s="1"/>
      <c r="V68" s="1"/>
      <c r="W68" s="1"/>
      <c r="X68" s="1"/>
      <c r="Y68" s="1"/>
      <c r="Z68" s="1"/>
    </row>
    <row r="69" customHeight="1" spans="1:26">
      <c r="A69" s="1"/>
      <c r="B69" s="1"/>
      <c r="C69" s="2"/>
      <c r="D69" s="2"/>
      <c r="E69" s="3"/>
      <c r="F69" s="1"/>
      <c r="G69" s="1"/>
      <c r="H69" s="1"/>
      <c r="I69" s="1"/>
      <c r="J69" s="1"/>
      <c r="K69" s="1"/>
      <c r="L69" s="1"/>
      <c r="M69" s="1"/>
      <c r="N69" s="1"/>
      <c r="O69" s="1"/>
      <c r="P69" s="1"/>
      <c r="Q69" s="1"/>
      <c r="R69" s="1"/>
      <c r="S69" s="1"/>
      <c r="T69" s="1"/>
      <c r="U69" s="1"/>
      <c r="V69" s="1"/>
      <c r="W69" s="1"/>
      <c r="X69" s="1"/>
      <c r="Y69" s="1"/>
      <c r="Z69" s="1"/>
    </row>
    <row r="70" customHeight="1" spans="1:26">
      <c r="A70" s="1"/>
      <c r="B70" s="1"/>
      <c r="C70" s="2"/>
      <c r="D70" s="2"/>
      <c r="E70" s="3"/>
      <c r="F70" s="1"/>
      <c r="G70" s="1"/>
      <c r="H70" s="1"/>
      <c r="I70" s="1"/>
      <c r="J70" s="1"/>
      <c r="K70" s="1"/>
      <c r="L70" s="1"/>
      <c r="M70" s="1"/>
      <c r="N70" s="1"/>
      <c r="O70" s="1"/>
      <c r="P70" s="1"/>
      <c r="Q70" s="1"/>
      <c r="R70" s="1"/>
      <c r="S70" s="1"/>
      <c r="T70" s="1"/>
      <c r="U70" s="1"/>
      <c r="V70" s="1"/>
      <c r="W70" s="1"/>
      <c r="X70" s="1"/>
      <c r="Y70" s="1"/>
      <c r="Z70" s="1"/>
    </row>
    <row r="71" customHeight="1" spans="1:26">
      <c r="A71" s="1"/>
      <c r="B71" s="1"/>
      <c r="C71" s="2"/>
      <c r="D71" s="2"/>
      <c r="E71" s="3"/>
      <c r="F71" s="1"/>
      <c r="G71" s="1"/>
      <c r="H71" s="1"/>
      <c r="I71" s="1"/>
      <c r="J71" s="1"/>
      <c r="K71" s="1"/>
      <c r="L71" s="1"/>
      <c r="M71" s="1"/>
      <c r="N71" s="1"/>
      <c r="O71" s="1"/>
      <c r="P71" s="1"/>
      <c r="Q71" s="1"/>
      <c r="R71" s="1"/>
      <c r="S71" s="1"/>
      <c r="T71" s="1"/>
      <c r="U71" s="1"/>
      <c r="V71" s="1"/>
      <c r="W71" s="1"/>
      <c r="X71" s="1"/>
      <c r="Y71" s="1"/>
      <c r="Z71" s="1"/>
    </row>
    <row r="72" customHeight="1" spans="1:26">
      <c r="A72" s="1"/>
      <c r="B72" s="1"/>
      <c r="C72" s="2"/>
      <c r="D72" s="2"/>
      <c r="E72" s="3"/>
      <c r="F72" s="1"/>
      <c r="G72" s="1"/>
      <c r="H72" s="1"/>
      <c r="I72" s="1"/>
      <c r="J72" s="1"/>
      <c r="K72" s="1"/>
      <c r="L72" s="1"/>
      <c r="M72" s="1"/>
      <c r="N72" s="1"/>
      <c r="O72" s="1"/>
      <c r="P72" s="1"/>
      <c r="Q72" s="1"/>
      <c r="R72" s="1"/>
      <c r="S72" s="1"/>
      <c r="T72" s="1"/>
      <c r="U72" s="1"/>
      <c r="V72" s="1"/>
      <c r="W72" s="1"/>
      <c r="X72" s="1"/>
      <c r="Y72" s="1"/>
      <c r="Z72" s="1"/>
    </row>
    <row r="73" customHeight="1" spans="1:26">
      <c r="A73" s="1"/>
      <c r="B73" s="1"/>
      <c r="C73" s="2"/>
      <c r="D73" s="2"/>
      <c r="E73" s="3"/>
      <c r="F73" s="1"/>
      <c r="G73" s="1"/>
      <c r="H73" s="1"/>
      <c r="I73" s="1"/>
      <c r="J73" s="1"/>
      <c r="K73" s="1"/>
      <c r="L73" s="1"/>
      <c r="M73" s="1"/>
      <c r="N73" s="1"/>
      <c r="O73" s="1"/>
      <c r="P73" s="1"/>
      <c r="Q73" s="1"/>
      <c r="R73" s="1"/>
      <c r="S73" s="1"/>
      <c r="T73" s="1"/>
      <c r="U73" s="1"/>
      <c r="V73" s="1"/>
      <c r="W73" s="1"/>
      <c r="X73" s="1"/>
      <c r="Y73" s="1"/>
      <c r="Z73" s="1"/>
    </row>
    <row r="74" customHeight="1" spans="1:26">
      <c r="A74" s="1"/>
      <c r="B74" s="1"/>
      <c r="C74" s="2"/>
      <c r="D74" s="2"/>
      <c r="E74" s="3"/>
      <c r="F74" s="1"/>
      <c r="G74" s="1"/>
      <c r="H74" s="1"/>
      <c r="I74" s="1"/>
      <c r="J74" s="1"/>
      <c r="K74" s="1"/>
      <c r="L74" s="1"/>
      <c r="M74" s="1"/>
      <c r="N74" s="1"/>
      <c r="O74" s="1"/>
      <c r="P74" s="1"/>
      <c r="Q74" s="1"/>
      <c r="R74" s="1"/>
      <c r="S74" s="1"/>
      <c r="T74" s="1"/>
      <c r="U74" s="1"/>
      <c r="V74" s="1"/>
      <c r="W74" s="1"/>
      <c r="X74" s="1"/>
      <c r="Y74" s="1"/>
      <c r="Z74" s="1"/>
    </row>
    <row r="75" customHeight="1" spans="1:26">
      <c r="A75" s="1"/>
      <c r="B75" s="1"/>
      <c r="C75" s="2"/>
      <c r="D75" s="2"/>
      <c r="E75" s="3"/>
      <c r="F75" s="1"/>
      <c r="G75" s="1"/>
      <c r="H75" s="1"/>
      <c r="I75" s="1"/>
      <c r="J75" s="1"/>
      <c r="K75" s="1"/>
      <c r="L75" s="1"/>
      <c r="M75" s="1"/>
      <c r="N75" s="1"/>
      <c r="O75" s="1"/>
      <c r="P75" s="1"/>
      <c r="Q75" s="1"/>
      <c r="R75" s="1"/>
      <c r="S75" s="1"/>
      <c r="T75" s="1"/>
      <c r="U75" s="1"/>
      <c r="V75" s="1"/>
      <c r="W75" s="1"/>
      <c r="X75" s="1"/>
      <c r="Y75" s="1"/>
      <c r="Z75" s="1"/>
    </row>
    <row r="76" customHeight="1" spans="1:26">
      <c r="A76" s="1"/>
      <c r="B76" s="1"/>
      <c r="C76" s="2"/>
      <c r="D76" s="2"/>
      <c r="E76" s="3"/>
      <c r="F76" s="1"/>
      <c r="G76" s="1"/>
      <c r="H76" s="1"/>
      <c r="I76" s="1"/>
      <c r="J76" s="1"/>
      <c r="K76" s="1"/>
      <c r="L76" s="1"/>
      <c r="M76" s="1"/>
      <c r="N76" s="1"/>
      <c r="O76" s="1"/>
      <c r="P76" s="1"/>
      <c r="Q76" s="1"/>
      <c r="R76" s="1"/>
      <c r="S76" s="1"/>
      <c r="T76" s="1"/>
      <c r="U76" s="1"/>
      <c r="V76" s="1"/>
      <c r="W76" s="1"/>
      <c r="X76" s="1"/>
      <c r="Y76" s="1"/>
      <c r="Z76" s="1"/>
    </row>
    <row r="77" customHeight="1" spans="1:26">
      <c r="A77" s="1"/>
      <c r="B77" s="1"/>
      <c r="C77" s="2"/>
      <c r="D77" s="2"/>
      <c r="E77" s="3"/>
      <c r="F77" s="1"/>
      <c r="G77" s="1"/>
      <c r="H77" s="1"/>
      <c r="I77" s="1"/>
      <c r="J77" s="1"/>
      <c r="K77" s="1"/>
      <c r="L77" s="1"/>
      <c r="M77" s="1"/>
      <c r="N77" s="1"/>
      <c r="O77" s="1"/>
      <c r="P77" s="1"/>
      <c r="Q77" s="1"/>
      <c r="R77" s="1"/>
      <c r="S77" s="1"/>
      <c r="T77" s="1"/>
      <c r="U77" s="1"/>
      <c r="V77" s="1"/>
      <c r="W77" s="1"/>
      <c r="X77" s="1"/>
      <c r="Y77" s="1"/>
      <c r="Z77" s="1"/>
    </row>
    <row r="78" customHeight="1" spans="1:26">
      <c r="A78" s="1"/>
      <c r="B78" s="1"/>
      <c r="C78" s="2"/>
      <c r="D78" s="2"/>
      <c r="E78" s="3"/>
      <c r="F78" s="1"/>
      <c r="G78" s="1"/>
      <c r="H78" s="1"/>
      <c r="I78" s="1"/>
      <c r="J78" s="1"/>
      <c r="K78" s="1"/>
      <c r="L78" s="1"/>
      <c r="M78" s="1"/>
      <c r="N78" s="1"/>
      <c r="O78" s="1"/>
      <c r="P78" s="1"/>
      <c r="Q78" s="1"/>
      <c r="R78" s="1"/>
      <c r="S78" s="1"/>
      <c r="T78" s="1"/>
      <c r="U78" s="1"/>
      <c r="V78" s="1"/>
      <c r="W78" s="1"/>
      <c r="X78" s="1"/>
      <c r="Y78" s="1"/>
      <c r="Z78" s="1"/>
    </row>
    <row r="79" customHeight="1" spans="1:26">
      <c r="A79" s="1"/>
      <c r="B79" s="1"/>
      <c r="C79" s="2"/>
      <c r="D79" s="2"/>
      <c r="E79" s="3"/>
      <c r="F79" s="1"/>
      <c r="G79" s="1"/>
      <c r="H79" s="1"/>
      <c r="I79" s="1"/>
      <c r="J79" s="1"/>
      <c r="K79" s="1"/>
      <c r="L79" s="1"/>
      <c r="M79" s="1"/>
      <c r="N79" s="1"/>
      <c r="O79" s="1"/>
      <c r="P79" s="1"/>
      <c r="Q79" s="1"/>
      <c r="R79" s="1"/>
      <c r="S79" s="1"/>
      <c r="T79" s="1"/>
      <c r="U79" s="1"/>
      <c r="V79" s="1"/>
      <c r="W79" s="1"/>
      <c r="X79" s="1"/>
      <c r="Y79" s="1"/>
      <c r="Z79" s="1"/>
    </row>
    <row r="80" customHeight="1" spans="1:26">
      <c r="A80" s="1"/>
      <c r="B80" s="1"/>
      <c r="C80" s="2"/>
      <c r="D80" s="2"/>
      <c r="E80" s="3"/>
      <c r="F80" s="1"/>
      <c r="G80" s="1"/>
      <c r="H80" s="1"/>
      <c r="I80" s="1"/>
      <c r="J80" s="1"/>
      <c r="K80" s="1"/>
      <c r="L80" s="1"/>
      <c r="M80" s="1"/>
      <c r="N80" s="1"/>
      <c r="O80" s="1"/>
      <c r="P80" s="1"/>
      <c r="Q80" s="1"/>
      <c r="R80" s="1"/>
      <c r="S80" s="1"/>
      <c r="T80" s="1"/>
      <c r="U80" s="1"/>
      <c r="V80" s="1"/>
      <c r="W80" s="1"/>
      <c r="X80" s="1"/>
      <c r="Y80" s="1"/>
      <c r="Z80" s="1"/>
    </row>
    <row r="81" customHeight="1" spans="1:26">
      <c r="A81" s="1"/>
      <c r="B81" s="1"/>
      <c r="C81" s="2"/>
      <c r="D81" s="2"/>
      <c r="E81" s="3"/>
      <c r="F81" s="1"/>
      <c r="G81" s="1"/>
      <c r="H81" s="1"/>
      <c r="I81" s="1"/>
      <c r="J81" s="1"/>
      <c r="K81" s="1"/>
      <c r="L81" s="1"/>
      <c r="M81" s="1"/>
      <c r="N81" s="1"/>
      <c r="O81" s="1"/>
      <c r="P81" s="1"/>
      <c r="Q81" s="1"/>
      <c r="R81" s="1"/>
      <c r="S81" s="1"/>
      <c r="T81" s="1"/>
      <c r="U81" s="1"/>
      <c r="V81" s="1"/>
      <c r="W81" s="1"/>
      <c r="X81" s="1"/>
      <c r="Y81" s="1"/>
      <c r="Z81" s="1"/>
    </row>
    <row r="82" customHeight="1" spans="1:26">
      <c r="A82" s="1"/>
      <c r="B82" s="1"/>
      <c r="C82" s="2"/>
      <c r="D82" s="2"/>
      <c r="E82" s="3"/>
      <c r="F82" s="1"/>
      <c r="G82" s="1"/>
      <c r="H82" s="1"/>
      <c r="I82" s="1"/>
      <c r="J82" s="1"/>
      <c r="K82" s="1"/>
      <c r="L82" s="1"/>
      <c r="M82" s="1"/>
      <c r="N82" s="1"/>
      <c r="O82" s="1"/>
      <c r="P82" s="1"/>
      <c r="Q82" s="1"/>
      <c r="R82" s="1"/>
      <c r="S82" s="1"/>
      <c r="T82" s="1"/>
      <c r="U82" s="1"/>
      <c r="V82" s="1"/>
      <c r="W82" s="1"/>
      <c r="X82" s="1"/>
      <c r="Y82" s="1"/>
      <c r="Z82" s="1"/>
    </row>
    <row r="83" customHeight="1" spans="1:26">
      <c r="A83" s="1"/>
      <c r="B83" s="1"/>
      <c r="C83" s="2"/>
      <c r="D83" s="2"/>
      <c r="E83" s="3"/>
      <c r="F83" s="1"/>
      <c r="G83" s="1"/>
      <c r="H83" s="1"/>
      <c r="I83" s="1"/>
      <c r="J83" s="1"/>
      <c r="K83" s="1"/>
      <c r="L83" s="1"/>
      <c r="M83" s="1"/>
      <c r="N83" s="1"/>
      <c r="O83" s="1"/>
      <c r="P83" s="1"/>
      <c r="Q83" s="1"/>
      <c r="R83" s="1"/>
      <c r="S83" s="1"/>
      <c r="T83" s="1"/>
      <c r="U83" s="1"/>
      <c r="V83" s="1"/>
      <c r="W83" s="1"/>
      <c r="X83" s="1"/>
      <c r="Y83" s="1"/>
      <c r="Z83" s="1"/>
    </row>
    <row r="84" customHeight="1" spans="1:26">
      <c r="A84" s="1"/>
      <c r="B84" s="1"/>
      <c r="C84" s="2"/>
      <c r="D84" s="2"/>
      <c r="E84" s="3"/>
      <c r="F84" s="1"/>
      <c r="G84" s="1"/>
      <c r="H84" s="1"/>
      <c r="I84" s="1"/>
      <c r="J84" s="1"/>
      <c r="K84" s="1"/>
      <c r="L84" s="1"/>
      <c r="M84" s="1"/>
      <c r="N84" s="1"/>
      <c r="O84" s="1"/>
      <c r="P84" s="1"/>
      <c r="Q84" s="1"/>
      <c r="R84" s="1"/>
      <c r="S84" s="1"/>
      <c r="T84" s="1"/>
      <c r="U84" s="1"/>
      <c r="V84" s="1"/>
      <c r="W84" s="1"/>
      <c r="X84" s="1"/>
      <c r="Y84" s="1"/>
      <c r="Z84" s="1"/>
    </row>
    <row r="85" customHeight="1" spans="1:26">
      <c r="A85" s="1"/>
      <c r="B85" s="1"/>
      <c r="C85" s="2"/>
      <c r="D85" s="2"/>
      <c r="E85" s="3"/>
      <c r="F85" s="1"/>
      <c r="G85" s="1"/>
      <c r="H85" s="1"/>
      <c r="I85" s="1"/>
      <c r="J85" s="1"/>
      <c r="K85" s="1"/>
      <c r="L85" s="1"/>
      <c r="M85" s="1"/>
      <c r="N85" s="1"/>
      <c r="O85" s="1"/>
      <c r="P85" s="1"/>
      <c r="Q85" s="1"/>
      <c r="R85" s="1"/>
      <c r="S85" s="1"/>
      <c r="T85" s="1"/>
      <c r="U85" s="1"/>
      <c r="V85" s="1"/>
      <c r="W85" s="1"/>
      <c r="X85" s="1"/>
      <c r="Y85" s="1"/>
      <c r="Z85" s="1"/>
    </row>
    <row r="86" customHeight="1" spans="1:26">
      <c r="A86" s="1"/>
      <c r="B86" s="1"/>
      <c r="C86" s="2"/>
      <c r="D86" s="2"/>
      <c r="E86" s="3"/>
      <c r="F86" s="1"/>
      <c r="G86" s="1"/>
      <c r="H86" s="1"/>
      <c r="I86" s="1"/>
      <c r="J86" s="1"/>
      <c r="K86" s="1"/>
      <c r="L86" s="1"/>
      <c r="M86" s="1"/>
      <c r="N86" s="1"/>
      <c r="O86" s="1"/>
      <c r="P86" s="1"/>
      <c r="Q86" s="1"/>
      <c r="R86" s="1"/>
      <c r="S86" s="1"/>
      <c r="T86" s="1"/>
      <c r="U86" s="1"/>
      <c r="V86" s="1"/>
      <c r="W86" s="1"/>
      <c r="X86" s="1"/>
      <c r="Y86" s="1"/>
      <c r="Z86" s="1"/>
    </row>
    <row r="87" customHeight="1" spans="1:26">
      <c r="A87" s="1"/>
      <c r="B87" s="1"/>
      <c r="C87" s="2"/>
      <c r="D87" s="2"/>
      <c r="E87" s="3"/>
      <c r="F87" s="1"/>
      <c r="G87" s="1"/>
      <c r="H87" s="1"/>
      <c r="I87" s="1"/>
      <c r="J87" s="1"/>
      <c r="K87" s="1"/>
      <c r="L87" s="1"/>
      <c r="M87" s="1"/>
      <c r="N87" s="1"/>
      <c r="O87" s="1"/>
      <c r="P87" s="1"/>
      <c r="Q87" s="1"/>
      <c r="R87" s="1"/>
      <c r="S87" s="1"/>
      <c r="T87" s="1"/>
      <c r="U87" s="1"/>
      <c r="V87" s="1"/>
      <c r="W87" s="1"/>
      <c r="X87" s="1"/>
      <c r="Y87" s="1"/>
      <c r="Z87" s="1"/>
    </row>
    <row r="88" customHeight="1" spans="1:26">
      <c r="A88" s="1"/>
      <c r="B88" s="1"/>
      <c r="C88" s="2"/>
      <c r="D88" s="2"/>
      <c r="E88" s="3"/>
      <c r="F88" s="1"/>
      <c r="G88" s="1"/>
      <c r="H88" s="1"/>
      <c r="I88" s="1"/>
      <c r="J88" s="1"/>
      <c r="K88" s="1"/>
      <c r="L88" s="1"/>
      <c r="M88" s="1"/>
      <c r="N88" s="1"/>
      <c r="O88" s="1"/>
      <c r="P88" s="1"/>
      <c r="Q88" s="1"/>
      <c r="R88" s="1"/>
      <c r="S88" s="1"/>
      <c r="T88" s="1"/>
      <c r="U88" s="1"/>
      <c r="V88" s="1"/>
      <c r="W88" s="1"/>
      <c r="X88" s="1"/>
      <c r="Y88" s="1"/>
      <c r="Z88" s="1"/>
    </row>
    <row r="89" customHeight="1" spans="1:26">
      <c r="A89" s="1"/>
      <c r="B89" s="1"/>
      <c r="C89" s="2"/>
      <c r="D89" s="2"/>
      <c r="E89" s="3"/>
      <c r="F89" s="1"/>
      <c r="G89" s="1"/>
      <c r="H89" s="1"/>
      <c r="I89" s="1"/>
      <c r="J89" s="1"/>
      <c r="K89" s="1"/>
      <c r="L89" s="1"/>
      <c r="M89" s="1"/>
      <c r="N89" s="1"/>
      <c r="O89" s="1"/>
      <c r="P89" s="1"/>
      <c r="Q89" s="1"/>
      <c r="R89" s="1"/>
      <c r="S89" s="1"/>
      <c r="T89" s="1"/>
      <c r="U89" s="1"/>
      <c r="V89" s="1"/>
      <c r="W89" s="1"/>
      <c r="X89" s="1"/>
      <c r="Y89" s="1"/>
      <c r="Z89" s="1"/>
    </row>
    <row r="90" customHeight="1" spans="1:26">
      <c r="A90" s="1"/>
      <c r="B90" s="1"/>
      <c r="C90" s="2"/>
      <c r="D90" s="2"/>
      <c r="E90" s="3"/>
      <c r="F90" s="1"/>
      <c r="G90" s="1"/>
      <c r="H90" s="1"/>
      <c r="I90" s="1"/>
      <c r="J90" s="1"/>
      <c r="K90" s="1"/>
      <c r="L90" s="1"/>
      <c r="M90" s="1"/>
      <c r="N90" s="1"/>
      <c r="O90" s="1"/>
      <c r="P90" s="1"/>
      <c r="Q90" s="1"/>
      <c r="R90" s="1"/>
      <c r="S90" s="1"/>
      <c r="T90" s="1"/>
      <c r="U90" s="1"/>
      <c r="V90" s="1"/>
      <c r="W90" s="1"/>
      <c r="X90" s="1"/>
      <c r="Y90" s="1"/>
      <c r="Z90" s="1"/>
    </row>
    <row r="91" customHeight="1" spans="1:26">
      <c r="A91" s="1"/>
      <c r="B91" s="1"/>
      <c r="C91" s="2"/>
      <c r="D91" s="2"/>
      <c r="E91" s="3"/>
      <c r="F91" s="1"/>
      <c r="G91" s="1"/>
      <c r="H91" s="1"/>
      <c r="I91" s="1"/>
      <c r="J91" s="1"/>
      <c r="K91" s="1"/>
      <c r="L91" s="1"/>
      <c r="M91" s="1"/>
      <c r="N91" s="1"/>
      <c r="O91" s="1"/>
      <c r="P91" s="1"/>
      <c r="Q91" s="1"/>
      <c r="R91" s="1"/>
      <c r="S91" s="1"/>
      <c r="T91" s="1"/>
      <c r="U91" s="1"/>
      <c r="V91" s="1"/>
      <c r="W91" s="1"/>
      <c r="X91" s="1"/>
      <c r="Y91" s="1"/>
      <c r="Z91" s="1"/>
    </row>
    <row r="92" customHeight="1" spans="1:26">
      <c r="A92" s="1"/>
      <c r="B92" s="1"/>
      <c r="C92" s="2"/>
      <c r="D92" s="2"/>
      <c r="E92" s="3"/>
      <c r="F92" s="1"/>
      <c r="G92" s="1"/>
      <c r="H92" s="1"/>
      <c r="I92" s="1"/>
      <c r="J92" s="1"/>
      <c r="K92" s="1"/>
      <c r="L92" s="1"/>
      <c r="M92" s="1"/>
      <c r="N92" s="1"/>
      <c r="O92" s="1"/>
      <c r="P92" s="1"/>
      <c r="Q92" s="1"/>
      <c r="R92" s="1"/>
      <c r="S92" s="1"/>
      <c r="T92" s="1"/>
      <c r="U92" s="1"/>
      <c r="V92" s="1"/>
      <c r="W92" s="1"/>
      <c r="X92" s="1"/>
      <c r="Y92" s="1"/>
      <c r="Z92" s="1"/>
    </row>
    <row r="93" customHeight="1" spans="1:26">
      <c r="A93" s="1"/>
      <c r="B93" s="1"/>
      <c r="C93" s="2"/>
      <c r="D93" s="2"/>
      <c r="E93" s="3"/>
      <c r="F93" s="1"/>
      <c r="G93" s="1"/>
      <c r="H93" s="1"/>
      <c r="I93" s="1"/>
      <c r="J93" s="1"/>
      <c r="K93" s="1"/>
      <c r="L93" s="1"/>
      <c r="M93" s="1"/>
      <c r="N93" s="1"/>
      <c r="O93" s="1"/>
      <c r="P93" s="1"/>
      <c r="Q93" s="1"/>
      <c r="R93" s="1"/>
      <c r="S93" s="1"/>
      <c r="T93" s="1"/>
      <c r="U93" s="1"/>
      <c r="V93" s="1"/>
      <c r="W93" s="1"/>
      <c r="X93" s="1"/>
      <c r="Y93" s="1"/>
      <c r="Z93" s="1"/>
    </row>
    <row r="94" customHeight="1" spans="1:26">
      <c r="A94" s="1"/>
      <c r="B94" s="1"/>
      <c r="C94" s="2"/>
      <c r="D94" s="2"/>
      <c r="E94" s="3"/>
      <c r="F94" s="1"/>
      <c r="G94" s="1"/>
      <c r="H94" s="1"/>
      <c r="I94" s="1"/>
      <c r="J94" s="1"/>
      <c r="K94" s="1"/>
      <c r="L94" s="1"/>
      <c r="M94" s="1"/>
      <c r="N94" s="1"/>
      <c r="O94" s="1"/>
      <c r="P94" s="1"/>
      <c r="Q94" s="1"/>
      <c r="R94" s="1"/>
      <c r="S94" s="1"/>
      <c r="T94" s="1"/>
      <c r="U94" s="1"/>
      <c r="V94" s="1"/>
      <c r="W94" s="1"/>
      <c r="X94" s="1"/>
      <c r="Y94" s="1"/>
      <c r="Z94" s="1"/>
    </row>
    <row r="95" customHeight="1" spans="1:26">
      <c r="A95" s="1"/>
      <c r="B95" s="1"/>
      <c r="C95" s="2"/>
      <c r="D95" s="2"/>
      <c r="E95" s="3"/>
      <c r="F95" s="1"/>
      <c r="G95" s="1"/>
      <c r="H95" s="1"/>
      <c r="I95" s="1"/>
      <c r="J95" s="1"/>
      <c r="K95" s="1"/>
      <c r="L95" s="1"/>
      <c r="M95" s="1"/>
      <c r="N95" s="1"/>
      <c r="O95" s="1"/>
      <c r="P95" s="1"/>
      <c r="Q95" s="1"/>
      <c r="R95" s="1"/>
      <c r="S95" s="1"/>
      <c r="T95" s="1"/>
      <c r="U95" s="1"/>
      <c r="V95" s="1"/>
      <c r="W95" s="1"/>
      <c r="X95" s="1"/>
      <c r="Y95" s="1"/>
      <c r="Z95" s="1"/>
    </row>
    <row r="96" customHeight="1" spans="1:26">
      <c r="A96" s="1"/>
      <c r="B96" s="1"/>
      <c r="C96" s="2"/>
      <c r="D96" s="2"/>
      <c r="E96" s="3"/>
      <c r="F96" s="1"/>
      <c r="G96" s="1"/>
      <c r="H96" s="1"/>
      <c r="I96" s="1"/>
      <c r="J96" s="1"/>
      <c r="K96" s="1"/>
      <c r="L96" s="1"/>
      <c r="M96" s="1"/>
      <c r="N96" s="1"/>
      <c r="O96" s="1"/>
      <c r="P96" s="1"/>
      <c r="Q96" s="1"/>
      <c r="R96" s="1"/>
      <c r="S96" s="1"/>
      <c r="T96" s="1"/>
      <c r="U96" s="1"/>
      <c r="V96" s="1"/>
      <c r="W96" s="1"/>
      <c r="X96" s="1"/>
      <c r="Y96" s="1"/>
      <c r="Z96" s="1"/>
    </row>
    <row r="97" customHeight="1" spans="1:26">
      <c r="A97" s="1"/>
      <c r="B97" s="1"/>
      <c r="C97" s="2"/>
      <c r="D97" s="2"/>
      <c r="E97" s="3"/>
      <c r="F97" s="1"/>
      <c r="G97" s="1"/>
      <c r="H97" s="1"/>
      <c r="I97" s="1"/>
      <c r="J97" s="1"/>
      <c r="K97" s="1"/>
      <c r="L97" s="1"/>
      <c r="M97" s="1"/>
      <c r="N97" s="1"/>
      <c r="O97" s="1"/>
      <c r="P97" s="1"/>
      <c r="Q97" s="1"/>
      <c r="R97" s="1"/>
      <c r="S97" s="1"/>
      <c r="T97" s="1"/>
      <c r="U97" s="1"/>
      <c r="V97" s="1"/>
      <c r="W97" s="1"/>
      <c r="X97" s="1"/>
      <c r="Y97" s="1"/>
      <c r="Z97" s="1"/>
    </row>
    <row r="98" customHeight="1" spans="1:26">
      <c r="A98" s="1"/>
      <c r="B98" s="1"/>
      <c r="C98" s="2"/>
      <c r="D98" s="2"/>
      <c r="E98" s="3"/>
      <c r="F98" s="1"/>
      <c r="G98" s="1"/>
      <c r="H98" s="1"/>
      <c r="I98" s="1"/>
      <c r="J98" s="1"/>
      <c r="K98" s="1"/>
      <c r="L98" s="1"/>
      <c r="M98" s="1"/>
      <c r="N98" s="1"/>
      <c r="O98" s="1"/>
      <c r="P98" s="1"/>
      <c r="Q98" s="1"/>
      <c r="R98" s="1"/>
      <c r="S98" s="1"/>
      <c r="T98" s="1"/>
      <c r="U98" s="1"/>
      <c r="V98" s="1"/>
      <c r="W98" s="1"/>
      <c r="X98" s="1"/>
      <c r="Y98" s="1"/>
      <c r="Z98" s="1"/>
    </row>
    <row r="99" customHeight="1" spans="1:26">
      <c r="A99" s="1"/>
      <c r="B99" s="1"/>
      <c r="C99" s="2"/>
      <c r="D99" s="2"/>
      <c r="E99" s="3"/>
      <c r="F99" s="1"/>
      <c r="G99" s="1"/>
      <c r="H99" s="1"/>
      <c r="I99" s="1"/>
      <c r="J99" s="1"/>
      <c r="K99" s="1"/>
      <c r="L99" s="1"/>
      <c r="M99" s="1"/>
      <c r="N99" s="1"/>
      <c r="O99" s="1"/>
      <c r="P99" s="1"/>
      <c r="Q99" s="1"/>
      <c r="R99" s="1"/>
      <c r="S99" s="1"/>
      <c r="T99" s="1"/>
      <c r="U99" s="1"/>
      <c r="V99" s="1"/>
      <c r="W99" s="1"/>
      <c r="X99" s="1"/>
      <c r="Y99" s="1"/>
      <c r="Z99" s="1"/>
    </row>
    <row r="100" customHeight="1" spans="1:26">
      <c r="A100" s="1"/>
      <c r="B100" s="1"/>
      <c r="C100" s="2"/>
      <c r="D100" s="2"/>
      <c r="E100" s="3"/>
      <c r="F100" s="1"/>
      <c r="G100" s="1"/>
      <c r="H100" s="1"/>
      <c r="I100" s="1"/>
      <c r="J100" s="1"/>
      <c r="K100" s="1"/>
      <c r="L100" s="1"/>
      <c r="M100" s="1"/>
      <c r="N100" s="1"/>
      <c r="O100" s="1"/>
      <c r="P100" s="1"/>
      <c r="Q100" s="1"/>
      <c r="R100" s="1"/>
      <c r="S100" s="1"/>
      <c r="T100" s="1"/>
      <c r="U100" s="1"/>
      <c r="V100" s="1"/>
      <c r="W100" s="1"/>
      <c r="X100" s="1"/>
      <c r="Y100" s="1"/>
      <c r="Z100" s="1"/>
    </row>
    <row r="101" customHeight="1" spans="1:26">
      <c r="A101" s="1"/>
      <c r="B101" s="1"/>
      <c r="C101" s="2"/>
      <c r="D101" s="2"/>
      <c r="E101" s="3"/>
      <c r="F101" s="1"/>
      <c r="G101" s="1"/>
      <c r="H101" s="1"/>
      <c r="I101" s="1"/>
      <c r="J101" s="1"/>
      <c r="K101" s="1"/>
      <c r="L101" s="1"/>
      <c r="M101" s="1"/>
      <c r="N101" s="1"/>
      <c r="O101" s="1"/>
      <c r="P101" s="1"/>
      <c r="Q101" s="1"/>
      <c r="R101" s="1"/>
      <c r="S101" s="1"/>
      <c r="T101" s="1"/>
      <c r="U101" s="1"/>
      <c r="V101" s="1"/>
      <c r="W101" s="1"/>
      <c r="X101" s="1"/>
      <c r="Y101" s="1"/>
      <c r="Z101" s="1"/>
    </row>
    <row r="102" customHeight="1" spans="1:26">
      <c r="A102" s="1"/>
      <c r="B102" s="1"/>
      <c r="C102" s="2"/>
      <c r="D102" s="2"/>
      <c r="E102" s="3"/>
      <c r="F102" s="1"/>
      <c r="G102" s="1"/>
      <c r="H102" s="1"/>
      <c r="I102" s="1"/>
      <c r="J102" s="1"/>
      <c r="K102" s="1"/>
      <c r="L102" s="1"/>
      <c r="M102" s="1"/>
      <c r="N102" s="1"/>
      <c r="O102" s="1"/>
      <c r="P102" s="1"/>
      <c r="Q102" s="1"/>
      <c r="R102" s="1"/>
      <c r="S102" s="1"/>
      <c r="T102" s="1"/>
      <c r="U102" s="1"/>
      <c r="V102" s="1"/>
      <c r="W102" s="1"/>
      <c r="X102" s="1"/>
      <c r="Y102" s="1"/>
      <c r="Z102" s="1"/>
    </row>
    <row r="103" customHeight="1" spans="1:26">
      <c r="A103" s="1"/>
      <c r="B103" s="1"/>
      <c r="C103" s="2"/>
      <c r="D103" s="2"/>
      <c r="E103" s="3"/>
      <c r="F103" s="1"/>
      <c r="G103" s="1"/>
      <c r="H103" s="1"/>
      <c r="I103" s="1"/>
      <c r="J103" s="1"/>
      <c r="K103" s="1"/>
      <c r="L103" s="1"/>
      <c r="M103" s="1"/>
      <c r="N103" s="1"/>
      <c r="O103" s="1"/>
      <c r="P103" s="1"/>
      <c r="Q103" s="1"/>
      <c r="R103" s="1"/>
      <c r="S103" s="1"/>
      <c r="T103" s="1"/>
      <c r="U103" s="1"/>
      <c r="V103" s="1"/>
      <c r="W103" s="1"/>
      <c r="X103" s="1"/>
      <c r="Y103" s="1"/>
      <c r="Z103" s="1"/>
    </row>
    <row r="104" customHeight="1" spans="1:26">
      <c r="A104" s="1"/>
      <c r="B104" s="1"/>
      <c r="C104" s="2"/>
      <c r="D104" s="2"/>
      <c r="E104" s="3"/>
      <c r="F104" s="1"/>
      <c r="G104" s="1"/>
      <c r="H104" s="1"/>
      <c r="I104" s="1"/>
      <c r="J104" s="1"/>
      <c r="K104" s="1"/>
      <c r="L104" s="1"/>
      <c r="M104" s="1"/>
      <c r="N104" s="1"/>
      <c r="O104" s="1"/>
      <c r="P104" s="1"/>
      <c r="Q104" s="1"/>
      <c r="R104" s="1"/>
      <c r="S104" s="1"/>
      <c r="T104" s="1"/>
      <c r="U104" s="1"/>
      <c r="V104" s="1"/>
      <c r="W104" s="1"/>
      <c r="X104" s="1"/>
      <c r="Y104" s="1"/>
      <c r="Z104" s="1"/>
    </row>
    <row r="105" customHeight="1" spans="1:26">
      <c r="A105" s="1"/>
      <c r="B105" s="1"/>
      <c r="C105" s="2"/>
      <c r="D105" s="2"/>
      <c r="E105" s="3"/>
      <c r="F105" s="1"/>
      <c r="G105" s="1"/>
      <c r="H105" s="1"/>
      <c r="I105" s="1"/>
      <c r="J105" s="1"/>
      <c r="K105" s="1"/>
      <c r="L105" s="1"/>
      <c r="M105" s="1"/>
      <c r="N105" s="1"/>
      <c r="O105" s="1"/>
      <c r="P105" s="1"/>
      <c r="Q105" s="1"/>
      <c r="R105" s="1"/>
      <c r="S105" s="1"/>
      <c r="T105" s="1"/>
      <c r="U105" s="1"/>
      <c r="V105" s="1"/>
      <c r="W105" s="1"/>
      <c r="X105" s="1"/>
      <c r="Y105" s="1"/>
      <c r="Z105" s="1"/>
    </row>
    <row r="106" customHeight="1" spans="1:26">
      <c r="A106" s="1"/>
      <c r="B106" s="1"/>
      <c r="C106" s="2"/>
      <c r="D106" s="2"/>
      <c r="E106" s="3"/>
      <c r="F106" s="1"/>
      <c r="G106" s="1"/>
      <c r="H106" s="1"/>
      <c r="I106" s="1"/>
      <c r="J106" s="1"/>
      <c r="K106" s="1"/>
      <c r="L106" s="1"/>
      <c r="M106" s="1"/>
      <c r="N106" s="1"/>
      <c r="O106" s="1"/>
      <c r="P106" s="1"/>
      <c r="Q106" s="1"/>
      <c r="R106" s="1"/>
      <c r="S106" s="1"/>
      <c r="T106" s="1"/>
      <c r="U106" s="1"/>
      <c r="V106" s="1"/>
      <c r="W106" s="1"/>
      <c r="X106" s="1"/>
      <c r="Y106" s="1"/>
      <c r="Z106" s="1"/>
    </row>
    <row r="107" customHeight="1" spans="1:26">
      <c r="A107" s="1"/>
      <c r="B107" s="1"/>
      <c r="C107" s="2"/>
      <c r="D107" s="2"/>
      <c r="E107" s="3"/>
      <c r="F107" s="1"/>
      <c r="G107" s="1"/>
      <c r="H107" s="1"/>
      <c r="I107" s="1"/>
      <c r="J107" s="1"/>
      <c r="K107" s="1"/>
      <c r="L107" s="1"/>
      <c r="M107" s="1"/>
      <c r="N107" s="1"/>
      <c r="O107" s="1"/>
      <c r="P107" s="1"/>
      <c r="Q107" s="1"/>
      <c r="R107" s="1"/>
      <c r="S107" s="1"/>
      <c r="T107" s="1"/>
      <c r="U107" s="1"/>
      <c r="V107" s="1"/>
      <c r="W107" s="1"/>
      <c r="X107" s="1"/>
      <c r="Y107" s="1"/>
      <c r="Z107" s="1"/>
    </row>
    <row r="108" customHeight="1" spans="1:26">
      <c r="A108" s="1"/>
      <c r="B108" s="1"/>
      <c r="C108" s="2"/>
      <c r="D108" s="2"/>
      <c r="E108" s="3"/>
      <c r="F108" s="1"/>
      <c r="G108" s="1"/>
      <c r="H108" s="1"/>
      <c r="I108" s="1"/>
      <c r="J108" s="1"/>
      <c r="K108" s="1"/>
      <c r="L108" s="1"/>
      <c r="M108" s="1"/>
      <c r="N108" s="1"/>
      <c r="O108" s="1"/>
      <c r="P108" s="1"/>
      <c r="Q108" s="1"/>
      <c r="R108" s="1"/>
      <c r="S108" s="1"/>
      <c r="T108" s="1"/>
      <c r="U108" s="1"/>
      <c r="V108" s="1"/>
      <c r="W108" s="1"/>
      <c r="X108" s="1"/>
      <c r="Y108" s="1"/>
      <c r="Z108" s="1"/>
    </row>
    <row r="109" customHeight="1" spans="1:26">
      <c r="A109" s="1"/>
      <c r="B109" s="1"/>
      <c r="C109" s="2"/>
      <c r="D109" s="2"/>
      <c r="E109" s="3"/>
      <c r="F109" s="1"/>
      <c r="G109" s="1"/>
      <c r="H109" s="1"/>
      <c r="I109" s="1"/>
      <c r="J109" s="1"/>
      <c r="K109" s="1"/>
      <c r="L109" s="1"/>
      <c r="M109" s="1"/>
      <c r="N109" s="1"/>
      <c r="O109" s="1"/>
      <c r="P109" s="1"/>
      <c r="Q109" s="1"/>
      <c r="R109" s="1"/>
      <c r="S109" s="1"/>
      <c r="T109" s="1"/>
      <c r="U109" s="1"/>
      <c r="V109" s="1"/>
      <c r="W109" s="1"/>
      <c r="X109" s="1"/>
      <c r="Y109" s="1"/>
      <c r="Z109" s="1"/>
    </row>
    <row r="110" customHeight="1" spans="1:26">
      <c r="A110" s="1"/>
      <c r="B110" s="1"/>
      <c r="C110" s="2"/>
      <c r="D110" s="2"/>
      <c r="E110" s="3"/>
      <c r="F110" s="1"/>
      <c r="G110" s="1"/>
      <c r="H110" s="1"/>
      <c r="I110" s="1"/>
      <c r="J110" s="1"/>
      <c r="K110" s="1"/>
      <c r="L110" s="1"/>
      <c r="M110" s="1"/>
      <c r="N110" s="1"/>
      <c r="O110" s="1"/>
      <c r="P110" s="1"/>
      <c r="Q110" s="1"/>
      <c r="R110" s="1"/>
      <c r="S110" s="1"/>
      <c r="T110" s="1"/>
      <c r="U110" s="1"/>
      <c r="V110" s="1"/>
      <c r="W110" s="1"/>
      <c r="X110" s="1"/>
      <c r="Y110" s="1"/>
      <c r="Z110" s="1"/>
    </row>
    <row r="111" customHeight="1" spans="1:26">
      <c r="A111" s="1"/>
      <c r="B111" s="1"/>
      <c r="C111" s="2"/>
      <c r="D111" s="2"/>
      <c r="E111" s="3"/>
      <c r="F111" s="1"/>
      <c r="G111" s="1"/>
      <c r="H111" s="1"/>
      <c r="I111" s="1"/>
      <c r="J111" s="1"/>
      <c r="K111" s="1"/>
      <c r="L111" s="1"/>
      <c r="M111" s="1"/>
      <c r="N111" s="1"/>
      <c r="O111" s="1"/>
      <c r="P111" s="1"/>
      <c r="Q111" s="1"/>
      <c r="R111" s="1"/>
      <c r="S111" s="1"/>
      <c r="T111" s="1"/>
      <c r="U111" s="1"/>
      <c r="V111" s="1"/>
      <c r="W111" s="1"/>
      <c r="X111" s="1"/>
      <c r="Y111" s="1"/>
      <c r="Z111" s="1"/>
    </row>
    <row r="112" customHeight="1" spans="1:26">
      <c r="A112" s="1"/>
      <c r="B112" s="1"/>
      <c r="C112" s="2"/>
      <c r="D112" s="2"/>
      <c r="E112" s="3"/>
      <c r="F112" s="1"/>
      <c r="G112" s="1"/>
      <c r="H112" s="1"/>
      <c r="I112" s="1"/>
      <c r="J112" s="1"/>
      <c r="K112" s="1"/>
      <c r="L112" s="1"/>
      <c r="M112" s="1"/>
      <c r="N112" s="1"/>
      <c r="O112" s="1"/>
      <c r="P112" s="1"/>
      <c r="Q112" s="1"/>
      <c r="R112" s="1"/>
      <c r="S112" s="1"/>
      <c r="T112" s="1"/>
      <c r="U112" s="1"/>
      <c r="V112" s="1"/>
      <c r="W112" s="1"/>
      <c r="X112" s="1"/>
      <c r="Y112" s="1"/>
      <c r="Z112" s="1"/>
    </row>
    <row r="113" customHeight="1" spans="1:26">
      <c r="A113" s="1"/>
      <c r="B113" s="1"/>
      <c r="C113" s="2"/>
      <c r="D113" s="2"/>
      <c r="E113" s="3"/>
      <c r="F113" s="1"/>
      <c r="G113" s="1"/>
      <c r="H113" s="1"/>
      <c r="I113" s="1"/>
      <c r="J113" s="1"/>
      <c r="K113" s="1"/>
      <c r="L113" s="1"/>
      <c r="M113" s="1"/>
      <c r="N113" s="1"/>
      <c r="O113" s="1"/>
      <c r="P113" s="1"/>
      <c r="Q113" s="1"/>
      <c r="R113" s="1"/>
      <c r="S113" s="1"/>
      <c r="T113" s="1"/>
      <c r="U113" s="1"/>
      <c r="V113" s="1"/>
      <c r="W113" s="1"/>
      <c r="X113" s="1"/>
      <c r="Y113" s="1"/>
      <c r="Z113" s="1"/>
    </row>
    <row r="114" customHeight="1" spans="1:26">
      <c r="A114" s="1"/>
      <c r="B114" s="1"/>
      <c r="C114" s="2"/>
      <c r="D114" s="2"/>
      <c r="E114" s="3"/>
      <c r="F114" s="1"/>
      <c r="G114" s="1"/>
      <c r="H114" s="1"/>
      <c r="I114" s="1"/>
      <c r="J114" s="1"/>
      <c r="K114" s="1"/>
      <c r="L114" s="1"/>
      <c r="M114" s="1"/>
      <c r="N114" s="1"/>
      <c r="O114" s="1"/>
      <c r="P114" s="1"/>
      <c r="Q114" s="1"/>
      <c r="R114" s="1"/>
      <c r="S114" s="1"/>
      <c r="T114" s="1"/>
      <c r="U114" s="1"/>
      <c r="V114" s="1"/>
      <c r="W114" s="1"/>
      <c r="X114" s="1"/>
      <c r="Y114" s="1"/>
      <c r="Z114" s="1"/>
    </row>
    <row r="115" customHeight="1" spans="1:26">
      <c r="A115" s="1"/>
      <c r="B115" s="1"/>
      <c r="C115" s="2"/>
      <c r="D115" s="2"/>
      <c r="E115" s="3"/>
      <c r="F115" s="1"/>
      <c r="G115" s="1"/>
      <c r="H115" s="1"/>
      <c r="I115" s="1"/>
      <c r="J115" s="1"/>
      <c r="K115" s="1"/>
      <c r="L115" s="1"/>
      <c r="M115" s="1"/>
      <c r="N115" s="1"/>
      <c r="O115" s="1"/>
      <c r="P115" s="1"/>
      <c r="Q115" s="1"/>
      <c r="R115" s="1"/>
      <c r="S115" s="1"/>
      <c r="T115" s="1"/>
      <c r="U115" s="1"/>
      <c r="V115" s="1"/>
      <c r="W115" s="1"/>
      <c r="X115" s="1"/>
      <c r="Y115" s="1"/>
      <c r="Z115" s="1"/>
    </row>
    <row r="116" customHeight="1" spans="1:26">
      <c r="A116" s="1"/>
      <c r="B116" s="1"/>
      <c r="C116" s="2"/>
      <c r="D116" s="2"/>
      <c r="E116" s="3"/>
      <c r="F116" s="1"/>
      <c r="G116" s="1"/>
      <c r="H116" s="1"/>
      <c r="I116" s="1"/>
      <c r="J116" s="1"/>
      <c r="K116" s="1"/>
      <c r="L116" s="1"/>
      <c r="M116" s="1"/>
      <c r="N116" s="1"/>
      <c r="O116" s="1"/>
      <c r="P116" s="1"/>
      <c r="Q116" s="1"/>
      <c r="R116" s="1"/>
      <c r="S116" s="1"/>
      <c r="T116" s="1"/>
      <c r="U116" s="1"/>
      <c r="V116" s="1"/>
      <c r="W116" s="1"/>
      <c r="X116" s="1"/>
      <c r="Y116" s="1"/>
      <c r="Z116" s="1"/>
    </row>
    <row r="117" customHeight="1" spans="1:26">
      <c r="A117" s="1"/>
      <c r="B117" s="1"/>
      <c r="C117" s="2"/>
      <c r="D117" s="2"/>
      <c r="E117" s="3"/>
      <c r="F117" s="1"/>
      <c r="G117" s="1"/>
      <c r="H117" s="1"/>
      <c r="I117" s="1"/>
      <c r="J117" s="1"/>
      <c r="K117" s="1"/>
      <c r="L117" s="1"/>
      <c r="M117" s="1"/>
      <c r="N117" s="1"/>
      <c r="O117" s="1"/>
      <c r="P117" s="1"/>
      <c r="Q117" s="1"/>
      <c r="R117" s="1"/>
      <c r="S117" s="1"/>
      <c r="T117" s="1"/>
      <c r="U117" s="1"/>
      <c r="V117" s="1"/>
      <c r="W117" s="1"/>
      <c r="X117" s="1"/>
      <c r="Y117" s="1"/>
      <c r="Z117" s="1"/>
    </row>
    <row r="118" customHeight="1" spans="1:26">
      <c r="A118" s="1"/>
      <c r="B118" s="1"/>
      <c r="C118" s="2"/>
      <c r="D118" s="2"/>
      <c r="E118" s="3"/>
      <c r="F118" s="1"/>
      <c r="G118" s="1"/>
      <c r="H118" s="1"/>
      <c r="I118" s="1"/>
      <c r="J118" s="1"/>
      <c r="K118" s="1"/>
      <c r="L118" s="1"/>
      <c r="M118" s="1"/>
      <c r="N118" s="1"/>
      <c r="O118" s="1"/>
      <c r="P118" s="1"/>
      <c r="Q118" s="1"/>
      <c r="R118" s="1"/>
      <c r="S118" s="1"/>
      <c r="T118" s="1"/>
      <c r="U118" s="1"/>
      <c r="V118" s="1"/>
      <c r="W118" s="1"/>
      <c r="X118" s="1"/>
      <c r="Y118" s="1"/>
      <c r="Z118" s="1"/>
    </row>
    <row r="119" customHeight="1" spans="1:26">
      <c r="A119" s="1"/>
      <c r="B119" s="1"/>
      <c r="C119" s="2"/>
      <c r="D119" s="2"/>
      <c r="E119" s="3"/>
      <c r="F119" s="1"/>
      <c r="G119" s="1"/>
      <c r="H119" s="1"/>
      <c r="I119" s="1"/>
      <c r="J119" s="1"/>
      <c r="K119" s="1"/>
      <c r="L119" s="1"/>
      <c r="M119" s="1"/>
      <c r="N119" s="1"/>
      <c r="O119" s="1"/>
      <c r="P119" s="1"/>
      <c r="Q119" s="1"/>
      <c r="R119" s="1"/>
      <c r="S119" s="1"/>
      <c r="T119" s="1"/>
      <c r="U119" s="1"/>
      <c r="V119" s="1"/>
      <c r="W119" s="1"/>
      <c r="X119" s="1"/>
      <c r="Y119" s="1"/>
      <c r="Z119" s="1"/>
    </row>
    <row r="120" customHeight="1" spans="1:26">
      <c r="A120" s="1"/>
      <c r="B120" s="1"/>
      <c r="C120" s="2"/>
      <c r="D120" s="2"/>
      <c r="E120" s="3"/>
      <c r="F120" s="1"/>
      <c r="G120" s="1"/>
      <c r="H120" s="1"/>
      <c r="I120" s="1"/>
      <c r="J120" s="1"/>
      <c r="K120" s="1"/>
      <c r="L120" s="1"/>
      <c r="M120" s="1"/>
      <c r="N120" s="1"/>
      <c r="O120" s="1"/>
      <c r="P120" s="1"/>
      <c r="Q120" s="1"/>
      <c r="R120" s="1"/>
      <c r="S120" s="1"/>
      <c r="T120" s="1"/>
      <c r="U120" s="1"/>
      <c r="V120" s="1"/>
      <c r="W120" s="1"/>
      <c r="X120" s="1"/>
      <c r="Y120" s="1"/>
      <c r="Z120" s="1"/>
    </row>
    <row r="121" customHeight="1" spans="1:26">
      <c r="A121" s="1"/>
      <c r="B121" s="1"/>
      <c r="C121" s="2"/>
      <c r="D121" s="2"/>
      <c r="E121" s="3"/>
      <c r="F121" s="1"/>
      <c r="G121" s="1"/>
      <c r="H121" s="1"/>
      <c r="I121" s="1"/>
      <c r="J121" s="1"/>
      <c r="K121" s="1"/>
      <c r="L121" s="1"/>
      <c r="M121" s="1"/>
      <c r="N121" s="1"/>
      <c r="O121" s="1"/>
      <c r="P121" s="1"/>
      <c r="Q121" s="1"/>
      <c r="R121" s="1"/>
      <c r="S121" s="1"/>
      <c r="T121" s="1"/>
      <c r="U121" s="1"/>
      <c r="V121" s="1"/>
      <c r="W121" s="1"/>
      <c r="X121" s="1"/>
      <c r="Y121" s="1"/>
      <c r="Z121" s="1"/>
    </row>
    <row r="122" customHeight="1" spans="1:26">
      <c r="A122" s="1"/>
      <c r="B122" s="1"/>
      <c r="C122" s="2"/>
      <c r="D122" s="2"/>
      <c r="E122" s="3"/>
      <c r="F122" s="1"/>
      <c r="G122" s="1"/>
      <c r="H122" s="1"/>
      <c r="I122" s="1"/>
      <c r="J122" s="1"/>
      <c r="K122" s="1"/>
      <c r="L122" s="1"/>
      <c r="M122" s="1"/>
      <c r="N122" s="1"/>
      <c r="O122" s="1"/>
      <c r="P122" s="1"/>
      <c r="Q122" s="1"/>
      <c r="R122" s="1"/>
      <c r="S122" s="1"/>
      <c r="T122" s="1"/>
      <c r="U122" s="1"/>
      <c r="V122" s="1"/>
      <c r="W122" s="1"/>
      <c r="X122" s="1"/>
      <c r="Y122" s="1"/>
      <c r="Z122" s="1"/>
    </row>
    <row r="123" customHeight="1" spans="1:26">
      <c r="A123" s="1"/>
      <c r="B123" s="1"/>
      <c r="C123" s="2"/>
      <c r="D123" s="2"/>
      <c r="E123" s="3"/>
      <c r="F123" s="1"/>
      <c r="G123" s="1"/>
      <c r="H123" s="1"/>
      <c r="I123" s="1"/>
      <c r="J123" s="1"/>
      <c r="K123" s="1"/>
      <c r="L123" s="1"/>
      <c r="M123" s="1"/>
      <c r="N123" s="1"/>
      <c r="O123" s="1"/>
      <c r="P123" s="1"/>
      <c r="Q123" s="1"/>
      <c r="R123" s="1"/>
      <c r="S123" s="1"/>
      <c r="T123" s="1"/>
      <c r="U123" s="1"/>
      <c r="V123" s="1"/>
      <c r="W123" s="1"/>
      <c r="X123" s="1"/>
      <c r="Y123" s="1"/>
      <c r="Z123" s="1"/>
    </row>
    <row r="124" customHeight="1" spans="1:26">
      <c r="A124" s="1"/>
      <c r="B124" s="1"/>
      <c r="C124" s="2"/>
      <c r="D124" s="2"/>
      <c r="E124" s="3"/>
      <c r="F124" s="1"/>
      <c r="G124" s="1"/>
      <c r="H124" s="1"/>
      <c r="I124" s="1"/>
      <c r="J124" s="1"/>
      <c r="K124" s="1"/>
      <c r="L124" s="1"/>
      <c r="M124" s="1"/>
      <c r="N124" s="1"/>
      <c r="O124" s="1"/>
      <c r="P124" s="1"/>
      <c r="Q124" s="1"/>
      <c r="R124" s="1"/>
      <c r="S124" s="1"/>
      <c r="T124" s="1"/>
      <c r="U124" s="1"/>
      <c r="V124" s="1"/>
      <c r="W124" s="1"/>
      <c r="X124" s="1"/>
      <c r="Y124" s="1"/>
      <c r="Z124" s="1"/>
    </row>
    <row r="125" customHeight="1" spans="1:26">
      <c r="A125" s="1"/>
      <c r="B125" s="1"/>
      <c r="C125" s="2"/>
      <c r="D125" s="2"/>
      <c r="E125" s="3"/>
      <c r="F125" s="1"/>
      <c r="G125" s="1"/>
      <c r="H125" s="1"/>
      <c r="I125" s="1"/>
      <c r="J125" s="1"/>
      <c r="K125" s="1"/>
      <c r="L125" s="1"/>
      <c r="M125" s="1"/>
      <c r="N125" s="1"/>
      <c r="O125" s="1"/>
      <c r="P125" s="1"/>
      <c r="Q125" s="1"/>
      <c r="R125" s="1"/>
      <c r="S125" s="1"/>
      <c r="T125" s="1"/>
      <c r="U125" s="1"/>
      <c r="V125" s="1"/>
      <c r="W125" s="1"/>
      <c r="X125" s="1"/>
      <c r="Y125" s="1"/>
      <c r="Z125" s="1"/>
    </row>
    <row r="126" customHeight="1" spans="1:26">
      <c r="A126" s="1"/>
      <c r="B126" s="1"/>
      <c r="C126" s="2"/>
      <c r="D126" s="2"/>
      <c r="E126" s="3"/>
      <c r="F126" s="1"/>
      <c r="G126" s="1"/>
      <c r="H126" s="1"/>
      <c r="I126" s="1"/>
      <c r="J126" s="1"/>
      <c r="K126" s="1"/>
      <c r="L126" s="1"/>
      <c r="M126" s="1"/>
      <c r="N126" s="1"/>
      <c r="O126" s="1"/>
      <c r="P126" s="1"/>
      <c r="Q126" s="1"/>
      <c r="R126" s="1"/>
      <c r="S126" s="1"/>
      <c r="T126" s="1"/>
      <c r="U126" s="1"/>
      <c r="V126" s="1"/>
      <c r="W126" s="1"/>
      <c r="X126" s="1"/>
      <c r="Y126" s="1"/>
      <c r="Z126" s="1"/>
    </row>
    <row r="127" customHeight="1" spans="1:26">
      <c r="A127" s="1"/>
      <c r="B127" s="1"/>
      <c r="C127" s="2"/>
      <c r="D127" s="2"/>
      <c r="E127" s="3"/>
      <c r="F127" s="1"/>
      <c r="G127" s="1"/>
      <c r="H127" s="1"/>
      <c r="I127" s="1"/>
      <c r="J127" s="1"/>
      <c r="K127" s="1"/>
      <c r="L127" s="1"/>
      <c r="M127" s="1"/>
      <c r="N127" s="1"/>
      <c r="O127" s="1"/>
      <c r="P127" s="1"/>
      <c r="Q127" s="1"/>
      <c r="R127" s="1"/>
      <c r="S127" s="1"/>
      <c r="T127" s="1"/>
      <c r="U127" s="1"/>
      <c r="V127" s="1"/>
      <c r="W127" s="1"/>
      <c r="X127" s="1"/>
      <c r="Y127" s="1"/>
      <c r="Z127" s="1"/>
    </row>
    <row r="128" customHeight="1" spans="1:26">
      <c r="A128" s="1"/>
      <c r="B128" s="1"/>
      <c r="C128" s="2"/>
      <c r="D128" s="2"/>
      <c r="E128" s="3"/>
      <c r="F128" s="1"/>
      <c r="G128" s="1"/>
      <c r="H128" s="1"/>
      <c r="I128" s="1"/>
      <c r="J128" s="1"/>
      <c r="K128" s="1"/>
      <c r="L128" s="1"/>
      <c r="M128" s="1"/>
      <c r="N128" s="1"/>
      <c r="O128" s="1"/>
      <c r="P128" s="1"/>
      <c r="Q128" s="1"/>
      <c r="R128" s="1"/>
      <c r="S128" s="1"/>
      <c r="T128" s="1"/>
      <c r="U128" s="1"/>
      <c r="V128" s="1"/>
      <c r="W128" s="1"/>
      <c r="X128" s="1"/>
      <c r="Y128" s="1"/>
      <c r="Z128" s="1"/>
    </row>
    <row r="129" customHeight="1" spans="1:26">
      <c r="A129" s="1"/>
      <c r="B129" s="1"/>
      <c r="C129" s="2"/>
      <c r="D129" s="2"/>
      <c r="E129" s="3"/>
      <c r="F129" s="1"/>
      <c r="G129" s="1"/>
      <c r="H129" s="1"/>
      <c r="I129" s="1"/>
      <c r="J129" s="1"/>
      <c r="K129" s="1"/>
      <c r="L129" s="1"/>
      <c r="M129" s="1"/>
      <c r="N129" s="1"/>
      <c r="O129" s="1"/>
      <c r="P129" s="1"/>
      <c r="Q129" s="1"/>
      <c r="R129" s="1"/>
      <c r="S129" s="1"/>
      <c r="T129" s="1"/>
      <c r="U129" s="1"/>
      <c r="V129" s="1"/>
      <c r="W129" s="1"/>
      <c r="X129" s="1"/>
      <c r="Y129" s="1"/>
      <c r="Z129" s="1"/>
    </row>
    <row r="130" customHeight="1" spans="1:26">
      <c r="A130" s="1"/>
      <c r="B130" s="1"/>
      <c r="C130" s="2"/>
      <c r="D130" s="2"/>
      <c r="E130" s="3"/>
      <c r="F130" s="1"/>
      <c r="G130" s="1"/>
      <c r="H130" s="1"/>
      <c r="I130" s="1"/>
      <c r="J130" s="1"/>
      <c r="K130" s="1"/>
      <c r="L130" s="1"/>
      <c r="M130" s="1"/>
      <c r="N130" s="1"/>
      <c r="O130" s="1"/>
      <c r="P130" s="1"/>
      <c r="Q130" s="1"/>
      <c r="R130" s="1"/>
      <c r="S130" s="1"/>
      <c r="T130" s="1"/>
      <c r="U130" s="1"/>
      <c r="V130" s="1"/>
      <c r="W130" s="1"/>
      <c r="X130" s="1"/>
      <c r="Y130" s="1"/>
      <c r="Z130" s="1"/>
    </row>
    <row r="131" customHeight="1" spans="1:26">
      <c r="A131" s="1"/>
      <c r="B131" s="1"/>
      <c r="C131" s="2"/>
      <c r="D131" s="2"/>
      <c r="E131" s="3"/>
      <c r="F131" s="1"/>
      <c r="G131" s="1"/>
      <c r="H131" s="1"/>
      <c r="I131" s="1"/>
      <c r="J131" s="1"/>
      <c r="K131" s="1"/>
      <c r="L131" s="1"/>
      <c r="M131" s="1"/>
      <c r="N131" s="1"/>
      <c r="O131" s="1"/>
      <c r="P131" s="1"/>
      <c r="Q131" s="1"/>
      <c r="R131" s="1"/>
      <c r="S131" s="1"/>
      <c r="T131" s="1"/>
      <c r="U131" s="1"/>
      <c r="V131" s="1"/>
      <c r="W131" s="1"/>
      <c r="X131" s="1"/>
      <c r="Y131" s="1"/>
      <c r="Z131" s="1"/>
    </row>
    <row r="132" customHeight="1" spans="1:26">
      <c r="A132" s="1"/>
      <c r="B132" s="1"/>
      <c r="C132" s="2"/>
      <c r="D132" s="2"/>
      <c r="E132" s="3"/>
      <c r="F132" s="1"/>
      <c r="G132" s="1"/>
      <c r="H132" s="1"/>
      <c r="I132" s="1"/>
      <c r="J132" s="1"/>
      <c r="K132" s="1"/>
      <c r="L132" s="1"/>
      <c r="M132" s="1"/>
      <c r="N132" s="1"/>
      <c r="O132" s="1"/>
      <c r="P132" s="1"/>
      <c r="Q132" s="1"/>
      <c r="R132" s="1"/>
      <c r="S132" s="1"/>
      <c r="T132" s="1"/>
      <c r="U132" s="1"/>
      <c r="V132" s="1"/>
      <c r="W132" s="1"/>
      <c r="X132" s="1"/>
      <c r="Y132" s="1"/>
      <c r="Z132" s="1"/>
    </row>
    <row r="133" customHeight="1" spans="1:26">
      <c r="A133" s="1"/>
      <c r="B133" s="1"/>
      <c r="C133" s="2"/>
      <c r="D133" s="2"/>
      <c r="E133" s="3"/>
      <c r="F133" s="1"/>
      <c r="G133" s="1"/>
      <c r="H133" s="1"/>
      <c r="I133" s="1"/>
      <c r="J133" s="1"/>
      <c r="K133" s="1"/>
      <c r="L133" s="1"/>
      <c r="M133" s="1"/>
      <c r="N133" s="1"/>
      <c r="O133" s="1"/>
      <c r="P133" s="1"/>
      <c r="Q133" s="1"/>
      <c r="R133" s="1"/>
      <c r="S133" s="1"/>
      <c r="T133" s="1"/>
      <c r="U133" s="1"/>
      <c r="V133" s="1"/>
      <c r="W133" s="1"/>
      <c r="X133" s="1"/>
      <c r="Y133" s="1"/>
      <c r="Z133" s="1"/>
    </row>
    <row r="134" customHeight="1" spans="1:26">
      <c r="A134" s="1"/>
      <c r="B134" s="1"/>
      <c r="C134" s="2"/>
      <c r="D134" s="2"/>
      <c r="E134" s="3"/>
      <c r="F134" s="1"/>
      <c r="G134" s="1"/>
      <c r="H134" s="1"/>
      <c r="I134" s="1"/>
      <c r="J134" s="1"/>
      <c r="K134" s="1"/>
      <c r="L134" s="1"/>
      <c r="M134" s="1"/>
      <c r="N134" s="1"/>
      <c r="O134" s="1"/>
      <c r="P134" s="1"/>
      <c r="Q134" s="1"/>
      <c r="R134" s="1"/>
      <c r="S134" s="1"/>
      <c r="T134" s="1"/>
      <c r="U134" s="1"/>
      <c r="V134" s="1"/>
      <c r="W134" s="1"/>
      <c r="X134" s="1"/>
      <c r="Y134" s="1"/>
      <c r="Z134" s="1"/>
    </row>
    <row r="135" customHeight="1" spans="1:26">
      <c r="A135" s="1"/>
      <c r="B135" s="1"/>
      <c r="C135" s="2"/>
      <c r="D135" s="2"/>
      <c r="E135" s="3"/>
      <c r="F135" s="1"/>
      <c r="G135" s="1"/>
      <c r="H135" s="1"/>
      <c r="I135" s="1"/>
      <c r="J135" s="1"/>
      <c r="K135" s="1"/>
      <c r="L135" s="1"/>
      <c r="M135" s="1"/>
      <c r="N135" s="1"/>
      <c r="O135" s="1"/>
      <c r="P135" s="1"/>
      <c r="Q135" s="1"/>
      <c r="R135" s="1"/>
      <c r="S135" s="1"/>
      <c r="T135" s="1"/>
      <c r="U135" s="1"/>
      <c r="V135" s="1"/>
      <c r="W135" s="1"/>
      <c r="X135" s="1"/>
      <c r="Y135" s="1"/>
      <c r="Z135" s="1"/>
    </row>
    <row r="136" customHeight="1" spans="1:26">
      <c r="A136" s="1"/>
      <c r="B136" s="1"/>
      <c r="C136" s="2"/>
      <c r="D136" s="2"/>
      <c r="E136" s="3"/>
      <c r="F136" s="1"/>
      <c r="G136" s="1"/>
      <c r="H136" s="1"/>
      <c r="I136" s="1"/>
      <c r="J136" s="1"/>
      <c r="K136" s="1"/>
      <c r="L136" s="1"/>
      <c r="M136" s="1"/>
      <c r="N136" s="1"/>
      <c r="O136" s="1"/>
      <c r="P136" s="1"/>
      <c r="Q136" s="1"/>
      <c r="R136" s="1"/>
      <c r="S136" s="1"/>
      <c r="T136" s="1"/>
      <c r="U136" s="1"/>
      <c r="V136" s="1"/>
      <c r="W136" s="1"/>
      <c r="X136" s="1"/>
      <c r="Y136" s="1"/>
      <c r="Z136" s="1"/>
    </row>
    <row r="137" customHeight="1" spans="1:26">
      <c r="A137" s="1"/>
      <c r="B137" s="1"/>
      <c r="C137" s="2"/>
      <c r="D137" s="2"/>
      <c r="E137" s="3"/>
      <c r="F137" s="1"/>
      <c r="G137" s="1"/>
      <c r="H137" s="1"/>
      <c r="I137" s="1"/>
      <c r="J137" s="1"/>
      <c r="K137" s="1"/>
      <c r="L137" s="1"/>
      <c r="M137" s="1"/>
      <c r="N137" s="1"/>
      <c r="O137" s="1"/>
      <c r="P137" s="1"/>
      <c r="Q137" s="1"/>
      <c r="R137" s="1"/>
      <c r="S137" s="1"/>
      <c r="T137" s="1"/>
      <c r="U137" s="1"/>
      <c r="V137" s="1"/>
      <c r="W137" s="1"/>
      <c r="X137" s="1"/>
      <c r="Y137" s="1"/>
      <c r="Z137" s="1"/>
    </row>
    <row r="138" customHeight="1" spans="1:26">
      <c r="A138" s="1"/>
      <c r="B138" s="1"/>
      <c r="C138" s="2"/>
      <c r="D138" s="2"/>
      <c r="E138" s="3"/>
      <c r="F138" s="1"/>
      <c r="G138" s="1"/>
      <c r="H138" s="1"/>
      <c r="I138" s="1"/>
      <c r="J138" s="1"/>
      <c r="K138" s="1"/>
      <c r="L138" s="1"/>
      <c r="M138" s="1"/>
      <c r="N138" s="1"/>
      <c r="O138" s="1"/>
      <c r="P138" s="1"/>
      <c r="Q138" s="1"/>
      <c r="R138" s="1"/>
      <c r="S138" s="1"/>
      <c r="T138" s="1"/>
      <c r="U138" s="1"/>
      <c r="V138" s="1"/>
      <c r="W138" s="1"/>
      <c r="X138" s="1"/>
      <c r="Y138" s="1"/>
      <c r="Z138" s="1"/>
    </row>
    <row r="139" customHeight="1" spans="1:26">
      <c r="A139" s="1"/>
      <c r="B139" s="1"/>
      <c r="C139" s="2"/>
      <c r="D139" s="2"/>
      <c r="E139" s="3"/>
      <c r="F139" s="1"/>
      <c r="G139" s="1"/>
      <c r="H139" s="1"/>
      <c r="I139" s="1"/>
      <c r="J139" s="1"/>
      <c r="K139" s="1"/>
      <c r="L139" s="1"/>
      <c r="M139" s="1"/>
      <c r="N139" s="1"/>
      <c r="O139" s="1"/>
      <c r="P139" s="1"/>
      <c r="Q139" s="1"/>
      <c r="R139" s="1"/>
      <c r="S139" s="1"/>
      <c r="T139" s="1"/>
      <c r="U139" s="1"/>
      <c r="V139" s="1"/>
      <c r="W139" s="1"/>
      <c r="X139" s="1"/>
      <c r="Y139" s="1"/>
      <c r="Z139" s="1"/>
    </row>
    <row r="140" customHeight="1" spans="1:26">
      <c r="A140" s="1"/>
      <c r="B140" s="1"/>
      <c r="C140" s="2"/>
      <c r="D140" s="2"/>
      <c r="E140" s="3"/>
      <c r="F140" s="1"/>
      <c r="G140" s="1"/>
      <c r="H140" s="1"/>
      <c r="I140" s="1"/>
      <c r="J140" s="1"/>
      <c r="K140" s="1"/>
      <c r="L140" s="1"/>
      <c r="M140" s="1"/>
      <c r="N140" s="1"/>
      <c r="O140" s="1"/>
      <c r="P140" s="1"/>
      <c r="Q140" s="1"/>
      <c r="R140" s="1"/>
      <c r="S140" s="1"/>
      <c r="T140" s="1"/>
      <c r="U140" s="1"/>
      <c r="V140" s="1"/>
      <c r="W140" s="1"/>
      <c r="X140" s="1"/>
      <c r="Y140" s="1"/>
      <c r="Z140" s="1"/>
    </row>
    <row r="141" customHeight="1" spans="1:26">
      <c r="A141" s="1"/>
      <c r="B141" s="1"/>
      <c r="C141" s="2"/>
      <c r="D141" s="2"/>
      <c r="E141" s="3"/>
      <c r="F141" s="1"/>
      <c r="G141" s="1"/>
      <c r="H141" s="1"/>
      <c r="I141" s="1"/>
      <c r="J141" s="1"/>
      <c r="K141" s="1"/>
      <c r="L141" s="1"/>
      <c r="M141" s="1"/>
      <c r="N141" s="1"/>
      <c r="O141" s="1"/>
      <c r="P141" s="1"/>
      <c r="Q141" s="1"/>
      <c r="R141" s="1"/>
      <c r="S141" s="1"/>
      <c r="T141" s="1"/>
      <c r="U141" s="1"/>
      <c r="V141" s="1"/>
      <c r="W141" s="1"/>
      <c r="X141" s="1"/>
      <c r="Y141" s="1"/>
      <c r="Z141" s="1"/>
    </row>
    <row r="142" customHeight="1" spans="1:26">
      <c r="A142" s="1"/>
      <c r="B142" s="1"/>
      <c r="C142" s="2"/>
      <c r="D142" s="2"/>
      <c r="E142" s="3"/>
      <c r="F142" s="1"/>
      <c r="G142" s="1"/>
      <c r="H142" s="1"/>
      <c r="I142" s="1"/>
      <c r="J142" s="1"/>
      <c r="K142" s="1"/>
      <c r="L142" s="1"/>
      <c r="M142" s="1"/>
      <c r="N142" s="1"/>
      <c r="O142" s="1"/>
      <c r="P142" s="1"/>
      <c r="Q142" s="1"/>
      <c r="R142" s="1"/>
      <c r="S142" s="1"/>
      <c r="T142" s="1"/>
      <c r="U142" s="1"/>
      <c r="V142" s="1"/>
      <c r="W142" s="1"/>
      <c r="X142" s="1"/>
      <c r="Y142" s="1"/>
      <c r="Z142" s="1"/>
    </row>
    <row r="143" customHeight="1" spans="1:26">
      <c r="A143" s="1"/>
      <c r="B143" s="1"/>
      <c r="C143" s="2"/>
      <c r="D143" s="2"/>
      <c r="E143" s="3"/>
      <c r="F143" s="1"/>
      <c r="G143" s="1"/>
      <c r="H143" s="1"/>
      <c r="I143" s="1"/>
      <c r="J143" s="1"/>
      <c r="K143" s="1"/>
      <c r="L143" s="1"/>
      <c r="M143" s="1"/>
      <c r="N143" s="1"/>
      <c r="O143" s="1"/>
      <c r="P143" s="1"/>
      <c r="Q143" s="1"/>
      <c r="R143" s="1"/>
      <c r="S143" s="1"/>
      <c r="T143" s="1"/>
      <c r="U143" s="1"/>
      <c r="V143" s="1"/>
      <c r="W143" s="1"/>
      <c r="X143" s="1"/>
      <c r="Y143" s="1"/>
      <c r="Z143" s="1"/>
    </row>
    <row r="144" customHeight="1" spans="1:26">
      <c r="A144" s="1"/>
      <c r="B144" s="1"/>
      <c r="C144" s="2"/>
      <c r="D144" s="2"/>
      <c r="E144" s="3"/>
      <c r="F144" s="1"/>
      <c r="G144" s="1"/>
      <c r="H144" s="1"/>
      <c r="I144" s="1"/>
      <c r="J144" s="1"/>
      <c r="K144" s="1"/>
      <c r="L144" s="1"/>
      <c r="M144" s="1"/>
      <c r="N144" s="1"/>
      <c r="O144" s="1"/>
      <c r="P144" s="1"/>
      <c r="Q144" s="1"/>
      <c r="R144" s="1"/>
      <c r="S144" s="1"/>
      <c r="T144" s="1"/>
      <c r="U144" s="1"/>
      <c r="V144" s="1"/>
      <c r="W144" s="1"/>
      <c r="X144" s="1"/>
      <c r="Y144" s="1"/>
      <c r="Z144" s="1"/>
    </row>
    <row r="145" customHeight="1" spans="1:26">
      <c r="A145" s="1"/>
      <c r="B145" s="1"/>
      <c r="C145" s="2"/>
      <c r="D145" s="2"/>
      <c r="E145" s="3"/>
      <c r="F145" s="1"/>
      <c r="G145" s="1"/>
      <c r="H145" s="1"/>
      <c r="I145" s="1"/>
      <c r="J145" s="1"/>
      <c r="K145" s="1"/>
      <c r="L145" s="1"/>
      <c r="M145" s="1"/>
      <c r="N145" s="1"/>
      <c r="O145" s="1"/>
      <c r="P145" s="1"/>
      <c r="Q145" s="1"/>
      <c r="R145" s="1"/>
      <c r="S145" s="1"/>
      <c r="T145" s="1"/>
      <c r="U145" s="1"/>
      <c r="V145" s="1"/>
      <c r="W145" s="1"/>
      <c r="X145" s="1"/>
      <c r="Y145" s="1"/>
      <c r="Z145" s="1"/>
    </row>
    <row r="146" customHeight="1" spans="1:26">
      <c r="A146" s="1"/>
      <c r="B146" s="1"/>
      <c r="C146" s="2"/>
      <c r="D146" s="2"/>
      <c r="E146" s="3"/>
      <c r="F146" s="1"/>
      <c r="G146" s="1"/>
      <c r="H146" s="1"/>
      <c r="I146" s="1"/>
      <c r="J146" s="1"/>
      <c r="K146" s="1"/>
      <c r="L146" s="1"/>
      <c r="M146" s="1"/>
      <c r="N146" s="1"/>
      <c r="O146" s="1"/>
      <c r="P146" s="1"/>
      <c r="Q146" s="1"/>
      <c r="R146" s="1"/>
      <c r="S146" s="1"/>
      <c r="T146" s="1"/>
      <c r="U146" s="1"/>
      <c r="V146" s="1"/>
      <c r="W146" s="1"/>
      <c r="X146" s="1"/>
      <c r="Y146" s="1"/>
      <c r="Z146" s="1"/>
    </row>
    <row r="147" customHeight="1" spans="1:26">
      <c r="A147" s="1"/>
      <c r="B147" s="1"/>
      <c r="C147" s="2"/>
      <c r="D147" s="2"/>
      <c r="E147" s="3"/>
      <c r="F147" s="1"/>
      <c r="G147" s="1"/>
      <c r="H147" s="1"/>
      <c r="I147" s="1"/>
      <c r="J147" s="1"/>
      <c r="K147" s="1"/>
      <c r="L147" s="1"/>
      <c r="M147" s="1"/>
      <c r="N147" s="1"/>
      <c r="O147" s="1"/>
      <c r="P147" s="1"/>
      <c r="Q147" s="1"/>
      <c r="R147" s="1"/>
      <c r="S147" s="1"/>
      <c r="T147" s="1"/>
      <c r="U147" s="1"/>
      <c r="V147" s="1"/>
      <c r="W147" s="1"/>
      <c r="X147" s="1"/>
      <c r="Y147" s="1"/>
      <c r="Z147" s="1"/>
    </row>
    <row r="148" customHeight="1" spans="1:26">
      <c r="A148" s="1"/>
      <c r="B148" s="1"/>
      <c r="C148" s="2"/>
      <c r="D148" s="2"/>
      <c r="E148" s="3"/>
      <c r="F148" s="1"/>
      <c r="G148" s="1"/>
      <c r="H148" s="1"/>
      <c r="I148" s="1"/>
      <c r="J148" s="1"/>
      <c r="K148" s="1"/>
      <c r="L148" s="1"/>
      <c r="M148" s="1"/>
      <c r="N148" s="1"/>
      <c r="O148" s="1"/>
      <c r="P148" s="1"/>
      <c r="Q148" s="1"/>
      <c r="R148" s="1"/>
      <c r="S148" s="1"/>
      <c r="T148" s="1"/>
      <c r="U148" s="1"/>
      <c r="V148" s="1"/>
      <c r="W148" s="1"/>
      <c r="X148" s="1"/>
      <c r="Y148" s="1"/>
      <c r="Z148" s="1"/>
    </row>
    <row r="149" customHeight="1" spans="1:26">
      <c r="A149" s="1"/>
      <c r="B149" s="1"/>
      <c r="C149" s="2"/>
      <c r="D149" s="2"/>
      <c r="E149" s="3"/>
      <c r="F149" s="1"/>
      <c r="G149" s="1"/>
      <c r="H149" s="1"/>
      <c r="I149" s="1"/>
      <c r="J149" s="1"/>
      <c r="K149" s="1"/>
      <c r="L149" s="1"/>
      <c r="M149" s="1"/>
      <c r="N149" s="1"/>
      <c r="O149" s="1"/>
      <c r="P149" s="1"/>
      <c r="Q149" s="1"/>
      <c r="R149" s="1"/>
      <c r="S149" s="1"/>
      <c r="T149" s="1"/>
      <c r="U149" s="1"/>
      <c r="V149" s="1"/>
      <c r="W149" s="1"/>
      <c r="X149" s="1"/>
      <c r="Y149" s="1"/>
      <c r="Z149" s="1"/>
    </row>
    <row r="150" customHeight="1" spans="1:26">
      <c r="A150" s="1"/>
      <c r="B150" s="1"/>
      <c r="C150" s="2"/>
      <c r="D150" s="2"/>
      <c r="E150" s="3"/>
      <c r="F150" s="1"/>
      <c r="G150" s="1"/>
      <c r="H150" s="1"/>
      <c r="I150" s="1"/>
      <c r="J150" s="1"/>
      <c r="K150" s="1"/>
      <c r="L150" s="1"/>
      <c r="M150" s="1"/>
      <c r="N150" s="1"/>
      <c r="O150" s="1"/>
      <c r="P150" s="1"/>
      <c r="Q150" s="1"/>
      <c r="R150" s="1"/>
      <c r="S150" s="1"/>
      <c r="T150" s="1"/>
      <c r="U150" s="1"/>
      <c r="V150" s="1"/>
      <c r="W150" s="1"/>
      <c r="X150" s="1"/>
      <c r="Y150" s="1"/>
      <c r="Z150" s="1"/>
    </row>
    <row r="151" customHeight="1" spans="1:26">
      <c r="A151" s="1"/>
      <c r="B151" s="1"/>
      <c r="C151" s="2"/>
      <c r="D151" s="2"/>
      <c r="E151" s="3"/>
      <c r="F151" s="1"/>
      <c r="G151" s="1"/>
      <c r="H151" s="1"/>
      <c r="I151" s="1"/>
      <c r="J151" s="1"/>
      <c r="K151" s="1"/>
      <c r="L151" s="1"/>
      <c r="M151" s="1"/>
      <c r="N151" s="1"/>
      <c r="O151" s="1"/>
      <c r="P151" s="1"/>
      <c r="Q151" s="1"/>
      <c r="R151" s="1"/>
      <c r="S151" s="1"/>
      <c r="T151" s="1"/>
      <c r="U151" s="1"/>
      <c r="V151" s="1"/>
      <c r="W151" s="1"/>
      <c r="X151" s="1"/>
      <c r="Y151" s="1"/>
      <c r="Z151" s="1"/>
    </row>
    <row r="152" customHeight="1" spans="1:26">
      <c r="A152" s="1"/>
      <c r="B152" s="1"/>
      <c r="C152" s="2"/>
      <c r="D152" s="2"/>
      <c r="E152" s="3"/>
      <c r="F152" s="1"/>
      <c r="G152" s="1"/>
      <c r="H152" s="1"/>
      <c r="I152" s="1"/>
      <c r="J152" s="1"/>
      <c r="K152" s="1"/>
      <c r="L152" s="1"/>
      <c r="M152" s="1"/>
      <c r="N152" s="1"/>
      <c r="O152" s="1"/>
      <c r="P152" s="1"/>
      <c r="Q152" s="1"/>
      <c r="R152" s="1"/>
      <c r="S152" s="1"/>
      <c r="T152" s="1"/>
      <c r="U152" s="1"/>
      <c r="V152" s="1"/>
      <c r="W152" s="1"/>
      <c r="X152" s="1"/>
      <c r="Y152" s="1"/>
      <c r="Z152" s="1"/>
    </row>
    <row r="153" customHeight="1" spans="1:26">
      <c r="A153" s="1"/>
      <c r="B153" s="1"/>
      <c r="C153" s="2"/>
      <c r="D153" s="2"/>
      <c r="E153" s="3"/>
      <c r="F153" s="1"/>
      <c r="G153" s="1"/>
      <c r="H153" s="1"/>
      <c r="I153" s="1"/>
      <c r="J153" s="1"/>
      <c r="K153" s="1"/>
      <c r="L153" s="1"/>
      <c r="M153" s="1"/>
      <c r="N153" s="1"/>
      <c r="O153" s="1"/>
      <c r="P153" s="1"/>
      <c r="Q153" s="1"/>
      <c r="R153" s="1"/>
      <c r="S153" s="1"/>
      <c r="T153" s="1"/>
      <c r="U153" s="1"/>
      <c r="V153" s="1"/>
      <c r="W153" s="1"/>
      <c r="X153" s="1"/>
      <c r="Y153" s="1"/>
      <c r="Z153" s="1"/>
    </row>
    <row r="154" customHeight="1" spans="1:26">
      <c r="A154" s="1"/>
      <c r="B154" s="1"/>
      <c r="C154" s="2"/>
      <c r="D154" s="2"/>
      <c r="E154" s="3"/>
      <c r="F154" s="1"/>
      <c r="G154" s="1"/>
      <c r="H154" s="1"/>
      <c r="I154" s="1"/>
      <c r="J154" s="1"/>
      <c r="K154" s="1"/>
      <c r="L154" s="1"/>
      <c r="M154" s="1"/>
      <c r="N154" s="1"/>
      <c r="O154" s="1"/>
      <c r="P154" s="1"/>
      <c r="Q154" s="1"/>
      <c r="R154" s="1"/>
      <c r="S154" s="1"/>
      <c r="T154" s="1"/>
      <c r="U154" s="1"/>
      <c r="V154" s="1"/>
      <c r="W154" s="1"/>
      <c r="X154" s="1"/>
      <c r="Y154" s="1"/>
      <c r="Z154" s="1"/>
    </row>
    <row r="155" customHeight="1" spans="1:26">
      <c r="A155" s="1"/>
      <c r="B155" s="1"/>
      <c r="C155" s="2"/>
      <c r="D155" s="2"/>
      <c r="E155" s="3"/>
      <c r="F155" s="1"/>
      <c r="G155" s="1"/>
      <c r="H155" s="1"/>
      <c r="I155" s="1"/>
      <c r="J155" s="1"/>
      <c r="K155" s="1"/>
      <c r="L155" s="1"/>
      <c r="M155" s="1"/>
      <c r="N155" s="1"/>
      <c r="O155" s="1"/>
      <c r="P155" s="1"/>
      <c r="Q155" s="1"/>
      <c r="R155" s="1"/>
      <c r="S155" s="1"/>
      <c r="T155" s="1"/>
      <c r="U155" s="1"/>
      <c r="V155" s="1"/>
      <c r="W155" s="1"/>
      <c r="X155" s="1"/>
      <c r="Y155" s="1"/>
      <c r="Z155" s="1"/>
    </row>
    <row r="156" customHeight="1" spans="1:26">
      <c r="A156" s="1"/>
      <c r="B156" s="1"/>
      <c r="C156" s="2"/>
      <c r="D156" s="2"/>
      <c r="E156" s="3"/>
      <c r="F156" s="1"/>
      <c r="G156" s="1"/>
      <c r="H156" s="1"/>
      <c r="I156" s="1"/>
      <c r="J156" s="1"/>
      <c r="K156" s="1"/>
      <c r="L156" s="1"/>
      <c r="M156" s="1"/>
      <c r="N156" s="1"/>
      <c r="O156" s="1"/>
      <c r="P156" s="1"/>
      <c r="Q156" s="1"/>
      <c r="R156" s="1"/>
      <c r="S156" s="1"/>
      <c r="T156" s="1"/>
      <c r="U156" s="1"/>
      <c r="V156" s="1"/>
      <c r="W156" s="1"/>
      <c r="X156" s="1"/>
      <c r="Y156" s="1"/>
      <c r="Z156" s="1"/>
    </row>
    <row r="157" customHeight="1" spans="1:26">
      <c r="A157" s="1"/>
      <c r="B157" s="1"/>
      <c r="C157" s="2"/>
      <c r="D157" s="2"/>
      <c r="E157" s="3"/>
      <c r="F157" s="1"/>
      <c r="G157" s="1"/>
      <c r="H157" s="1"/>
      <c r="I157" s="1"/>
      <c r="J157" s="1"/>
      <c r="K157" s="1"/>
      <c r="L157" s="1"/>
      <c r="M157" s="1"/>
      <c r="N157" s="1"/>
      <c r="O157" s="1"/>
      <c r="P157" s="1"/>
      <c r="Q157" s="1"/>
      <c r="R157" s="1"/>
      <c r="S157" s="1"/>
      <c r="T157" s="1"/>
      <c r="U157" s="1"/>
      <c r="V157" s="1"/>
      <c r="W157" s="1"/>
      <c r="X157" s="1"/>
      <c r="Y157" s="1"/>
      <c r="Z157" s="1"/>
    </row>
    <row r="158" customHeight="1" spans="1:26">
      <c r="A158" s="1"/>
      <c r="B158" s="1"/>
      <c r="C158" s="2"/>
      <c r="D158" s="2"/>
      <c r="E158" s="3"/>
      <c r="F158" s="1"/>
      <c r="G158" s="1"/>
      <c r="H158" s="1"/>
      <c r="I158" s="1"/>
      <c r="J158" s="1"/>
      <c r="K158" s="1"/>
      <c r="L158" s="1"/>
      <c r="M158" s="1"/>
      <c r="N158" s="1"/>
      <c r="O158" s="1"/>
      <c r="P158" s="1"/>
      <c r="Q158" s="1"/>
      <c r="R158" s="1"/>
      <c r="S158" s="1"/>
      <c r="T158" s="1"/>
      <c r="U158" s="1"/>
      <c r="V158" s="1"/>
      <c r="W158" s="1"/>
      <c r="X158" s="1"/>
      <c r="Y158" s="1"/>
      <c r="Z158" s="1"/>
    </row>
    <row r="159" customHeight="1" spans="1:26">
      <c r="A159" s="1"/>
      <c r="B159" s="1"/>
      <c r="C159" s="2"/>
      <c r="D159" s="2"/>
      <c r="E159" s="3"/>
      <c r="F159" s="1"/>
      <c r="G159" s="1"/>
      <c r="H159" s="1"/>
      <c r="I159" s="1"/>
      <c r="J159" s="1"/>
      <c r="K159" s="1"/>
      <c r="L159" s="1"/>
      <c r="M159" s="1"/>
      <c r="N159" s="1"/>
      <c r="O159" s="1"/>
      <c r="P159" s="1"/>
      <c r="Q159" s="1"/>
      <c r="R159" s="1"/>
      <c r="S159" s="1"/>
      <c r="T159" s="1"/>
      <c r="U159" s="1"/>
      <c r="V159" s="1"/>
      <c r="W159" s="1"/>
      <c r="X159" s="1"/>
      <c r="Y159" s="1"/>
      <c r="Z159" s="1"/>
    </row>
    <row r="160" customHeight="1" spans="1:26">
      <c r="A160" s="1"/>
      <c r="B160" s="1"/>
      <c r="C160" s="2"/>
      <c r="D160" s="2"/>
      <c r="E160" s="3"/>
      <c r="F160" s="1"/>
      <c r="G160" s="1"/>
      <c r="H160" s="1"/>
      <c r="I160" s="1"/>
      <c r="J160" s="1"/>
      <c r="K160" s="1"/>
      <c r="L160" s="1"/>
      <c r="M160" s="1"/>
      <c r="N160" s="1"/>
      <c r="O160" s="1"/>
      <c r="P160" s="1"/>
      <c r="Q160" s="1"/>
      <c r="R160" s="1"/>
      <c r="S160" s="1"/>
      <c r="T160" s="1"/>
      <c r="U160" s="1"/>
      <c r="V160" s="1"/>
      <c r="W160" s="1"/>
      <c r="X160" s="1"/>
      <c r="Y160" s="1"/>
      <c r="Z160" s="1"/>
    </row>
    <row r="161" customHeight="1" spans="1:26">
      <c r="A161" s="1"/>
      <c r="B161" s="1"/>
      <c r="C161" s="2"/>
      <c r="D161" s="2"/>
      <c r="E161" s="3"/>
      <c r="F161" s="1"/>
      <c r="G161" s="1"/>
      <c r="H161" s="1"/>
      <c r="I161" s="1"/>
      <c r="J161" s="1"/>
      <c r="K161" s="1"/>
      <c r="L161" s="1"/>
      <c r="M161" s="1"/>
      <c r="N161" s="1"/>
      <c r="O161" s="1"/>
      <c r="P161" s="1"/>
      <c r="Q161" s="1"/>
      <c r="R161" s="1"/>
      <c r="S161" s="1"/>
      <c r="T161" s="1"/>
      <c r="U161" s="1"/>
      <c r="V161" s="1"/>
      <c r="W161" s="1"/>
      <c r="X161" s="1"/>
      <c r="Y161" s="1"/>
      <c r="Z161" s="1"/>
    </row>
    <row r="162" customHeight="1" spans="1:26">
      <c r="A162" s="1"/>
      <c r="B162" s="1"/>
      <c r="C162" s="2"/>
      <c r="D162" s="2"/>
      <c r="E162" s="3"/>
      <c r="F162" s="1"/>
      <c r="G162" s="1"/>
      <c r="H162" s="1"/>
      <c r="I162" s="1"/>
      <c r="J162" s="1"/>
      <c r="K162" s="1"/>
      <c r="L162" s="1"/>
      <c r="M162" s="1"/>
      <c r="N162" s="1"/>
      <c r="O162" s="1"/>
      <c r="P162" s="1"/>
      <c r="Q162" s="1"/>
      <c r="R162" s="1"/>
      <c r="S162" s="1"/>
      <c r="T162" s="1"/>
      <c r="U162" s="1"/>
      <c r="V162" s="1"/>
      <c r="W162" s="1"/>
      <c r="X162" s="1"/>
      <c r="Y162" s="1"/>
      <c r="Z162" s="1"/>
    </row>
    <row r="163" customHeight="1" spans="1:26">
      <c r="A163" s="1"/>
      <c r="B163" s="1"/>
      <c r="C163" s="2"/>
      <c r="D163" s="2"/>
      <c r="E163" s="3"/>
      <c r="F163" s="1"/>
      <c r="G163" s="1"/>
      <c r="H163" s="1"/>
      <c r="I163" s="1"/>
      <c r="J163" s="1"/>
      <c r="K163" s="1"/>
      <c r="L163" s="1"/>
      <c r="M163" s="1"/>
      <c r="N163" s="1"/>
      <c r="O163" s="1"/>
      <c r="P163" s="1"/>
      <c r="Q163" s="1"/>
      <c r="R163" s="1"/>
      <c r="S163" s="1"/>
      <c r="T163" s="1"/>
      <c r="U163" s="1"/>
      <c r="V163" s="1"/>
      <c r="W163" s="1"/>
      <c r="X163" s="1"/>
      <c r="Y163" s="1"/>
      <c r="Z163" s="1"/>
    </row>
    <row r="164" customHeight="1" spans="1:26">
      <c r="A164" s="1"/>
      <c r="B164" s="1"/>
      <c r="C164" s="2"/>
      <c r="D164" s="2"/>
      <c r="E164" s="3"/>
      <c r="F164" s="1"/>
      <c r="G164" s="1"/>
      <c r="H164" s="1"/>
      <c r="I164" s="1"/>
      <c r="J164" s="1"/>
      <c r="K164" s="1"/>
      <c r="L164" s="1"/>
      <c r="M164" s="1"/>
      <c r="N164" s="1"/>
      <c r="O164" s="1"/>
      <c r="P164" s="1"/>
      <c r="Q164" s="1"/>
      <c r="R164" s="1"/>
      <c r="S164" s="1"/>
      <c r="T164" s="1"/>
      <c r="U164" s="1"/>
      <c r="V164" s="1"/>
      <c r="W164" s="1"/>
      <c r="X164" s="1"/>
      <c r="Y164" s="1"/>
      <c r="Z164" s="1"/>
    </row>
    <row r="165" customHeight="1" spans="1:26">
      <c r="A165" s="1"/>
      <c r="B165" s="1"/>
      <c r="C165" s="2"/>
      <c r="D165" s="2"/>
      <c r="E165" s="3"/>
      <c r="F165" s="1"/>
      <c r="G165" s="1"/>
      <c r="H165" s="1"/>
      <c r="I165" s="1"/>
      <c r="J165" s="1"/>
      <c r="K165" s="1"/>
      <c r="L165" s="1"/>
      <c r="M165" s="1"/>
      <c r="N165" s="1"/>
      <c r="O165" s="1"/>
      <c r="P165" s="1"/>
      <c r="Q165" s="1"/>
      <c r="R165" s="1"/>
      <c r="S165" s="1"/>
      <c r="T165" s="1"/>
      <c r="U165" s="1"/>
      <c r="V165" s="1"/>
      <c r="W165" s="1"/>
      <c r="X165" s="1"/>
      <c r="Y165" s="1"/>
      <c r="Z165" s="1"/>
    </row>
    <row r="166" customHeight="1" spans="1:26">
      <c r="A166" s="1"/>
      <c r="B166" s="1"/>
      <c r="C166" s="2"/>
      <c r="D166" s="2"/>
      <c r="E166" s="3"/>
      <c r="F166" s="1"/>
      <c r="G166" s="1"/>
      <c r="H166" s="1"/>
      <c r="I166" s="1"/>
      <c r="J166" s="1"/>
      <c r="K166" s="1"/>
      <c r="L166" s="1"/>
      <c r="M166" s="1"/>
      <c r="N166" s="1"/>
      <c r="O166" s="1"/>
      <c r="P166" s="1"/>
      <c r="Q166" s="1"/>
      <c r="R166" s="1"/>
      <c r="S166" s="1"/>
      <c r="T166" s="1"/>
      <c r="U166" s="1"/>
      <c r="V166" s="1"/>
      <c r="W166" s="1"/>
      <c r="X166" s="1"/>
      <c r="Y166" s="1"/>
      <c r="Z166" s="1"/>
    </row>
    <row r="167" customHeight="1" spans="1:26">
      <c r="A167" s="1"/>
      <c r="B167" s="1"/>
      <c r="C167" s="2"/>
      <c r="D167" s="2"/>
      <c r="E167" s="3"/>
      <c r="F167" s="1"/>
      <c r="G167" s="1"/>
      <c r="H167" s="1"/>
      <c r="I167" s="1"/>
      <c r="J167" s="1"/>
      <c r="K167" s="1"/>
      <c r="L167" s="1"/>
      <c r="M167" s="1"/>
      <c r="N167" s="1"/>
      <c r="O167" s="1"/>
      <c r="P167" s="1"/>
      <c r="Q167" s="1"/>
      <c r="R167" s="1"/>
      <c r="S167" s="1"/>
      <c r="T167" s="1"/>
      <c r="U167" s="1"/>
      <c r="V167" s="1"/>
      <c r="W167" s="1"/>
      <c r="X167" s="1"/>
      <c r="Y167" s="1"/>
      <c r="Z167" s="1"/>
    </row>
    <row r="168" customHeight="1" spans="1:26">
      <c r="A168" s="1"/>
      <c r="B168" s="1"/>
      <c r="C168" s="2"/>
      <c r="D168" s="2"/>
      <c r="E168" s="3"/>
      <c r="F168" s="1"/>
      <c r="G168" s="1"/>
      <c r="H168" s="1"/>
      <c r="I168" s="1"/>
      <c r="J168" s="1"/>
      <c r="K168" s="1"/>
      <c r="L168" s="1"/>
      <c r="M168" s="1"/>
      <c r="N168" s="1"/>
      <c r="O168" s="1"/>
      <c r="P168" s="1"/>
      <c r="Q168" s="1"/>
      <c r="R168" s="1"/>
      <c r="S168" s="1"/>
      <c r="T168" s="1"/>
      <c r="U168" s="1"/>
      <c r="V168" s="1"/>
      <c r="W168" s="1"/>
      <c r="X168" s="1"/>
      <c r="Y168" s="1"/>
      <c r="Z168" s="1"/>
    </row>
    <row r="169" customHeight="1" spans="1:26">
      <c r="A169" s="1"/>
      <c r="B169" s="1"/>
      <c r="C169" s="2"/>
      <c r="D169" s="2"/>
      <c r="E169" s="3"/>
      <c r="F169" s="1"/>
      <c r="G169" s="1"/>
      <c r="H169" s="1"/>
      <c r="I169" s="1"/>
      <c r="J169" s="1"/>
      <c r="K169" s="1"/>
      <c r="L169" s="1"/>
      <c r="M169" s="1"/>
      <c r="N169" s="1"/>
      <c r="O169" s="1"/>
      <c r="P169" s="1"/>
      <c r="Q169" s="1"/>
      <c r="R169" s="1"/>
      <c r="S169" s="1"/>
      <c r="T169" s="1"/>
      <c r="U169" s="1"/>
      <c r="V169" s="1"/>
      <c r="W169" s="1"/>
      <c r="X169" s="1"/>
      <c r="Y169" s="1"/>
      <c r="Z169" s="1"/>
    </row>
    <row r="170" customHeight="1" spans="1:26">
      <c r="A170" s="1"/>
      <c r="B170" s="1"/>
      <c r="C170" s="2"/>
      <c r="D170" s="2"/>
      <c r="E170" s="3"/>
      <c r="F170" s="1"/>
      <c r="G170" s="1"/>
      <c r="H170" s="1"/>
      <c r="I170" s="1"/>
      <c r="J170" s="1"/>
      <c r="K170" s="1"/>
      <c r="L170" s="1"/>
      <c r="M170" s="1"/>
      <c r="N170" s="1"/>
      <c r="O170" s="1"/>
      <c r="P170" s="1"/>
      <c r="Q170" s="1"/>
      <c r="R170" s="1"/>
      <c r="S170" s="1"/>
      <c r="T170" s="1"/>
      <c r="U170" s="1"/>
      <c r="V170" s="1"/>
      <c r="W170" s="1"/>
      <c r="X170" s="1"/>
      <c r="Y170" s="1"/>
      <c r="Z170" s="1"/>
    </row>
    <row r="171" customHeight="1" spans="1:26">
      <c r="A171" s="1"/>
      <c r="B171" s="1"/>
      <c r="C171" s="2"/>
      <c r="D171" s="2"/>
      <c r="E171" s="3"/>
      <c r="F171" s="1"/>
      <c r="G171" s="1"/>
      <c r="H171" s="1"/>
      <c r="I171" s="1"/>
      <c r="J171" s="1"/>
      <c r="K171" s="1"/>
      <c r="L171" s="1"/>
      <c r="M171" s="1"/>
      <c r="N171" s="1"/>
      <c r="O171" s="1"/>
      <c r="P171" s="1"/>
      <c r="Q171" s="1"/>
      <c r="R171" s="1"/>
      <c r="S171" s="1"/>
      <c r="T171" s="1"/>
      <c r="U171" s="1"/>
      <c r="V171" s="1"/>
      <c r="W171" s="1"/>
      <c r="X171" s="1"/>
      <c r="Y171" s="1"/>
      <c r="Z171" s="1"/>
    </row>
    <row r="172" customHeight="1" spans="1:26">
      <c r="A172" s="1"/>
      <c r="B172" s="1"/>
      <c r="C172" s="2"/>
      <c r="D172" s="2"/>
      <c r="E172" s="3"/>
      <c r="F172" s="1"/>
      <c r="G172" s="1"/>
      <c r="H172" s="1"/>
      <c r="I172" s="1"/>
      <c r="J172" s="1"/>
      <c r="K172" s="1"/>
      <c r="L172" s="1"/>
      <c r="M172" s="1"/>
      <c r="N172" s="1"/>
      <c r="O172" s="1"/>
      <c r="P172" s="1"/>
      <c r="Q172" s="1"/>
      <c r="R172" s="1"/>
      <c r="S172" s="1"/>
      <c r="T172" s="1"/>
      <c r="U172" s="1"/>
      <c r="V172" s="1"/>
      <c r="W172" s="1"/>
      <c r="X172" s="1"/>
      <c r="Y172" s="1"/>
      <c r="Z172" s="1"/>
    </row>
    <row r="173" customHeight="1" spans="1:26">
      <c r="A173" s="1"/>
      <c r="B173" s="1"/>
      <c r="C173" s="2"/>
      <c r="D173" s="2"/>
      <c r="E173" s="3"/>
      <c r="F173" s="1"/>
      <c r="G173" s="1"/>
      <c r="H173" s="1"/>
      <c r="I173" s="1"/>
      <c r="J173" s="1"/>
      <c r="K173" s="1"/>
      <c r="L173" s="1"/>
      <c r="M173" s="1"/>
      <c r="N173" s="1"/>
      <c r="O173" s="1"/>
      <c r="P173" s="1"/>
      <c r="Q173" s="1"/>
      <c r="R173" s="1"/>
      <c r="S173" s="1"/>
      <c r="T173" s="1"/>
      <c r="U173" s="1"/>
      <c r="V173" s="1"/>
      <c r="W173" s="1"/>
      <c r="X173" s="1"/>
      <c r="Y173" s="1"/>
      <c r="Z173" s="1"/>
    </row>
    <row r="174" customHeight="1" spans="1:26">
      <c r="A174" s="1"/>
      <c r="B174" s="1"/>
      <c r="C174" s="2"/>
      <c r="D174" s="2"/>
      <c r="E174" s="3"/>
      <c r="F174" s="1"/>
      <c r="G174" s="1"/>
      <c r="H174" s="1"/>
      <c r="I174" s="1"/>
      <c r="J174" s="1"/>
      <c r="K174" s="1"/>
      <c r="L174" s="1"/>
      <c r="M174" s="1"/>
      <c r="N174" s="1"/>
      <c r="O174" s="1"/>
      <c r="P174" s="1"/>
      <c r="Q174" s="1"/>
      <c r="R174" s="1"/>
      <c r="S174" s="1"/>
      <c r="T174" s="1"/>
      <c r="U174" s="1"/>
      <c r="V174" s="1"/>
      <c r="W174" s="1"/>
      <c r="X174" s="1"/>
      <c r="Y174" s="1"/>
      <c r="Z174" s="1"/>
    </row>
    <row r="175" customHeight="1" spans="1:26">
      <c r="A175" s="1"/>
      <c r="B175" s="1"/>
      <c r="C175" s="2"/>
      <c r="D175" s="2"/>
      <c r="E175" s="3"/>
      <c r="F175" s="1"/>
      <c r="G175" s="1"/>
      <c r="H175" s="1"/>
      <c r="I175" s="1"/>
      <c r="J175" s="1"/>
      <c r="K175" s="1"/>
      <c r="L175" s="1"/>
      <c r="M175" s="1"/>
      <c r="N175" s="1"/>
      <c r="O175" s="1"/>
      <c r="P175" s="1"/>
      <c r="Q175" s="1"/>
      <c r="R175" s="1"/>
      <c r="S175" s="1"/>
      <c r="T175" s="1"/>
      <c r="U175" s="1"/>
      <c r="V175" s="1"/>
      <c r="W175" s="1"/>
      <c r="X175" s="1"/>
      <c r="Y175" s="1"/>
      <c r="Z175" s="1"/>
    </row>
    <row r="176" customHeight="1" spans="1:26">
      <c r="A176" s="1"/>
      <c r="B176" s="1"/>
      <c r="C176" s="2"/>
      <c r="D176" s="2"/>
      <c r="E176" s="3"/>
      <c r="F176" s="1"/>
      <c r="G176" s="1"/>
      <c r="H176" s="1"/>
      <c r="I176" s="1"/>
      <c r="J176" s="1"/>
      <c r="K176" s="1"/>
      <c r="L176" s="1"/>
      <c r="M176" s="1"/>
      <c r="N176" s="1"/>
      <c r="O176" s="1"/>
      <c r="P176" s="1"/>
      <c r="Q176" s="1"/>
      <c r="R176" s="1"/>
      <c r="S176" s="1"/>
      <c r="T176" s="1"/>
      <c r="U176" s="1"/>
      <c r="V176" s="1"/>
      <c r="W176" s="1"/>
      <c r="X176" s="1"/>
      <c r="Y176" s="1"/>
      <c r="Z176" s="1"/>
    </row>
    <row r="177" customHeight="1" spans="1:26">
      <c r="A177" s="1"/>
      <c r="B177" s="1"/>
      <c r="C177" s="2"/>
      <c r="D177" s="2"/>
      <c r="E177" s="3"/>
      <c r="F177" s="1"/>
      <c r="G177" s="1"/>
      <c r="H177" s="1"/>
      <c r="I177" s="1"/>
      <c r="J177" s="1"/>
      <c r="K177" s="1"/>
      <c r="L177" s="1"/>
      <c r="M177" s="1"/>
      <c r="N177" s="1"/>
      <c r="O177" s="1"/>
      <c r="P177" s="1"/>
      <c r="Q177" s="1"/>
      <c r="R177" s="1"/>
      <c r="S177" s="1"/>
      <c r="T177" s="1"/>
      <c r="U177" s="1"/>
      <c r="V177" s="1"/>
      <c r="W177" s="1"/>
      <c r="X177" s="1"/>
      <c r="Y177" s="1"/>
      <c r="Z177" s="1"/>
    </row>
    <row r="178" customHeight="1" spans="1:26">
      <c r="A178" s="1"/>
      <c r="B178" s="1"/>
      <c r="C178" s="2"/>
      <c r="D178" s="2"/>
      <c r="E178" s="3"/>
      <c r="F178" s="1"/>
      <c r="G178" s="1"/>
      <c r="H178" s="1"/>
      <c r="I178" s="1"/>
      <c r="J178" s="1"/>
      <c r="K178" s="1"/>
      <c r="L178" s="1"/>
      <c r="M178" s="1"/>
      <c r="N178" s="1"/>
      <c r="O178" s="1"/>
      <c r="P178" s="1"/>
      <c r="Q178" s="1"/>
      <c r="R178" s="1"/>
      <c r="S178" s="1"/>
      <c r="T178" s="1"/>
      <c r="U178" s="1"/>
      <c r="V178" s="1"/>
      <c r="W178" s="1"/>
      <c r="X178" s="1"/>
      <c r="Y178" s="1"/>
      <c r="Z178" s="1"/>
    </row>
    <row r="179" customHeight="1" spans="1:26">
      <c r="A179" s="1"/>
      <c r="B179" s="1"/>
      <c r="C179" s="2"/>
      <c r="D179" s="2"/>
      <c r="E179" s="3"/>
      <c r="F179" s="1"/>
      <c r="G179" s="1"/>
      <c r="H179" s="1"/>
      <c r="I179" s="1"/>
      <c r="J179" s="1"/>
      <c r="K179" s="1"/>
      <c r="L179" s="1"/>
      <c r="M179" s="1"/>
      <c r="N179" s="1"/>
      <c r="O179" s="1"/>
      <c r="P179" s="1"/>
      <c r="Q179" s="1"/>
      <c r="R179" s="1"/>
      <c r="S179" s="1"/>
      <c r="T179" s="1"/>
      <c r="U179" s="1"/>
      <c r="V179" s="1"/>
      <c r="W179" s="1"/>
      <c r="X179" s="1"/>
      <c r="Y179" s="1"/>
      <c r="Z179" s="1"/>
    </row>
    <row r="180" customHeight="1" spans="1:26">
      <c r="A180" s="1"/>
      <c r="B180" s="1"/>
      <c r="C180" s="2"/>
      <c r="D180" s="2"/>
      <c r="E180" s="3"/>
      <c r="F180" s="1"/>
      <c r="G180" s="1"/>
      <c r="H180" s="1"/>
      <c r="I180" s="1"/>
      <c r="J180" s="1"/>
      <c r="K180" s="1"/>
      <c r="L180" s="1"/>
      <c r="M180" s="1"/>
      <c r="N180" s="1"/>
      <c r="O180" s="1"/>
      <c r="P180" s="1"/>
      <c r="Q180" s="1"/>
      <c r="R180" s="1"/>
      <c r="S180" s="1"/>
      <c r="T180" s="1"/>
      <c r="U180" s="1"/>
      <c r="V180" s="1"/>
      <c r="W180" s="1"/>
      <c r="X180" s="1"/>
      <c r="Y180" s="1"/>
      <c r="Z180" s="1"/>
    </row>
    <row r="181" customHeight="1" spans="1:26">
      <c r="A181" s="1"/>
      <c r="B181" s="1"/>
      <c r="C181" s="2"/>
      <c r="D181" s="2"/>
      <c r="E181" s="3"/>
      <c r="F181" s="1"/>
      <c r="G181" s="1"/>
      <c r="H181" s="1"/>
      <c r="I181" s="1"/>
      <c r="J181" s="1"/>
      <c r="K181" s="1"/>
      <c r="L181" s="1"/>
      <c r="M181" s="1"/>
      <c r="N181" s="1"/>
      <c r="O181" s="1"/>
      <c r="P181" s="1"/>
      <c r="Q181" s="1"/>
      <c r="R181" s="1"/>
      <c r="S181" s="1"/>
      <c r="T181" s="1"/>
      <c r="U181" s="1"/>
      <c r="V181" s="1"/>
      <c r="W181" s="1"/>
      <c r="X181" s="1"/>
      <c r="Y181" s="1"/>
      <c r="Z181" s="1"/>
    </row>
    <row r="182" customHeight="1" spans="1:26">
      <c r="A182" s="1"/>
      <c r="B182" s="1"/>
      <c r="C182" s="2"/>
      <c r="D182" s="2"/>
      <c r="E182" s="3"/>
      <c r="F182" s="1"/>
      <c r="G182" s="1"/>
      <c r="H182" s="1"/>
      <c r="I182" s="1"/>
      <c r="J182" s="1"/>
      <c r="K182" s="1"/>
      <c r="L182" s="1"/>
      <c r="M182" s="1"/>
      <c r="N182" s="1"/>
      <c r="O182" s="1"/>
      <c r="P182" s="1"/>
      <c r="Q182" s="1"/>
      <c r="R182" s="1"/>
      <c r="S182" s="1"/>
      <c r="T182" s="1"/>
      <c r="U182" s="1"/>
      <c r="V182" s="1"/>
      <c r="W182" s="1"/>
      <c r="X182" s="1"/>
      <c r="Y182" s="1"/>
      <c r="Z182" s="1"/>
    </row>
    <row r="183" customHeight="1" spans="1:26">
      <c r="A183" s="1"/>
      <c r="B183" s="1"/>
      <c r="C183" s="2"/>
      <c r="D183" s="2"/>
      <c r="E183" s="3"/>
      <c r="F183" s="1"/>
      <c r="G183" s="1"/>
      <c r="H183" s="1"/>
      <c r="I183" s="1"/>
      <c r="J183" s="1"/>
      <c r="K183" s="1"/>
      <c r="L183" s="1"/>
      <c r="M183" s="1"/>
      <c r="N183" s="1"/>
      <c r="O183" s="1"/>
      <c r="P183" s="1"/>
      <c r="Q183" s="1"/>
      <c r="R183" s="1"/>
      <c r="S183" s="1"/>
      <c r="T183" s="1"/>
      <c r="U183" s="1"/>
      <c r="V183" s="1"/>
      <c r="W183" s="1"/>
      <c r="X183" s="1"/>
      <c r="Y183" s="1"/>
      <c r="Z183" s="1"/>
    </row>
    <row r="184" customHeight="1" spans="1:26">
      <c r="A184" s="1"/>
      <c r="B184" s="1"/>
      <c r="C184" s="2"/>
      <c r="D184" s="2"/>
      <c r="E184" s="3"/>
      <c r="F184" s="1"/>
      <c r="G184" s="1"/>
      <c r="H184" s="1"/>
      <c r="I184" s="1"/>
      <c r="J184" s="1"/>
      <c r="K184" s="1"/>
      <c r="L184" s="1"/>
      <c r="M184" s="1"/>
      <c r="N184" s="1"/>
      <c r="O184" s="1"/>
      <c r="P184" s="1"/>
      <c r="Q184" s="1"/>
      <c r="R184" s="1"/>
      <c r="S184" s="1"/>
      <c r="T184" s="1"/>
      <c r="U184" s="1"/>
      <c r="V184" s="1"/>
      <c r="W184" s="1"/>
      <c r="X184" s="1"/>
      <c r="Y184" s="1"/>
      <c r="Z184" s="1"/>
    </row>
    <row r="185" customHeight="1" spans="1:26">
      <c r="A185" s="1"/>
      <c r="B185" s="1"/>
      <c r="C185" s="2"/>
      <c r="D185" s="2"/>
      <c r="E185" s="3"/>
      <c r="F185" s="1"/>
      <c r="G185" s="1"/>
      <c r="H185" s="1"/>
      <c r="I185" s="1"/>
      <c r="J185" s="1"/>
      <c r="K185" s="1"/>
      <c r="L185" s="1"/>
      <c r="M185" s="1"/>
      <c r="N185" s="1"/>
      <c r="O185" s="1"/>
      <c r="P185" s="1"/>
      <c r="Q185" s="1"/>
      <c r="R185" s="1"/>
      <c r="S185" s="1"/>
      <c r="T185" s="1"/>
      <c r="U185" s="1"/>
      <c r="V185" s="1"/>
      <c r="W185" s="1"/>
      <c r="X185" s="1"/>
      <c r="Y185" s="1"/>
      <c r="Z185" s="1"/>
    </row>
    <row r="186" customHeight="1" spans="1:26">
      <c r="A186" s="1"/>
      <c r="B186" s="1"/>
      <c r="C186" s="2"/>
      <c r="D186" s="2"/>
      <c r="E186" s="3"/>
      <c r="F186" s="1"/>
      <c r="G186" s="1"/>
      <c r="H186" s="1"/>
      <c r="I186" s="1"/>
      <c r="J186" s="1"/>
      <c r="K186" s="1"/>
      <c r="L186" s="1"/>
      <c r="M186" s="1"/>
      <c r="N186" s="1"/>
      <c r="O186" s="1"/>
      <c r="P186" s="1"/>
      <c r="Q186" s="1"/>
      <c r="R186" s="1"/>
      <c r="S186" s="1"/>
      <c r="T186" s="1"/>
      <c r="U186" s="1"/>
      <c r="V186" s="1"/>
      <c r="W186" s="1"/>
      <c r="X186" s="1"/>
      <c r="Y186" s="1"/>
      <c r="Z186" s="1"/>
    </row>
    <row r="187" customHeight="1" spans="1:26">
      <c r="A187" s="1"/>
      <c r="B187" s="1"/>
      <c r="C187" s="2"/>
      <c r="D187" s="2"/>
      <c r="E187" s="3"/>
      <c r="F187" s="1"/>
      <c r="G187" s="1"/>
      <c r="H187" s="1"/>
      <c r="I187" s="1"/>
      <c r="J187" s="1"/>
      <c r="K187" s="1"/>
      <c r="L187" s="1"/>
      <c r="M187" s="1"/>
      <c r="N187" s="1"/>
      <c r="O187" s="1"/>
      <c r="P187" s="1"/>
      <c r="Q187" s="1"/>
      <c r="R187" s="1"/>
      <c r="S187" s="1"/>
      <c r="T187" s="1"/>
      <c r="U187" s="1"/>
      <c r="V187" s="1"/>
      <c r="W187" s="1"/>
      <c r="X187" s="1"/>
      <c r="Y187" s="1"/>
      <c r="Z187" s="1"/>
    </row>
    <row r="188" customHeight="1" spans="1:26">
      <c r="A188" s="1"/>
      <c r="B188" s="1"/>
      <c r="C188" s="2"/>
      <c r="D188" s="2"/>
      <c r="E188" s="3"/>
      <c r="F188" s="1"/>
      <c r="G188" s="1"/>
      <c r="H188" s="1"/>
      <c r="I188" s="1"/>
      <c r="J188" s="1"/>
      <c r="K188" s="1"/>
      <c r="L188" s="1"/>
      <c r="M188" s="1"/>
      <c r="N188" s="1"/>
      <c r="O188" s="1"/>
      <c r="P188" s="1"/>
      <c r="Q188" s="1"/>
      <c r="R188" s="1"/>
      <c r="S188" s="1"/>
      <c r="T188" s="1"/>
      <c r="U188" s="1"/>
      <c r="V188" s="1"/>
      <c r="W188" s="1"/>
      <c r="X188" s="1"/>
      <c r="Y188" s="1"/>
      <c r="Z188" s="1"/>
    </row>
    <row r="189" customHeight="1" spans="1:26">
      <c r="A189" s="1"/>
      <c r="B189" s="1"/>
      <c r="C189" s="2"/>
      <c r="D189" s="2"/>
      <c r="E189" s="3"/>
      <c r="F189" s="1"/>
      <c r="G189" s="1"/>
      <c r="H189" s="1"/>
      <c r="I189" s="1"/>
      <c r="J189" s="1"/>
      <c r="K189" s="1"/>
      <c r="L189" s="1"/>
      <c r="M189" s="1"/>
      <c r="N189" s="1"/>
      <c r="O189" s="1"/>
      <c r="P189" s="1"/>
      <c r="Q189" s="1"/>
      <c r="R189" s="1"/>
      <c r="S189" s="1"/>
      <c r="T189" s="1"/>
      <c r="U189" s="1"/>
      <c r="V189" s="1"/>
      <c r="W189" s="1"/>
      <c r="X189" s="1"/>
      <c r="Y189" s="1"/>
      <c r="Z189" s="1"/>
    </row>
    <row r="190" customHeight="1" spans="1:26">
      <c r="A190" s="1"/>
      <c r="B190" s="1"/>
      <c r="C190" s="2"/>
      <c r="D190" s="2"/>
      <c r="E190" s="3"/>
      <c r="F190" s="1"/>
      <c r="G190" s="1"/>
      <c r="H190" s="1"/>
      <c r="I190" s="1"/>
      <c r="J190" s="1"/>
      <c r="K190" s="1"/>
      <c r="L190" s="1"/>
      <c r="M190" s="1"/>
      <c r="N190" s="1"/>
      <c r="O190" s="1"/>
      <c r="P190" s="1"/>
      <c r="Q190" s="1"/>
      <c r="R190" s="1"/>
      <c r="S190" s="1"/>
      <c r="T190" s="1"/>
      <c r="U190" s="1"/>
      <c r="V190" s="1"/>
      <c r="W190" s="1"/>
      <c r="X190" s="1"/>
      <c r="Y190" s="1"/>
      <c r="Z190" s="1"/>
    </row>
    <row r="191" customHeight="1" spans="1:26">
      <c r="A191" s="1"/>
      <c r="B191" s="1"/>
      <c r="C191" s="2"/>
      <c r="D191" s="2"/>
      <c r="E191" s="3"/>
      <c r="F191" s="1"/>
      <c r="G191" s="1"/>
      <c r="H191" s="1"/>
      <c r="I191" s="1"/>
      <c r="J191" s="1"/>
      <c r="K191" s="1"/>
      <c r="L191" s="1"/>
      <c r="M191" s="1"/>
      <c r="N191" s="1"/>
      <c r="O191" s="1"/>
      <c r="P191" s="1"/>
      <c r="Q191" s="1"/>
      <c r="R191" s="1"/>
      <c r="S191" s="1"/>
      <c r="T191" s="1"/>
      <c r="U191" s="1"/>
      <c r="V191" s="1"/>
      <c r="W191" s="1"/>
      <c r="X191" s="1"/>
      <c r="Y191" s="1"/>
      <c r="Z191" s="1"/>
    </row>
    <row r="192" customHeight="1" spans="1:26">
      <c r="A192" s="1"/>
      <c r="B192" s="1"/>
      <c r="C192" s="2"/>
      <c r="D192" s="2"/>
      <c r="E192" s="3"/>
      <c r="F192" s="1"/>
      <c r="G192" s="1"/>
      <c r="H192" s="1"/>
      <c r="I192" s="1"/>
      <c r="J192" s="1"/>
      <c r="K192" s="1"/>
      <c r="L192" s="1"/>
      <c r="M192" s="1"/>
      <c r="N192" s="1"/>
      <c r="O192" s="1"/>
      <c r="P192" s="1"/>
      <c r="Q192" s="1"/>
      <c r="R192" s="1"/>
      <c r="S192" s="1"/>
      <c r="T192" s="1"/>
      <c r="U192" s="1"/>
      <c r="V192" s="1"/>
      <c r="W192" s="1"/>
      <c r="X192" s="1"/>
      <c r="Y192" s="1"/>
      <c r="Z192" s="1"/>
    </row>
    <row r="193" customHeight="1" spans="1:26">
      <c r="A193" s="1"/>
      <c r="B193" s="1"/>
      <c r="C193" s="2"/>
      <c r="D193" s="2"/>
      <c r="E193" s="3"/>
      <c r="F193" s="1"/>
      <c r="G193" s="1"/>
      <c r="H193" s="1"/>
      <c r="I193" s="1"/>
      <c r="J193" s="1"/>
      <c r="K193" s="1"/>
      <c r="L193" s="1"/>
      <c r="M193" s="1"/>
      <c r="N193" s="1"/>
      <c r="O193" s="1"/>
      <c r="P193" s="1"/>
      <c r="Q193" s="1"/>
      <c r="R193" s="1"/>
      <c r="S193" s="1"/>
      <c r="T193" s="1"/>
      <c r="U193" s="1"/>
      <c r="V193" s="1"/>
      <c r="W193" s="1"/>
      <c r="X193" s="1"/>
      <c r="Y193" s="1"/>
      <c r="Z193" s="1"/>
    </row>
    <row r="194" customHeight="1" spans="1:26">
      <c r="A194" s="1"/>
      <c r="B194" s="1"/>
      <c r="C194" s="2"/>
      <c r="D194" s="2"/>
      <c r="E194" s="3"/>
      <c r="F194" s="1"/>
      <c r="G194" s="1"/>
      <c r="H194" s="1"/>
      <c r="I194" s="1"/>
      <c r="J194" s="1"/>
      <c r="K194" s="1"/>
      <c r="L194" s="1"/>
      <c r="M194" s="1"/>
      <c r="N194" s="1"/>
      <c r="O194" s="1"/>
      <c r="P194" s="1"/>
      <c r="Q194" s="1"/>
      <c r="R194" s="1"/>
      <c r="S194" s="1"/>
      <c r="T194" s="1"/>
      <c r="U194" s="1"/>
      <c r="V194" s="1"/>
      <c r="W194" s="1"/>
      <c r="X194" s="1"/>
      <c r="Y194" s="1"/>
      <c r="Z194" s="1"/>
    </row>
    <row r="195" customHeight="1" spans="1:26">
      <c r="A195" s="1"/>
      <c r="B195" s="1"/>
      <c r="C195" s="2"/>
      <c r="D195" s="2"/>
      <c r="E195" s="3"/>
      <c r="F195" s="1"/>
      <c r="G195" s="1"/>
      <c r="H195" s="1"/>
      <c r="I195" s="1"/>
      <c r="J195" s="1"/>
      <c r="K195" s="1"/>
      <c r="L195" s="1"/>
      <c r="M195" s="1"/>
      <c r="N195" s="1"/>
      <c r="O195" s="1"/>
      <c r="P195" s="1"/>
      <c r="Q195" s="1"/>
      <c r="R195" s="1"/>
      <c r="S195" s="1"/>
      <c r="T195" s="1"/>
      <c r="U195" s="1"/>
      <c r="V195" s="1"/>
      <c r="W195" s="1"/>
      <c r="X195" s="1"/>
      <c r="Y195" s="1"/>
      <c r="Z195" s="1"/>
    </row>
    <row r="196" customHeight="1" spans="1:26">
      <c r="A196" s="1"/>
      <c r="B196" s="1"/>
      <c r="C196" s="2"/>
      <c r="D196" s="2"/>
      <c r="E196" s="3"/>
      <c r="F196" s="1"/>
      <c r="G196" s="1"/>
      <c r="H196" s="1"/>
      <c r="I196" s="1"/>
      <c r="J196" s="1"/>
      <c r="K196" s="1"/>
      <c r="L196" s="1"/>
      <c r="M196" s="1"/>
      <c r="N196" s="1"/>
      <c r="O196" s="1"/>
      <c r="P196" s="1"/>
      <c r="Q196" s="1"/>
      <c r="R196" s="1"/>
      <c r="S196" s="1"/>
      <c r="T196" s="1"/>
      <c r="U196" s="1"/>
      <c r="V196" s="1"/>
      <c r="W196" s="1"/>
      <c r="X196" s="1"/>
      <c r="Y196" s="1"/>
      <c r="Z196" s="1"/>
    </row>
    <row r="197" customHeight="1" spans="1:26">
      <c r="A197" s="1"/>
      <c r="B197" s="1"/>
      <c r="C197" s="2"/>
      <c r="D197" s="2"/>
      <c r="E197" s="3"/>
      <c r="F197" s="1"/>
      <c r="G197" s="1"/>
      <c r="H197" s="1"/>
      <c r="I197" s="1"/>
      <c r="J197" s="1"/>
      <c r="K197" s="1"/>
      <c r="L197" s="1"/>
      <c r="M197" s="1"/>
      <c r="N197" s="1"/>
      <c r="O197" s="1"/>
      <c r="P197" s="1"/>
      <c r="Q197" s="1"/>
      <c r="R197" s="1"/>
      <c r="S197" s="1"/>
      <c r="T197" s="1"/>
      <c r="U197" s="1"/>
      <c r="V197" s="1"/>
      <c r="W197" s="1"/>
      <c r="X197" s="1"/>
      <c r="Y197" s="1"/>
      <c r="Z197" s="1"/>
    </row>
    <row r="198" customHeight="1" spans="1:26">
      <c r="A198" s="1"/>
      <c r="B198" s="1"/>
      <c r="C198" s="2"/>
      <c r="D198" s="2"/>
      <c r="E198" s="3"/>
      <c r="F198" s="1"/>
      <c r="G198" s="1"/>
      <c r="H198" s="1"/>
      <c r="I198" s="1"/>
      <c r="J198" s="1"/>
      <c r="K198" s="1"/>
      <c r="L198" s="1"/>
      <c r="M198" s="1"/>
      <c r="N198" s="1"/>
      <c r="O198" s="1"/>
      <c r="P198" s="1"/>
      <c r="Q198" s="1"/>
      <c r="R198" s="1"/>
      <c r="S198" s="1"/>
      <c r="T198" s="1"/>
      <c r="U198" s="1"/>
      <c r="V198" s="1"/>
      <c r="W198" s="1"/>
      <c r="X198" s="1"/>
      <c r="Y198" s="1"/>
      <c r="Z198" s="1"/>
    </row>
    <row r="199" customHeight="1" spans="1:26">
      <c r="A199" s="1"/>
      <c r="B199" s="1"/>
      <c r="C199" s="2"/>
      <c r="D199" s="2"/>
      <c r="E199" s="3"/>
      <c r="F199" s="1"/>
      <c r="G199" s="1"/>
      <c r="H199" s="1"/>
      <c r="I199" s="1"/>
      <c r="J199" s="1"/>
      <c r="K199" s="1"/>
      <c r="L199" s="1"/>
      <c r="M199" s="1"/>
      <c r="N199" s="1"/>
      <c r="O199" s="1"/>
      <c r="P199" s="1"/>
      <c r="Q199" s="1"/>
      <c r="R199" s="1"/>
      <c r="S199" s="1"/>
      <c r="T199" s="1"/>
      <c r="U199" s="1"/>
      <c r="V199" s="1"/>
      <c r="W199" s="1"/>
      <c r="X199" s="1"/>
      <c r="Y199" s="1"/>
      <c r="Z199" s="1"/>
    </row>
    <row r="200" customHeight="1" spans="1:26">
      <c r="A200" s="1"/>
      <c r="B200" s="1"/>
      <c r="C200" s="2"/>
      <c r="D200" s="2"/>
      <c r="E200" s="3"/>
      <c r="F200" s="1"/>
      <c r="G200" s="1"/>
      <c r="H200" s="1"/>
      <c r="I200" s="1"/>
      <c r="J200" s="1"/>
      <c r="K200" s="1"/>
      <c r="L200" s="1"/>
      <c r="M200" s="1"/>
      <c r="N200" s="1"/>
      <c r="O200" s="1"/>
      <c r="P200" s="1"/>
      <c r="Q200" s="1"/>
      <c r="R200" s="1"/>
      <c r="S200" s="1"/>
      <c r="T200" s="1"/>
      <c r="U200" s="1"/>
      <c r="V200" s="1"/>
      <c r="W200" s="1"/>
      <c r="X200" s="1"/>
      <c r="Y200" s="1"/>
      <c r="Z200" s="1"/>
    </row>
    <row r="201" customHeight="1" spans="1:26">
      <c r="A201" s="1"/>
      <c r="B201" s="1"/>
      <c r="C201" s="2"/>
      <c r="D201" s="2"/>
      <c r="E201" s="3"/>
      <c r="F201" s="1"/>
      <c r="G201" s="1"/>
      <c r="H201" s="1"/>
      <c r="I201" s="1"/>
      <c r="J201" s="1"/>
      <c r="K201" s="1"/>
      <c r="L201" s="1"/>
      <c r="M201" s="1"/>
      <c r="N201" s="1"/>
      <c r="O201" s="1"/>
      <c r="P201" s="1"/>
      <c r="Q201" s="1"/>
      <c r="R201" s="1"/>
      <c r="S201" s="1"/>
      <c r="T201" s="1"/>
      <c r="U201" s="1"/>
      <c r="V201" s="1"/>
      <c r="W201" s="1"/>
      <c r="X201" s="1"/>
      <c r="Y201" s="1"/>
      <c r="Z201" s="1"/>
    </row>
    <row r="202" customHeight="1" spans="1:26">
      <c r="A202" s="1"/>
      <c r="B202" s="1"/>
      <c r="C202" s="2"/>
      <c r="D202" s="2"/>
      <c r="E202" s="3"/>
      <c r="F202" s="1"/>
      <c r="G202" s="1"/>
      <c r="H202" s="1"/>
      <c r="I202" s="1"/>
      <c r="J202" s="1"/>
      <c r="K202" s="1"/>
      <c r="L202" s="1"/>
      <c r="M202" s="1"/>
      <c r="N202" s="1"/>
      <c r="O202" s="1"/>
      <c r="P202" s="1"/>
      <c r="Q202" s="1"/>
      <c r="R202" s="1"/>
      <c r="S202" s="1"/>
      <c r="T202" s="1"/>
      <c r="U202" s="1"/>
      <c r="V202" s="1"/>
      <c r="W202" s="1"/>
      <c r="X202" s="1"/>
      <c r="Y202" s="1"/>
      <c r="Z202" s="1"/>
    </row>
    <row r="203" customHeight="1" spans="1:26">
      <c r="A203" s="1"/>
      <c r="B203" s="1"/>
      <c r="C203" s="2"/>
      <c r="D203" s="2"/>
      <c r="E203" s="3"/>
      <c r="F203" s="1"/>
      <c r="G203" s="1"/>
      <c r="H203" s="1"/>
      <c r="I203" s="1"/>
      <c r="J203" s="1"/>
      <c r="K203" s="1"/>
      <c r="L203" s="1"/>
      <c r="M203" s="1"/>
      <c r="N203" s="1"/>
      <c r="O203" s="1"/>
      <c r="P203" s="1"/>
      <c r="Q203" s="1"/>
      <c r="R203" s="1"/>
      <c r="S203" s="1"/>
      <c r="T203" s="1"/>
      <c r="U203" s="1"/>
      <c r="V203" s="1"/>
      <c r="W203" s="1"/>
      <c r="X203" s="1"/>
      <c r="Y203" s="1"/>
      <c r="Z203" s="1"/>
    </row>
    <row r="204" customHeight="1" spans="1:26">
      <c r="A204" s="1"/>
      <c r="B204" s="1"/>
      <c r="C204" s="2"/>
      <c r="D204" s="2"/>
      <c r="E204" s="3"/>
      <c r="F204" s="1"/>
      <c r="G204" s="1"/>
      <c r="H204" s="1"/>
      <c r="I204" s="1"/>
      <c r="J204" s="1"/>
      <c r="K204" s="1"/>
      <c r="L204" s="1"/>
      <c r="M204" s="1"/>
      <c r="N204" s="1"/>
      <c r="O204" s="1"/>
      <c r="P204" s="1"/>
      <c r="Q204" s="1"/>
      <c r="R204" s="1"/>
      <c r="S204" s="1"/>
      <c r="T204" s="1"/>
      <c r="U204" s="1"/>
      <c r="V204" s="1"/>
      <c r="W204" s="1"/>
      <c r="X204" s="1"/>
      <c r="Y204" s="1"/>
      <c r="Z204" s="1"/>
    </row>
    <row r="205" customHeight="1" spans="1:26">
      <c r="A205" s="1"/>
      <c r="B205" s="1"/>
      <c r="C205" s="2"/>
      <c r="D205" s="2"/>
      <c r="E205" s="3"/>
      <c r="F205" s="1"/>
      <c r="G205" s="1"/>
      <c r="H205" s="1"/>
      <c r="I205" s="1"/>
      <c r="J205" s="1"/>
      <c r="K205" s="1"/>
      <c r="L205" s="1"/>
      <c r="M205" s="1"/>
      <c r="N205" s="1"/>
      <c r="O205" s="1"/>
      <c r="P205" s="1"/>
      <c r="Q205" s="1"/>
      <c r="R205" s="1"/>
      <c r="S205" s="1"/>
      <c r="T205" s="1"/>
      <c r="U205" s="1"/>
      <c r="V205" s="1"/>
      <c r="W205" s="1"/>
      <c r="X205" s="1"/>
      <c r="Y205" s="1"/>
      <c r="Z205" s="1"/>
    </row>
    <row r="206" customHeight="1" spans="1:26">
      <c r="A206" s="1"/>
      <c r="B206" s="1"/>
      <c r="C206" s="2"/>
      <c r="D206" s="2"/>
      <c r="E206" s="3"/>
      <c r="F206" s="1"/>
      <c r="G206" s="1"/>
      <c r="H206" s="1"/>
      <c r="I206" s="1"/>
      <c r="J206" s="1"/>
      <c r="K206" s="1"/>
      <c r="L206" s="1"/>
      <c r="M206" s="1"/>
      <c r="N206" s="1"/>
      <c r="O206" s="1"/>
      <c r="P206" s="1"/>
      <c r="Q206" s="1"/>
      <c r="R206" s="1"/>
      <c r="S206" s="1"/>
      <c r="T206" s="1"/>
      <c r="U206" s="1"/>
      <c r="V206" s="1"/>
      <c r="W206" s="1"/>
      <c r="X206" s="1"/>
      <c r="Y206" s="1"/>
      <c r="Z206" s="1"/>
    </row>
    <row r="207" customHeight="1" spans="1:26">
      <c r="A207" s="1"/>
      <c r="B207" s="1"/>
      <c r="C207" s="2"/>
      <c r="D207" s="2"/>
      <c r="E207" s="3"/>
      <c r="F207" s="1"/>
      <c r="G207" s="1"/>
      <c r="H207" s="1"/>
      <c r="I207" s="1"/>
      <c r="J207" s="1"/>
      <c r="K207" s="1"/>
      <c r="L207" s="1"/>
      <c r="M207" s="1"/>
      <c r="N207" s="1"/>
      <c r="O207" s="1"/>
      <c r="P207" s="1"/>
      <c r="Q207" s="1"/>
      <c r="R207" s="1"/>
      <c r="S207" s="1"/>
      <c r="T207" s="1"/>
      <c r="U207" s="1"/>
      <c r="V207" s="1"/>
      <c r="W207" s="1"/>
      <c r="X207" s="1"/>
      <c r="Y207" s="1"/>
      <c r="Z207" s="1"/>
    </row>
    <row r="208" customHeight="1" spans="1:26">
      <c r="A208" s="1"/>
      <c r="B208" s="1"/>
      <c r="C208" s="2"/>
      <c r="D208" s="2"/>
      <c r="E208" s="3"/>
      <c r="F208" s="1"/>
      <c r="G208" s="1"/>
      <c r="H208" s="1"/>
      <c r="I208" s="1"/>
      <c r="J208" s="1"/>
      <c r="K208" s="1"/>
      <c r="L208" s="1"/>
      <c r="M208" s="1"/>
      <c r="N208" s="1"/>
      <c r="O208" s="1"/>
      <c r="P208" s="1"/>
      <c r="Q208" s="1"/>
      <c r="R208" s="1"/>
      <c r="S208" s="1"/>
      <c r="T208" s="1"/>
      <c r="U208" s="1"/>
      <c r="V208" s="1"/>
      <c r="W208" s="1"/>
      <c r="X208" s="1"/>
      <c r="Y208" s="1"/>
      <c r="Z208" s="1"/>
    </row>
    <row r="209" customHeight="1" spans="1:26">
      <c r="A209" s="1"/>
      <c r="B209" s="1"/>
      <c r="C209" s="2"/>
      <c r="D209" s="2"/>
      <c r="E209" s="3"/>
      <c r="F209" s="1"/>
      <c r="G209" s="1"/>
      <c r="H209" s="1"/>
      <c r="I209" s="1"/>
      <c r="J209" s="1"/>
      <c r="K209" s="1"/>
      <c r="L209" s="1"/>
      <c r="M209" s="1"/>
      <c r="N209" s="1"/>
      <c r="O209" s="1"/>
      <c r="P209" s="1"/>
      <c r="Q209" s="1"/>
      <c r="R209" s="1"/>
      <c r="S209" s="1"/>
      <c r="T209" s="1"/>
      <c r="U209" s="1"/>
      <c r="V209" s="1"/>
      <c r="W209" s="1"/>
      <c r="X209" s="1"/>
      <c r="Y209" s="1"/>
      <c r="Z209" s="1"/>
    </row>
    <row r="210" customHeight="1" spans="1:26">
      <c r="A210" s="1"/>
      <c r="B210" s="1"/>
      <c r="C210" s="2"/>
      <c r="D210" s="2"/>
      <c r="E210" s="3"/>
      <c r="F210" s="1"/>
      <c r="G210" s="1"/>
      <c r="H210" s="1"/>
      <c r="I210" s="1"/>
      <c r="J210" s="1"/>
      <c r="K210" s="1"/>
      <c r="L210" s="1"/>
      <c r="M210" s="1"/>
      <c r="N210" s="1"/>
      <c r="O210" s="1"/>
      <c r="P210" s="1"/>
      <c r="Q210" s="1"/>
      <c r="R210" s="1"/>
      <c r="S210" s="1"/>
      <c r="T210" s="1"/>
      <c r="U210" s="1"/>
      <c r="V210" s="1"/>
      <c r="W210" s="1"/>
      <c r="X210" s="1"/>
      <c r="Y210" s="1"/>
      <c r="Z210" s="1"/>
    </row>
    <row r="211" customHeight="1" spans="1:26">
      <c r="A211" s="1"/>
      <c r="B211" s="1"/>
      <c r="C211" s="2"/>
      <c r="D211" s="2"/>
      <c r="E211" s="3"/>
      <c r="F211" s="1"/>
      <c r="G211" s="1"/>
      <c r="H211" s="1"/>
      <c r="I211" s="1"/>
      <c r="J211" s="1"/>
      <c r="K211" s="1"/>
      <c r="L211" s="1"/>
      <c r="M211" s="1"/>
      <c r="N211" s="1"/>
      <c r="O211" s="1"/>
      <c r="P211" s="1"/>
      <c r="Q211" s="1"/>
      <c r="R211" s="1"/>
      <c r="S211" s="1"/>
      <c r="T211" s="1"/>
      <c r="U211" s="1"/>
      <c r="V211" s="1"/>
      <c r="W211" s="1"/>
      <c r="X211" s="1"/>
      <c r="Y211" s="1"/>
      <c r="Z211" s="1"/>
    </row>
    <row r="212" customHeight="1" spans="1:26">
      <c r="A212" s="1"/>
      <c r="B212" s="1"/>
      <c r="C212" s="2"/>
      <c r="D212" s="2"/>
      <c r="E212" s="3"/>
      <c r="F212" s="1"/>
      <c r="G212" s="1"/>
      <c r="H212" s="1"/>
      <c r="I212" s="1"/>
      <c r="J212" s="1"/>
      <c r="K212" s="1"/>
      <c r="L212" s="1"/>
      <c r="M212" s="1"/>
      <c r="N212" s="1"/>
      <c r="O212" s="1"/>
      <c r="P212" s="1"/>
      <c r="Q212" s="1"/>
      <c r="R212" s="1"/>
      <c r="S212" s="1"/>
      <c r="T212" s="1"/>
      <c r="U212" s="1"/>
      <c r="V212" s="1"/>
      <c r="W212" s="1"/>
      <c r="X212" s="1"/>
      <c r="Y212" s="1"/>
      <c r="Z212" s="1"/>
    </row>
    <row r="213" customHeight="1" spans="1:26">
      <c r="A213" s="1"/>
      <c r="B213" s="1"/>
      <c r="C213" s="2"/>
      <c r="D213" s="2"/>
      <c r="E213" s="3"/>
      <c r="F213" s="1"/>
      <c r="G213" s="1"/>
      <c r="H213" s="1"/>
      <c r="I213" s="1"/>
      <c r="J213" s="1"/>
      <c r="K213" s="1"/>
      <c r="L213" s="1"/>
      <c r="M213" s="1"/>
      <c r="N213" s="1"/>
      <c r="O213" s="1"/>
      <c r="P213" s="1"/>
      <c r="Q213" s="1"/>
      <c r="R213" s="1"/>
      <c r="S213" s="1"/>
      <c r="T213" s="1"/>
      <c r="U213" s="1"/>
      <c r="V213" s="1"/>
      <c r="W213" s="1"/>
      <c r="X213" s="1"/>
      <c r="Y213" s="1"/>
      <c r="Z213" s="1"/>
    </row>
    <row r="214" customHeight="1" spans="1:26">
      <c r="A214" s="1"/>
      <c r="B214" s="1"/>
      <c r="C214" s="2"/>
      <c r="D214" s="2"/>
      <c r="E214" s="3"/>
      <c r="F214" s="1"/>
      <c r="G214" s="1"/>
      <c r="H214" s="1"/>
      <c r="I214" s="1"/>
      <c r="J214" s="1"/>
      <c r="K214" s="1"/>
      <c r="L214" s="1"/>
      <c r="M214" s="1"/>
      <c r="N214" s="1"/>
      <c r="O214" s="1"/>
      <c r="P214" s="1"/>
      <c r="Q214" s="1"/>
      <c r="R214" s="1"/>
      <c r="S214" s="1"/>
      <c r="T214" s="1"/>
      <c r="U214" s="1"/>
      <c r="V214" s="1"/>
      <c r="W214" s="1"/>
      <c r="X214" s="1"/>
      <c r="Y214" s="1"/>
      <c r="Z214" s="1"/>
    </row>
    <row r="215" customHeight="1" spans="1:26">
      <c r="A215" s="1"/>
      <c r="B215" s="1"/>
      <c r="C215" s="2"/>
      <c r="D215" s="2"/>
      <c r="E215" s="3"/>
      <c r="F215" s="1"/>
      <c r="G215" s="1"/>
      <c r="H215" s="1"/>
      <c r="I215" s="1"/>
      <c r="J215" s="1"/>
      <c r="K215" s="1"/>
      <c r="L215" s="1"/>
      <c r="M215" s="1"/>
      <c r="N215" s="1"/>
      <c r="O215" s="1"/>
      <c r="P215" s="1"/>
      <c r="Q215" s="1"/>
      <c r="R215" s="1"/>
      <c r="S215" s="1"/>
      <c r="T215" s="1"/>
      <c r="U215" s="1"/>
      <c r="V215" s="1"/>
      <c r="W215" s="1"/>
      <c r="X215" s="1"/>
      <c r="Y215" s="1"/>
      <c r="Z215" s="1"/>
    </row>
    <row r="216" customHeight="1" spans="1:26">
      <c r="A216" s="1"/>
      <c r="B216" s="1"/>
      <c r="C216" s="2"/>
      <c r="D216" s="2"/>
      <c r="E216" s="3"/>
      <c r="F216" s="1"/>
      <c r="G216" s="1"/>
      <c r="H216" s="1"/>
      <c r="I216" s="1"/>
      <c r="J216" s="1"/>
      <c r="K216" s="1"/>
      <c r="L216" s="1"/>
      <c r="M216" s="1"/>
      <c r="N216" s="1"/>
      <c r="O216" s="1"/>
      <c r="P216" s="1"/>
      <c r="Q216" s="1"/>
      <c r="R216" s="1"/>
      <c r="S216" s="1"/>
      <c r="T216" s="1"/>
      <c r="U216" s="1"/>
      <c r="V216" s="1"/>
      <c r="W216" s="1"/>
      <c r="X216" s="1"/>
      <c r="Y216" s="1"/>
      <c r="Z216" s="1"/>
    </row>
    <row r="217" customHeight="1" spans="1:26">
      <c r="A217" s="1"/>
      <c r="B217" s="1"/>
      <c r="C217" s="2"/>
      <c r="D217" s="2"/>
      <c r="E217" s="3"/>
      <c r="F217" s="1"/>
      <c r="G217" s="1"/>
      <c r="H217" s="1"/>
      <c r="I217" s="1"/>
      <c r="J217" s="1"/>
      <c r="K217" s="1"/>
      <c r="L217" s="1"/>
      <c r="M217" s="1"/>
      <c r="N217" s="1"/>
      <c r="O217" s="1"/>
      <c r="P217" s="1"/>
      <c r="Q217" s="1"/>
      <c r="R217" s="1"/>
      <c r="S217" s="1"/>
      <c r="T217" s="1"/>
      <c r="U217" s="1"/>
      <c r="V217" s="1"/>
      <c r="W217" s="1"/>
      <c r="X217" s="1"/>
      <c r="Y217" s="1"/>
      <c r="Z217" s="1"/>
    </row>
    <row r="218" customHeight="1" spans="1:26">
      <c r="A218" s="1"/>
      <c r="B218" s="1"/>
      <c r="C218" s="2"/>
      <c r="D218" s="2"/>
      <c r="E218" s="3"/>
      <c r="F218" s="1"/>
      <c r="G218" s="1"/>
      <c r="H218" s="1"/>
      <c r="I218" s="1"/>
      <c r="J218" s="1"/>
      <c r="K218" s="1"/>
      <c r="L218" s="1"/>
      <c r="M218" s="1"/>
      <c r="N218" s="1"/>
      <c r="O218" s="1"/>
      <c r="P218" s="1"/>
      <c r="Q218" s="1"/>
      <c r="R218" s="1"/>
      <c r="S218" s="1"/>
      <c r="T218" s="1"/>
      <c r="U218" s="1"/>
      <c r="V218" s="1"/>
      <c r="W218" s="1"/>
      <c r="X218" s="1"/>
      <c r="Y218" s="1"/>
      <c r="Z218" s="1"/>
    </row>
    <row r="219" customHeight="1" spans="1:26">
      <c r="A219" s="1"/>
      <c r="B219" s="1"/>
      <c r="C219" s="2"/>
      <c r="D219" s="2"/>
      <c r="E219" s="3"/>
      <c r="F219" s="1"/>
      <c r="G219" s="1"/>
      <c r="H219" s="1"/>
      <c r="I219" s="1"/>
      <c r="J219" s="1"/>
      <c r="K219" s="1"/>
      <c r="L219" s="1"/>
      <c r="M219" s="1"/>
      <c r="N219" s="1"/>
      <c r="O219" s="1"/>
      <c r="P219" s="1"/>
      <c r="Q219" s="1"/>
      <c r="R219" s="1"/>
      <c r="S219" s="1"/>
      <c r="T219" s="1"/>
      <c r="U219" s="1"/>
      <c r="V219" s="1"/>
      <c r="W219" s="1"/>
      <c r="X219" s="1"/>
      <c r="Y219" s="1"/>
      <c r="Z219" s="1"/>
    </row>
    <row r="220" customHeight="1" spans="1:26">
      <c r="A220" s="1"/>
      <c r="B220" s="1"/>
      <c r="C220" s="2"/>
      <c r="D220" s="2"/>
      <c r="E220" s="3"/>
      <c r="F220" s="1"/>
      <c r="G220" s="1"/>
      <c r="H220" s="1"/>
      <c r="I220" s="1"/>
      <c r="J220" s="1"/>
      <c r="K220" s="1"/>
      <c r="L220" s="1"/>
      <c r="M220" s="1"/>
      <c r="N220" s="1"/>
      <c r="O220" s="1"/>
      <c r="P220" s="1"/>
      <c r="Q220" s="1"/>
      <c r="R220" s="1"/>
      <c r="S220" s="1"/>
      <c r="T220" s="1"/>
      <c r="U220" s="1"/>
      <c r="V220" s="1"/>
      <c r="W220" s="1"/>
      <c r="X220" s="1"/>
      <c r="Y220" s="1"/>
      <c r="Z220" s="1"/>
    </row>
    <row r="221" customHeight="1" spans="1:26">
      <c r="A221" s="1"/>
      <c r="B221" s="1"/>
      <c r="C221" s="2"/>
      <c r="D221" s="2"/>
      <c r="E221" s="3"/>
      <c r="F221" s="1"/>
      <c r="G221" s="1"/>
      <c r="H221" s="1"/>
      <c r="I221" s="1"/>
      <c r="J221" s="1"/>
      <c r="K221" s="1"/>
      <c r="L221" s="1"/>
      <c r="M221" s="1"/>
      <c r="N221" s="1"/>
      <c r="O221" s="1"/>
      <c r="P221" s="1"/>
      <c r="Q221" s="1"/>
      <c r="R221" s="1"/>
      <c r="S221" s="1"/>
      <c r="T221" s="1"/>
      <c r="U221" s="1"/>
      <c r="V221" s="1"/>
      <c r="W221" s="1"/>
      <c r="X221" s="1"/>
      <c r="Y221" s="1"/>
      <c r="Z221" s="1"/>
    </row>
    <row r="222" customHeight="1" spans="1:26">
      <c r="A222" s="1"/>
      <c r="B222" s="1"/>
      <c r="C222" s="2"/>
      <c r="D222" s="2"/>
      <c r="E222" s="3"/>
      <c r="F222" s="1"/>
      <c r="G222" s="1"/>
      <c r="H222" s="1"/>
      <c r="I222" s="1"/>
      <c r="J222" s="1"/>
      <c r="K222" s="1"/>
      <c r="L222" s="1"/>
      <c r="M222" s="1"/>
      <c r="N222" s="1"/>
      <c r="O222" s="1"/>
      <c r="P222" s="1"/>
      <c r="Q222" s="1"/>
      <c r="R222" s="1"/>
      <c r="S222" s="1"/>
      <c r="T222" s="1"/>
      <c r="U222" s="1"/>
      <c r="V222" s="1"/>
      <c r="W222" s="1"/>
      <c r="X222" s="1"/>
      <c r="Y222" s="1"/>
      <c r="Z222" s="1"/>
    </row>
    <row r="223" customHeight="1" spans="1:26">
      <c r="A223" s="1"/>
      <c r="B223" s="1"/>
      <c r="C223" s="2"/>
      <c r="D223" s="2"/>
      <c r="E223" s="3"/>
      <c r="F223" s="1"/>
      <c r="G223" s="1"/>
      <c r="H223" s="1"/>
      <c r="I223" s="1"/>
      <c r="J223" s="1"/>
      <c r="K223" s="1"/>
      <c r="L223" s="1"/>
      <c r="M223" s="1"/>
      <c r="N223" s="1"/>
      <c r="O223" s="1"/>
      <c r="P223" s="1"/>
      <c r="Q223" s="1"/>
      <c r="R223" s="1"/>
      <c r="S223" s="1"/>
      <c r="T223" s="1"/>
      <c r="U223" s="1"/>
      <c r="V223" s="1"/>
      <c r="W223" s="1"/>
      <c r="X223" s="1"/>
      <c r="Y223" s="1"/>
      <c r="Z223" s="1"/>
    </row>
    <row r="224" customHeight="1" spans="1:26">
      <c r="A224" s="1"/>
      <c r="B224" s="1"/>
      <c r="C224" s="2"/>
      <c r="D224" s="2"/>
      <c r="E224" s="3"/>
      <c r="F224" s="1"/>
      <c r="G224" s="1"/>
      <c r="H224" s="1"/>
      <c r="I224" s="1"/>
      <c r="J224" s="1"/>
      <c r="K224" s="1"/>
      <c r="L224" s="1"/>
      <c r="M224" s="1"/>
      <c r="N224" s="1"/>
      <c r="O224" s="1"/>
      <c r="P224" s="1"/>
      <c r="Q224" s="1"/>
      <c r="R224" s="1"/>
      <c r="S224" s="1"/>
      <c r="T224" s="1"/>
      <c r="U224" s="1"/>
      <c r="V224" s="1"/>
      <c r="W224" s="1"/>
      <c r="X224" s="1"/>
      <c r="Y224" s="1"/>
      <c r="Z224" s="1"/>
    </row>
    <row r="225" customHeight="1" spans="1:26">
      <c r="A225" s="1"/>
      <c r="B225" s="1"/>
      <c r="C225" s="2"/>
      <c r="D225" s="2"/>
      <c r="E225" s="3"/>
      <c r="F225" s="1"/>
      <c r="G225" s="1"/>
      <c r="H225" s="1"/>
      <c r="I225" s="1"/>
      <c r="J225" s="1"/>
      <c r="K225" s="1"/>
      <c r="L225" s="1"/>
      <c r="M225" s="1"/>
      <c r="N225" s="1"/>
      <c r="O225" s="1"/>
      <c r="P225" s="1"/>
      <c r="Q225" s="1"/>
      <c r="R225" s="1"/>
      <c r="S225" s="1"/>
      <c r="T225" s="1"/>
      <c r="U225" s="1"/>
      <c r="V225" s="1"/>
      <c r="W225" s="1"/>
      <c r="X225" s="1"/>
      <c r="Y225" s="1"/>
      <c r="Z225" s="1"/>
    </row>
    <row r="226" customHeight="1" spans="1:26">
      <c r="A226" s="1"/>
      <c r="B226" s="1"/>
      <c r="C226" s="2"/>
      <c r="D226" s="2"/>
      <c r="E226" s="3"/>
      <c r="F226" s="1"/>
      <c r="G226" s="1"/>
      <c r="H226" s="1"/>
      <c r="I226" s="1"/>
      <c r="J226" s="1"/>
      <c r="K226" s="1"/>
      <c r="L226" s="1"/>
      <c r="M226" s="1"/>
      <c r="N226" s="1"/>
      <c r="O226" s="1"/>
      <c r="P226" s="1"/>
      <c r="Q226" s="1"/>
      <c r="R226" s="1"/>
      <c r="S226" s="1"/>
      <c r="T226" s="1"/>
      <c r="U226" s="1"/>
      <c r="V226" s="1"/>
      <c r="W226" s="1"/>
      <c r="X226" s="1"/>
      <c r="Y226" s="1"/>
      <c r="Z226" s="1"/>
    </row>
    <row r="227" customHeight="1" spans="1:26">
      <c r="A227" s="1"/>
      <c r="B227" s="1"/>
      <c r="C227" s="2"/>
      <c r="D227" s="2"/>
      <c r="E227" s="3"/>
      <c r="F227" s="1"/>
      <c r="G227" s="1"/>
      <c r="H227" s="1"/>
      <c r="I227" s="1"/>
      <c r="J227" s="1"/>
      <c r="K227" s="1"/>
      <c r="L227" s="1"/>
      <c r="M227" s="1"/>
      <c r="N227" s="1"/>
      <c r="O227" s="1"/>
      <c r="P227" s="1"/>
      <c r="Q227" s="1"/>
      <c r="R227" s="1"/>
      <c r="S227" s="1"/>
      <c r="T227" s="1"/>
      <c r="U227" s="1"/>
      <c r="V227" s="1"/>
      <c r="W227" s="1"/>
      <c r="X227" s="1"/>
      <c r="Y227" s="1"/>
      <c r="Z227" s="1"/>
    </row>
    <row r="228" customHeight="1" spans="1:26">
      <c r="A228" s="1"/>
      <c r="B228" s="1"/>
      <c r="C228" s="2"/>
      <c r="D228" s="2"/>
      <c r="E228" s="3"/>
      <c r="F228" s="1"/>
      <c r="G228" s="1"/>
      <c r="H228" s="1"/>
      <c r="I228" s="1"/>
      <c r="J228" s="1"/>
      <c r="K228" s="1"/>
      <c r="L228" s="1"/>
      <c r="M228" s="1"/>
      <c r="N228" s="1"/>
      <c r="O228" s="1"/>
      <c r="P228" s="1"/>
      <c r="Q228" s="1"/>
      <c r="R228" s="1"/>
      <c r="S228" s="1"/>
      <c r="T228" s="1"/>
      <c r="U228" s="1"/>
      <c r="V228" s="1"/>
      <c r="W228" s="1"/>
      <c r="X228" s="1"/>
      <c r="Y228" s="1"/>
      <c r="Z228" s="1"/>
    </row>
    <row r="229" customHeight="1" spans="1:26">
      <c r="A229" s="1"/>
      <c r="B229" s="1"/>
      <c r="C229" s="2"/>
      <c r="D229" s="2"/>
      <c r="E229" s="3"/>
      <c r="F229" s="1"/>
      <c r="G229" s="1"/>
      <c r="H229" s="1"/>
      <c r="I229" s="1"/>
      <c r="J229" s="1"/>
      <c r="K229" s="1"/>
      <c r="L229" s="1"/>
      <c r="M229" s="1"/>
      <c r="N229" s="1"/>
      <c r="O229" s="1"/>
      <c r="P229" s="1"/>
      <c r="Q229" s="1"/>
      <c r="R229" s="1"/>
      <c r="S229" s="1"/>
      <c r="T229" s="1"/>
      <c r="U229" s="1"/>
      <c r="V229" s="1"/>
      <c r="W229" s="1"/>
      <c r="X229" s="1"/>
      <c r="Y229" s="1"/>
      <c r="Z229" s="1"/>
    </row>
    <row r="230" customHeight="1" spans="1:26">
      <c r="A230" s="1"/>
      <c r="B230" s="1"/>
      <c r="C230" s="2"/>
      <c r="D230" s="2"/>
      <c r="E230" s="3"/>
      <c r="F230" s="1"/>
      <c r="G230" s="1"/>
      <c r="H230" s="1"/>
      <c r="I230" s="1"/>
      <c r="J230" s="1"/>
      <c r="K230" s="1"/>
      <c r="L230" s="1"/>
      <c r="M230" s="1"/>
      <c r="N230" s="1"/>
      <c r="O230" s="1"/>
      <c r="P230" s="1"/>
      <c r="Q230" s="1"/>
      <c r="R230" s="1"/>
      <c r="S230" s="1"/>
      <c r="T230" s="1"/>
      <c r="U230" s="1"/>
      <c r="V230" s="1"/>
      <c r="W230" s="1"/>
      <c r="X230" s="1"/>
      <c r="Y230" s="1"/>
      <c r="Z230" s="1"/>
    </row>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sheetData>
  <mergeCells count="2">
    <mergeCell ref="B2:E2"/>
    <mergeCell ref="B3:E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13</vt:i4>
      </vt:variant>
    </vt:vector>
  </HeadingPairs>
  <TitlesOfParts>
    <vt:vector size="13" baseType="lpstr">
      <vt:lpstr>Project Overview</vt:lpstr>
      <vt:lpstr>Revision</vt:lpstr>
      <vt:lpstr>Test Overall</vt:lpstr>
      <vt:lpstr>LOGINREGISTER</vt:lpstr>
      <vt:lpstr>Search Trip Screen</vt:lpstr>
      <vt:lpstr>Chat screen</vt:lpstr>
      <vt:lpstr>Reviews and Feedback screen</vt:lpstr>
      <vt:lpstr>Reserve Vehicle Screen</vt:lpstr>
      <vt:lpstr>View schedule screen</vt:lpstr>
      <vt:lpstr>Ticket information screen</vt:lpstr>
      <vt:lpstr>Ticket Management Screen</vt:lpstr>
      <vt:lpstr>Notifications</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2025-12-05T16:00:47Z</dcterms:created>
  <dcterms:modified xsi:type="dcterms:W3CDTF">2025-12-05T16:08:24Z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0535BF95ABDB4EE3B8022D95C7527A69_12</vt:lpwstr>
  </property>
  <property fmtid="{D5CDD505-2E9C-101B-9397-08002B2CF9AE}" pid="3" name="KSOProductBuildVer">
    <vt:lpwstr>1033-12.2.0.23155</vt:lpwstr>
  </property>
</Properties>
</file>